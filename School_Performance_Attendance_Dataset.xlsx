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Excel\Project\"/>
    </mc:Choice>
  </mc:AlternateContent>
  <xr:revisionPtr revIDLastSave="0" documentId="13_ncr:1_{BE3685F9-FE68-4D03-8E3B-172D554FECDE}" xr6:coauthVersionLast="47" xr6:coauthVersionMax="47" xr10:uidLastSave="{00000000-0000-0000-0000-000000000000}"/>
  <bookViews>
    <workbookView xWindow="-108" yWindow="-108" windowWidth="23256" windowHeight="12456" activeTab="2" xr2:uid="{00000000-000D-0000-FFFF-FFFF00000000}"/>
  </bookViews>
  <sheets>
    <sheet name="School Dataset" sheetId="1" r:id="rId1"/>
    <sheet name="Pivot" sheetId="3" r:id="rId2"/>
    <sheet name="Dashboard" sheetId="5" r:id="rId3"/>
  </sheets>
  <definedNames>
    <definedName name="Slicer_Class">#N/A</definedName>
    <definedName name="Slicer_Fee_Status">#N/A</definedName>
    <definedName name="Slicer_Gender">#N/A</definedName>
    <definedName name="Slicer_Grade">#N/A</definedName>
    <definedName name="Slicer_Pass_Fail">#N/A</definedName>
    <definedName name="Slicer_Section">#N/A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5" i="1" l="1"/>
  <c r="X3" i="1"/>
  <c r="AB8" i="1"/>
  <c r="AB7" i="1"/>
  <c r="AB6" i="1"/>
  <c r="AB5" i="1"/>
  <c r="AB4" i="1"/>
  <c r="X10" i="1"/>
  <c r="X9" i="1"/>
  <c r="X8" i="1"/>
  <c r="X7" i="1"/>
  <c r="X6"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 i="1"/>
  <c r="X4" i="1"/>
</calcChain>
</file>

<file path=xl/sharedStrings.xml><?xml version="1.0" encoding="utf-8"?>
<sst xmlns="http://schemas.openxmlformats.org/spreadsheetml/2006/main" count="18070" uniqueCount="3410">
  <si>
    <t>Student_ID</t>
  </si>
  <si>
    <t>Student_Name</t>
  </si>
  <si>
    <t>Gender</t>
  </si>
  <si>
    <t>Class</t>
  </si>
  <si>
    <t>Section</t>
  </si>
  <si>
    <t>Age</t>
  </si>
  <si>
    <t>City</t>
  </si>
  <si>
    <t>Admission_Date</t>
  </si>
  <si>
    <t>Attendance_%</t>
  </si>
  <si>
    <t>Math_Marks</t>
  </si>
  <si>
    <t>Science_Marks</t>
  </si>
  <si>
    <t>English_Marks</t>
  </si>
  <si>
    <t>Social_Marks</t>
  </si>
  <si>
    <t>Computer_Marks</t>
  </si>
  <si>
    <t>Total_Marks</t>
  </si>
  <si>
    <t>Percentage</t>
  </si>
  <si>
    <t>Grade</t>
  </si>
  <si>
    <t>Fee_Status</t>
  </si>
  <si>
    <t>Monthly_Fee</t>
  </si>
  <si>
    <t>Activity</t>
  </si>
  <si>
    <t>STU0001</t>
  </si>
  <si>
    <t>Rahul Sharma</t>
  </si>
  <si>
    <t>Female</t>
  </si>
  <si>
    <t>D</t>
  </si>
  <si>
    <t>Chennai</t>
  </si>
  <si>
    <t>2024-12-27</t>
  </si>
  <si>
    <t>B</t>
  </si>
  <si>
    <t>Paid</t>
  </si>
  <si>
    <t>Sports</t>
  </si>
  <si>
    <t>STU0002</t>
  </si>
  <si>
    <t>Surya Raj</t>
  </si>
  <si>
    <t>C</t>
  </si>
  <si>
    <t>Madurai</t>
  </si>
  <si>
    <t>2024-10-01</t>
  </si>
  <si>
    <t>Drama</t>
  </si>
  <si>
    <t>STU0003</t>
  </si>
  <si>
    <t>Kavin Nair</t>
  </si>
  <si>
    <t>Male</t>
  </si>
  <si>
    <t>Hyderabad</t>
  </si>
  <si>
    <t>2023-11-22</t>
  </si>
  <si>
    <t>B+</t>
  </si>
  <si>
    <t>Pending</t>
  </si>
  <si>
    <t>Music</t>
  </si>
  <si>
    <t>STU0004</t>
  </si>
  <si>
    <t>Vijay Raj</t>
  </si>
  <si>
    <t>Coimbatore</t>
  </si>
  <si>
    <t>2021-12-26</t>
  </si>
  <si>
    <t>A</t>
  </si>
  <si>
    <t>Dance</t>
  </si>
  <si>
    <t>STU0005</t>
  </si>
  <si>
    <t>Akash Das</t>
  </si>
  <si>
    <t>2025-07-02</t>
  </si>
  <si>
    <t>STU0006</t>
  </si>
  <si>
    <t>Meena Singh</t>
  </si>
  <si>
    <t>Pune</t>
  </si>
  <si>
    <t>2023-08-10</t>
  </si>
  <si>
    <t>STU0007</t>
  </si>
  <si>
    <t>Nisha Nair</t>
  </si>
  <si>
    <t>Mumbai</t>
  </si>
  <si>
    <t>2025-10-10</t>
  </si>
  <si>
    <t>STU0008</t>
  </si>
  <si>
    <t>Ajay Sharma</t>
  </si>
  <si>
    <t>2025-11-29</t>
  </si>
  <si>
    <t>STU0009</t>
  </si>
  <si>
    <t>Bangalore</t>
  </si>
  <si>
    <t>2021-02-21</t>
  </si>
  <si>
    <t>Art</t>
  </si>
  <si>
    <t>STU0010</t>
  </si>
  <si>
    <t>Anu Das</t>
  </si>
  <si>
    <t>2025-06-26</t>
  </si>
  <si>
    <t>Coding Club</t>
  </si>
  <si>
    <t>STU0011</t>
  </si>
  <si>
    <t>Arun Iyer</t>
  </si>
  <si>
    <t>2022-03-01</t>
  </si>
  <si>
    <t>STU0012</t>
  </si>
  <si>
    <t>Ajay Iyer</t>
  </si>
  <si>
    <t>2022-04-24</t>
  </si>
  <si>
    <t>STU0013</t>
  </si>
  <si>
    <t>Anu Gupta</t>
  </si>
  <si>
    <t>2025-08-01</t>
  </si>
  <si>
    <t>STU0014</t>
  </si>
  <si>
    <t>Divya Nair</t>
  </si>
  <si>
    <t>2023-08-21</t>
  </si>
  <si>
    <t>STU0015</t>
  </si>
  <si>
    <t>Ajay Gupta</t>
  </si>
  <si>
    <t>2025-04-07</t>
  </si>
  <si>
    <t>STU0016</t>
  </si>
  <si>
    <t>Anu Sharma</t>
  </si>
  <si>
    <t>2021-12-09</t>
  </si>
  <si>
    <t>STU0017</t>
  </si>
  <si>
    <t>Nisha Das</t>
  </si>
  <si>
    <t>2024-12-09</t>
  </si>
  <si>
    <t>STU0018</t>
  </si>
  <si>
    <t>Nisha Gupta</t>
  </si>
  <si>
    <t>2023-07-12</t>
  </si>
  <si>
    <t>STU0019</t>
  </si>
  <si>
    <t>Varun Reddy</t>
  </si>
  <si>
    <t>2021-02-20</t>
  </si>
  <si>
    <t>STU0020</t>
  </si>
  <si>
    <t>Sneha Sharma</t>
  </si>
  <si>
    <t>2021-10-14</t>
  </si>
  <si>
    <t>STU0021</t>
  </si>
  <si>
    <t>2023-10-18</t>
  </si>
  <si>
    <t>STU0022</t>
  </si>
  <si>
    <t>Ajay Raj</t>
  </si>
  <si>
    <t>2021-05-09</t>
  </si>
  <si>
    <t>STU0023</t>
  </si>
  <si>
    <t>Arun Reddy</t>
  </si>
  <si>
    <t>2024-12-08</t>
  </si>
  <si>
    <t>STU0024</t>
  </si>
  <si>
    <t>Priya Singh</t>
  </si>
  <si>
    <t>2025-08-17</t>
  </si>
  <si>
    <t>STU0025</t>
  </si>
  <si>
    <t>Rahul Reddy</t>
  </si>
  <si>
    <t>2021-04-30</t>
  </si>
  <si>
    <t>STU0026</t>
  </si>
  <si>
    <t>2021-12-17</t>
  </si>
  <si>
    <t>STU0027</t>
  </si>
  <si>
    <t>Sneha Raj</t>
  </si>
  <si>
    <t>2025-10-29</t>
  </si>
  <si>
    <t>STU0028</t>
  </si>
  <si>
    <t>2021-03-23</t>
  </si>
  <si>
    <t>STU0029</t>
  </si>
  <si>
    <t>Surya Singh</t>
  </si>
  <si>
    <t>2024-03-01</t>
  </si>
  <si>
    <t>STU0030</t>
  </si>
  <si>
    <t>Priya Patel</t>
  </si>
  <si>
    <t>2023-07-09</t>
  </si>
  <si>
    <t>STU0031</t>
  </si>
  <si>
    <t>2023-06-22</t>
  </si>
  <si>
    <t>STU0032</t>
  </si>
  <si>
    <t>Vijay Iyer</t>
  </si>
  <si>
    <t>2023-07-21</t>
  </si>
  <si>
    <t>STU0033</t>
  </si>
  <si>
    <t>Anu Reddy</t>
  </si>
  <si>
    <t>2024-09-03</t>
  </si>
  <si>
    <t>STU0034</t>
  </si>
  <si>
    <t>Sneha Gupta</t>
  </si>
  <si>
    <t>2023-03-06</t>
  </si>
  <si>
    <t>STU0035</t>
  </si>
  <si>
    <t>Meena Reddy</t>
  </si>
  <si>
    <t>2024-07-27</t>
  </si>
  <si>
    <t>STU0036</t>
  </si>
  <si>
    <t>2022-12-19</t>
  </si>
  <si>
    <t>STU0037</t>
  </si>
  <si>
    <t>Rahul Raj</t>
  </si>
  <si>
    <t>2021-08-09</t>
  </si>
  <si>
    <t>STU0038</t>
  </si>
  <si>
    <t>Rahul Patel</t>
  </si>
  <si>
    <t>2022-03-22</t>
  </si>
  <si>
    <t>STU0039</t>
  </si>
  <si>
    <t>Ajay Singh</t>
  </si>
  <si>
    <t>2023-06-15</t>
  </si>
  <si>
    <t>STU0040</t>
  </si>
  <si>
    <t>Kavin Iyer</t>
  </si>
  <si>
    <t>2022-09-28</t>
  </si>
  <si>
    <t>STU0041</t>
  </si>
  <si>
    <t>Vijay Nair</t>
  </si>
  <si>
    <t>2024-04-16</t>
  </si>
  <si>
    <t>STU0042</t>
  </si>
  <si>
    <t>Nisha Iyer</t>
  </si>
  <si>
    <t>2023-02-14</t>
  </si>
  <si>
    <t>STU0043</t>
  </si>
  <si>
    <t>2022-04-01</t>
  </si>
  <si>
    <t>STU0044</t>
  </si>
  <si>
    <t>Divya Singh</t>
  </si>
  <si>
    <t>2021-07-19</t>
  </si>
  <si>
    <t>STU0045</t>
  </si>
  <si>
    <t>Kavin Singh</t>
  </si>
  <si>
    <t>2024-01-17</t>
  </si>
  <si>
    <t>STU0046</t>
  </si>
  <si>
    <t>2025-02-09</t>
  </si>
  <si>
    <t>STU0047</t>
  </si>
  <si>
    <t>2025-04-30</t>
  </si>
  <si>
    <t>STU0048</t>
  </si>
  <si>
    <t>Meena Nair</t>
  </si>
  <si>
    <t>2024-05-28</t>
  </si>
  <si>
    <t>STU0049</t>
  </si>
  <si>
    <t>Sneha Kumar</t>
  </si>
  <si>
    <t>2024-06-18</t>
  </si>
  <si>
    <t>STU0050</t>
  </si>
  <si>
    <t>Divya Reddy</t>
  </si>
  <si>
    <t>2024-02-18</t>
  </si>
  <si>
    <t>STU0051</t>
  </si>
  <si>
    <t>Meena Gupta</t>
  </si>
  <si>
    <t>2023-04-22</t>
  </si>
  <si>
    <t>STU0052</t>
  </si>
  <si>
    <t>Nisha Sharma</t>
  </si>
  <si>
    <t>2023-08-06</t>
  </si>
  <si>
    <t>STU0053</t>
  </si>
  <si>
    <t>Akash Raj</t>
  </si>
  <si>
    <t>2025-10-23</t>
  </si>
  <si>
    <t>STU0054</t>
  </si>
  <si>
    <t>Arun Nair</t>
  </si>
  <si>
    <t>2022-11-19</t>
  </si>
  <si>
    <t>STU0055</t>
  </si>
  <si>
    <t>Priya Gupta</t>
  </si>
  <si>
    <t>2025-11-21</t>
  </si>
  <si>
    <t>STU0056</t>
  </si>
  <si>
    <t>Riya Kumar</t>
  </si>
  <si>
    <t>2022-06-06</t>
  </si>
  <si>
    <t>STU0057</t>
  </si>
  <si>
    <t>Arun Sharma</t>
  </si>
  <si>
    <t>2022-09-09</t>
  </si>
  <si>
    <t>STU0058</t>
  </si>
  <si>
    <t>Priya Raj</t>
  </si>
  <si>
    <t>2025-10-17</t>
  </si>
  <si>
    <t>STU0059</t>
  </si>
  <si>
    <t>Varun Iyer</t>
  </si>
  <si>
    <t>2023-04-01</t>
  </si>
  <si>
    <t>STU0060</t>
  </si>
  <si>
    <t>Riya Raj</t>
  </si>
  <si>
    <t>2024-01-02</t>
  </si>
  <si>
    <t>STU0061</t>
  </si>
  <si>
    <t>Akash Nair</t>
  </si>
  <si>
    <t>2021-09-21</t>
  </si>
  <si>
    <t>STU0062</t>
  </si>
  <si>
    <t>2024-07-04</t>
  </si>
  <si>
    <t>STU0063</t>
  </si>
  <si>
    <t>Nisha Reddy</t>
  </si>
  <si>
    <t>2022-09-27</t>
  </si>
  <si>
    <t>STU0064</t>
  </si>
  <si>
    <t>2024-11-13</t>
  </si>
  <si>
    <t>STU0065</t>
  </si>
  <si>
    <t>2025-11-06</t>
  </si>
  <si>
    <t>STU0066</t>
  </si>
  <si>
    <t>Varun Gupta</t>
  </si>
  <si>
    <t>2024-08-31</t>
  </si>
  <si>
    <t>STU0067</t>
  </si>
  <si>
    <t>2023-01-05</t>
  </si>
  <si>
    <t>STU0068</t>
  </si>
  <si>
    <t>Surya Nair</t>
  </si>
  <si>
    <t>2022-08-04</t>
  </si>
  <si>
    <t>STU0069</t>
  </si>
  <si>
    <t>2025-05-18</t>
  </si>
  <si>
    <t>STU0070</t>
  </si>
  <si>
    <t>Akash Reddy</t>
  </si>
  <si>
    <t>2024-10-23</t>
  </si>
  <si>
    <t>STU0071</t>
  </si>
  <si>
    <t>Vijay Singh</t>
  </si>
  <si>
    <t>2023-04-24</t>
  </si>
  <si>
    <t>STU0072</t>
  </si>
  <si>
    <t>Meena Kumar</t>
  </si>
  <si>
    <t>2023-03-02</t>
  </si>
  <si>
    <t>STU0073</t>
  </si>
  <si>
    <t>2021-11-05</t>
  </si>
  <si>
    <t>STU0074</t>
  </si>
  <si>
    <t>Anu Raj</t>
  </si>
  <si>
    <t>2021-12-23</t>
  </si>
  <si>
    <t>STU0075</t>
  </si>
  <si>
    <t>Varun Sharma</t>
  </si>
  <si>
    <t>2025-08-22</t>
  </si>
  <si>
    <t>STU0076</t>
  </si>
  <si>
    <t>Surya Iyer</t>
  </si>
  <si>
    <t>2024-12-13</t>
  </si>
  <si>
    <t>STU0077</t>
  </si>
  <si>
    <t>Rahul Singh</t>
  </si>
  <si>
    <t>STU0078</t>
  </si>
  <si>
    <t>Priya Das</t>
  </si>
  <si>
    <t>2025-01-19</t>
  </si>
  <si>
    <t>STU0079</t>
  </si>
  <si>
    <t>Nisha Raj</t>
  </si>
  <si>
    <t>2025-06-01</t>
  </si>
  <si>
    <t>STU0080</t>
  </si>
  <si>
    <t>2025-02-19</t>
  </si>
  <si>
    <t>STU0081</t>
  </si>
  <si>
    <t>2021-09-07</t>
  </si>
  <si>
    <t>STU0082</t>
  </si>
  <si>
    <t>2024-03-23</t>
  </si>
  <si>
    <t>STU0083</t>
  </si>
  <si>
    <t>2025-10-21</t>
  </si>
  <si>
    <t>STU0084</t>
  </si>
  <si>
    <t>2024-12-14</t>
  </si>
  <si>
    <t>STU0085</t>
  </si>
  <si>
    <t>Meena Iyer</t>
  </si>
  <si>
    <t>2025-04-10</t>
  </si>
  <si>
    <t>STU0086</t>
  </si>
  <si>
    <t>Akash Patel</t>
  </si>
  <si>
    <t>2022-06-16</t>
  </si>
  <si>
    <t>STU0087</t>
  </si>
  <si>
    <t>Surya Patel</t>
  </si>
  <si>
    <t>2021-09-04</t>
  </si>
  <si>
    <t>STU0088</t>
  </si>
  <si>
    <t>2024-07-06</t>
  </si>
  <si>
    <t>STU0089</t>
  </si>
  <si>
    <t>2023-01-17</t>
  </si>
  <si>
    <t>STU0090</t>
  </si>
  <si>
    <t>2025-06-05</t>
  </si>
  <si>
    <t>STU0091</t>
  </si>
  <si>
    <t>Vijay Das</t>
  </si>
  <si>
    <t>2022-11-18</t>
  </si>
  <si>
    <t>STU0092</t>
  </si>
  <si>
    <t>Priya Nair</t>
  </si>
  <si>
    <t>2025-07-08</t>
  </si>
  <si>
    <t>STU0093</t>
  </si>
  <si>
    <t>Nisha Patel</t>
  </si>
  <si>
    <t>2023-10-30</t>
  </si>
  <si>
    <t>STU0094</t>
  </si>
  <si>
    <t>2023-05-23</t>
  </si>
  <si>
    <t>STU0095</t>
  </si>
  <si>
    <t>2022-03-24</t>
  </si>
  <si>
    <t>STU0096</t>
  </si>
  <si>
    <t>Vijay Sharma</t>
  </si>
  <si>
    <t>2024-03-11</t>
  </si>
  <si>
    <t>STU0097</t>
  </si>
  <si>
    <t>Varun Das</t>
  </si>
  <si>
    <t>2022-11-09</t>
  </si>
  <si>
    <t>STU0098</t>
  </si>
  <si>
    <t>Kavin Sharma</t>
  </si>
  <si>
    <t>2022-09-14</t>
  </si>
  <si>
    <t>STU0099</t>
  </si>
  <si>
    <t>2024-05-13</t>
  </si>
  <si>
    <t>STU0100</t>
  </si>
  <si>
    <t>2022-12-18</t>
  </si>
  <si>
    <t>STU0101</t>
  </si>
  <si>
    <t>2024-04-22</t>
  </si>
  <si>
    <t>STU0102</t>
  </si>
  <si>
    <t>2025-06-17</t>
  </si>
  <si>
    <t>STU0103</t>
  </si>
  <si>
    <t>Kavin Kumar</t>
  </si>
  <si>
    <t>2021-04-15</t>
  </si>
  <si>
    <t>STU0104</t>
  </si>
  <si>
    <t>Anu Kumar</t>
  </si>
  <si>
    <t>STU0105</t>
  </si>
  <si>
    <t>2023-09-13</t>
  </si>
  <si>
    <t>STU0106</t>
  </si>
  <si>
    <t>Priya Kumar</t>
  </si>
  <si>
    <t>2024-07-13</t>
  </si>
  <si>
    <t>STU0107</t>
  </si>
  <si>
    <t>Divya Patel</t>
  </si>
  <si>
    <t>2023-04-07</t>
  </si>
  <si>
    <t>STU0108</t>
  </si>
  <si>
    <t>Meena Patel</t>
  </si>
  <si>
    <t>2022-03-11</t>
  </si>
  <si>
    <t>STU0109</t>
  </si>
  <si>
    <t>Kavin Reddy</t>
  </si>
  <si>
    <t>2022-06-23</t>
  </si>
  <si>
    <t>STU0110</t>
  </si>
  <si>
    <t>2022-09-20</t>
  </si>
  <si>
    <t>STU0111</t>
  </si>
  <si>
    <t>STU0112</t>
  </si>
  <si>
    <t>2023-11-09</t>
  </si>
  <si>
    <t>STU0113</t>
  </si>
  <si>
    <t>Priya Sharma</t>
  </si>
  <si>
    <t>2023-09-26</t>
  </si>
  <si>
    <t>STU0114</t>
  </si>
  <si>
    <t>2024-12-18</t>
  </si>
  <si>
    <t>STU0115</t>
  </si>
  <si>
    <t>2022-11-25</t>
  </si>
  <si>
    <t>STU0116</t>
  </si>
  <si>
    <t>Rahul Nair</t>
  </si>
  <si>
    <t>2021-11-28</t>
  </si>
  <si>
    <t>STU0117</t>
  </si>
  <si>
    <t>2023-12-22</t>
  </si>
  <si>
    <t>STU0118</t>
  </si>
  <si>
    <t>2024-10-19</t>
  </si>
  <si>
    <t>STU0119</t>
  </si>
  <si>
    <t>2021-11-06</t>
  </si>
  <si>
    <t>STU0120</t>
  </si>
  <si>
    <t>Akash Kumar</t>
  </si>
  <si>
    <t>2021-12-08</t>
  </si>
  <si>
    <t>STU0121</t>
  </si>
  <si>
    <t>STU0122</t>
  </si>
  <si>
    <t>2021-06-03</t>
  </si>
  <si>
    <t>STU0123</t>
  </si>
  <si>
    <t>Ajay Kumar</t>
  </si>
  <si>
    <t>2023-01-26</t>
  </si>
  <si>
    <t>STU0124</t>
  </si>
  <si>
    <t>2022-11-29</t>
  </si>
  <si>
    <t>STU0125</t>
  </si>
  <si>
    <t>Riya Singh</t>
  </si>
  <si>
    <t>2025-10-22</t>
  </si>
  <si>
    <t>STU0126</t>
  </si>
  <si>
    <t>Varun Patel</t>
  </si>
  <si>
    <t>STU0127</t>
  </si>
  <si>
    <t>Rahul Iyer</t>
  </si>
  <si>
    <t>2024-01-19</t>
  </si>
  <si>
    <t>STU0128</t>
  </si>
  <si>
    <t>Arun Raj</t>
  </si>
  <si>
    <t>2023-05-08</t>
  </si>
  <si>
    <t>STU0129</t>
  </si>
  <si>
    <t>2023-05-06</t>
  </si>
  <si>
    <t>STU0130</t>
  </si>
  <si>
    <t>Akash Iyer</t>
  </si>
  <si>
    <t>2025-09-06</t>
  </si>
  <si>
    <t>STU0131</t>
  </si>
  <si>
    <t>Anu Iyer</t>
  </si>
  <si>
    <t>2023-02-20</t>
  </si>
  <si>
    <t>STU0132</t>
  </si>
  <si>
    <t>Arun Das</t>
  </si>
  <si>
    <t>2022-07-15</t>
  </si>
  <si>
    <t>STU0133</t>
  </si>
  <si>
    <t>2022-02-04</t>
  </si>
  <si>
    <t>STU0134</t>
  </si>
  <si>
    <t>2022-02-25</t>
  </si>
  <si>
    <t>STU0135</t>
  </si>
  <si>
    <t>2023-02-04</t>
  </si>
  <si>
    <t>STU0136</t>
  </si>
  <si>
    <t>2023-09-23</t>
  </si>
  <si>
    <t>STU0137</t>
  </si>
  <si>
    <t>2022-06-22</t>
  </si>
  <si>
    <t>STU0138</t>
  </si>
  <si>
    <t>2021-11-25</t>
  </si>
  <si>
    <t>STU0139</t>
  </si>
  <si>
    <t>2021-05-22</t>
  </si>
  <si>
    <t>STU0140</t>
  </si>
  <si>
    <t>2023-06-06</t>
  </si>
  <si>
    <t>STU0141</t>
  </si>
  <si>
    <t>Vijay Reddy</t>
  </si>
  <si>
    <t>2021-06-23</t>
  </si>
  <si>
    <t>STU0142</t>
  </si>
  <si>
    <t>2022-12-07</t>
  </si>
  <si>
    <t>STU0143</t>
  </si>
  <si>
    <t>2021-01-01</t>
  </si>
  <si>
    <t>STU0144</t>
  </si>
  <si>
    <t>STU0145</t>
  </si>
  <si>
    <t>Sneha Das</t>
  </si>
  <si>
    <t>2023-04-28</t>
  </si>
  <si>
    <t>STU0146</t>
  </si>
  <si>
    <t>Divya Sharma</t>
  </si>
  <si>
    <t>2021-02-03</t>
  </si>
  <si>
    <t>STU0147</t>
  </si>
  <si>
    <t>2023-03-10</t>
  </si>
  <si>
    <t>STU0148</t>
  </si>
  <si>
    <t>2022-11-24</t>
  </si>
  <si>
    <t>STU0149</t>
  </si>
  <si>
    <t>Varun Nair</t>
  </si>
  <si>
    <t>2021-04-16</t>
  </si>
  <si>
    <t>STU0150</t>
  </si>
  <si>
    <t>2025-09-27</t>
  </si>
  <si>
    <t>STU0151</t>
  </si>
  <si>
    <t>2024-09-13</t>
  </si>
  <si>
    <t>STU0152</t>
  </si>
  <si>
    <t>2021-03-07</t>
  </si>
  <si>
    <t>STU0153</t>
  </si>
  <si>
    <t>2023-12-05</t>
  </si>
  <si>
    <t>STU0154</t>
  </si>
  <si>
    <t>2021-08-28</t>
  </si>
  <si>
    <t>STU0155</t>
  </si>
  <si>
    <t>Riya Iyer</t>
  </si>
  <si>
    <t>2025-07-11</t>
  </si>
  <si>
    <t>STU0156</t>
  </si>
  <si>
    <t>2024-09-22</t>
  </si>
  <si>
    <t>STU0157</t>
  </si>
  <si>
    <t>STU0158</t>
  </si>
  <si>
    <t>Divya Das</t>
  </si>
  <si>
    <t>2024-10-15</t>
  </si>
  <si>
    <t>STU0159</t>
  </si>
  <si>
    <t>Riya Reddy</t>
  </si>
  <si>
    <t>2021-07-05</t>
  </si>
  <si>
    <t>STU0160</t>
  </si>
  <si>
    <t>2022-08-20</t>
  </si>
  <si>
    <t>STU0161</t>
  </si>
  <si>
    <t>2023-12-20</t>
  </si>
  <si>
    <t>STU0162</t>
  </si>
  <si>
    <t>2024-12-30</t>
  </si>
  <si>
    <t>STU0163</t>
  </si>
  <si>
    <t>2021-09-19</t>
  </si>
  <si>
    <t>STU0164</t>
  </si>
  <si>
    <t>2025-06-10</t>
  </si>
  <si>
    <t>STU0165</t>
  </si>
  <si>
    <t>Varun Kumar</t>
  </si>
  <si>
    <t>2025-10-06</t>
  </si>
  <si>
    <t>STU0166</t>
  </si>
  <si>
    <t>2024-08-08</t>
  </si>
  <si>
    <t>STU0167</t>
  </si>
  <si>
    <t>2024-02-09</t>
  </si>
  <si>
    <t>STU0168</t>
  </si>
  <si>
    <t>2021-08-22</t>
  </si>
  <si>
    <t>STU0169</t>
  </si>
  <si>
    <t>2024-10-09</t>
  </si>
  <si>
    <t>STU0170</t>
  </si>
  <si>
    <t>2025-04-26</t>
  </si>
  <si>
    <t>STU0171</t>
  </si>
  <si>
    <t>2023-07-14</t>
  </si>
  <si>
    <t>STU0172</t>
  </si>
  <si>
    <t>2021-04-22</t>
  </si>
  <si>
    <t>STU0173</t>
  </si>
  <si>
    <t>2021-04-29</t>
  </si>
  <si>
    <t>STU0174</t>
  </si>
  <si>
    <t>2025-02-14</t>
  </si>
  <si>
    <t>STU0175</t>
  </si>
  <si>
    <t>2025-07-29</t>
  </si>
  <si>
    <t>STU0176</t>
  </si>
  <si>
    <t>2022-05-06</t>
  </si>
  <si>
    <t>STU0177</t>
  </si>
  <si>
    <t>2023-02-07</t>
  </si>
  <si>
    <t>STU0178</t>
  </si>
  <si>
    <t>2025-01-15</t>
  </si>
  <si>
    <t>STU0179</t>
  </si>
  <si>
    <t>Divya Kumar</t>
  </si>
  <si>
    <t>2024-01-08</t>
  </si>
  <si>
    <t>STU0180</t>
  </si>
  <si>
    <t>Anu Nair</t>
  </si>
  <si>
    <t>2025-06-06</t>
  </si>
  <si>
    <t>STU0181</t>
  </si>
  <si>
    <t>2023-12-25</t>
  </si>
  <si>
    <t>STU0182</t>
  </si>
  <si>
    <t>2023-03-27</t>
  </si>
  <si>
    <t>STU0183</t>
  </si>
  <si>
    <t>2024-09-01</t>
  </si>
  <si>
    <t>STU0184</t>
  </si>
  <si>
    <t>2024-05-24</t>
  </si>
  <si>
    <t>STU0185</t>
  </si>
  <si>
    <t>2021-12-07</t>
  </si>
  <si>
    <t>STU0186</t>
  </si>
  <si>
    <t>2024-11-12</t>
  </si>
  <si>
    <t>STU0187</t>
  </si>
  <si>
    <t>Divya Raj</t>
  </si>
  <si>
    <t>2025-10-28</t>
  </si>
  <si>
    <t>STU0188</t>
  </si>
  <si>
    <t>2023-09-03</t>
  </si>
  <si>
    <t>STU0189</t>
  </si>
  <si>
    <t>2023-12-27</t>
  </si>
  <si>
    <t>STU0190</t>
  </si>
  <si>
    <t>STU0191</t>
  </si>
  <si>
    <t>2022-03-31</t>
  </si>
  <si>
    <t>STU0192</t>
  </si>
  <si>
    <t>Meena Sharma</t>
  </si>
  <si>
    <t>2023-01-12</t>
  </si>
  <si>
    <t>STU0193</t>
  </si>
  <si>
    <t>2024-07-01</t>
  </si>
  <si>
    <t>STU0194</t>
  </si>
  <si>
    <t>2022-09-21</t>
  </si>
  <si>
    <t>STU0195</t>
  </si>
  <si>
    <t>Sneha Singh</t>
  </si>
  <si>
    <t>2021-10-05</t>
  </si>
  <si>
    <t>STU0196</t>
  </si>
  <si>
    <t>2025-10-31</t>
  </si>
  <si>
    <t>STU0197</t>
  </si>
  <si>
    <t>2021-10-02</t>
  </si>
  <si>
    <t>STU0198</t>
  </si>
  <si>
    <t>2024-01-07</t>
  </si>
  <si>
    <t>STU0199</t>
  </si>
  <si>
    <t>2023-02-09</t>
  </si>
  <si>
    <t>STU0200</t>
  </si>
  <si>
    <t>2023-02-01</t>
  </si>
  <si>
    <t>STU0201</t>
  </si>
  <si>
    <t>2021-01-05</t>
  </si>
  <si>
    <t>STU0202</t>
  </si>
  <si>
    <t>2022-12-15</t>
  </si>
  <si>
    <t>STU0203</t>
  </si>
  <si>
    <t>2024-11-08</t>
  </si>
  <si>
    <t>STU0204</t>
  </si>
  <si>
    <t>Priya Iyer</t>
  </si>
  <si>
    <t>2025-09-23</t>
  </si>
  <si>
    <t>STU0205</t>
  </si>
  <si>
    <t>2025-05-29</t>
  </si>
  <si>
    <t>STU0206</t>
  </si>
  <si>
    <t>2024-04-11</t>
  </si>
  <si>
    <t>STU0207</t>
  </si>
  <si>
    <t>2023-11-24</t>
  </si>
  <si>
    <t>STU0208</t>
  </si>
  <si>
    <t>2025-05-25</t>
  </si>
  <si>
    <t>STU0209</t>
  </si>
  <si>
    <t>Priya Reddy</t>
  </si>
  <si>
    <t>2024-04-14</t>
  </si>
  <si>
    <t>STU0210</t>
  </si>
  <si>
    <t>2025-01-25</t>
  </si>
  <si>
    <t>STU0211</t>
  </si>
  <si>
    <t>2022-05-08</t>
  </si>
  <si>
    <t>STU0212</t>
  </si>
  <si>
    <t>Sneha Patel</t>
  </si>
  <si>
    <t>2022-10-23</t>
  </si>
  <si>
    <t>STU0213</t>
  </si>
  <si>
    <t>2022-04-12</t>
  </si>
  <si>
    <t>STU0214</t>
  </si>
  <si>
    <t>2022-07-17</t>
  </si>
  <si>
    <t>STU0215</t>
  </si>
  <si>
    <t>2022-11-26</t>
  </si>
  <si>
    <t>STU0216</t>
  </si>
  <si>
    <t>2025-11-17</t>
  </si>
  <si>
    <t>STU0217</t>
  </si>
  <si>
    <t>2021-07-20</t>
  </si>
  <si>
    <t>STU0218</t>
  </si>
  <si>
    <t>2024-06-29</t>
  </si>
  <si>
    <t>STU0219</t>
  </si>
  <si>
    <t>2024-01-24</t>
  </si>
  <si>
    <t>STU0220</t>
  </si>
  <si>
    <t>Divya Iyer</t>
  </si>
  <si>
    <t>2022-05-02</t>
  </si>
  <si>
    <t>STU0221</t>
  </si>
  <si>
    <t>Akash Gupta</t>
  </si>
  <si>
    <t>STU0222</t>
  </si>
  <si>
    <t>2021-12-06</t>
  </si>
  <si>
    <t>STU0223</t>
  </si>
  <si>
    <t>Nisha Kumar</t>
  </si>
  <si>
    <t>2025-08-08</t>
  </si>
  <si>
    <t>STU0224</t>
  </si>
  <si>
    <t>2025-04-29</t>
  </si>
  <si>
    <t>STU0225</t>
  </si>
  <si>
    <t>Meena Das</t>
  </si>
  <si>
    <t>2021-10-23</t>
  </si>
  <si>
    <t>STU0226</t>
  </si>
  <si>
    <t>Akash Singh</t>
  </si>
  <si>
    <t>2022-02-23</t>
  </si>
  <si>
    <t>STU0227</t>
  </si>
  <si>
    <t>STU0228</t>
  </si>
  <si>
    <t>2022-10-25</t>
  </si>
  <si>
    <t>STU0229</t>
  </si>
  <si>
    <t>2024-02-15</t>
  </si>
  <si>
    <t>STU0230</t>
  </si>
  <si>
    <t>Kavin Das</t>
  </si>
  <si>
    <t>2021-05-11</t>
  </si>
  <si>
    <t>STU0231</t>
  </si>
  <si>
    <t>2025-11-22</t>
  </si>
  <si>
    <t>STU0232</t>
  </si>
  <si>
    <t>Arun Singh</t>
  </si>
  <si>
    <t>2024-03-10</t>
  </si>
  <si>
    <t>STU0233</t>
  </si>
  <si>
    <t>2024-10-27</t>
  </si>
  <si>
    <t>STU0234</t>
  </si>
  <si>
    <t>2023-11-06</t>
  </si>
  <si>
    <t>STU0235</t>
  </si>
  <si>
    <t>Rahul Das</t>
  </si>
  <si>
    <t>2024-03-09</t>
  </si>
  <si>
    <t>STU0236</t>
  </si>
  <si>
    <t>2023-08-16</t>
  </si>
  <si>
    <t>STU0237</t>
  </si>
  <si>
    <t>2025-11-10</t>
  </si>
  <si>
    <t>STU0238</t>
  </si>
  <si>
    <t>STU0239</t>
  </si>
  <si>
    <t>Surya Das</t>
  </si>
  <si>
    <t>2023-09-11</t>
  </si>
  <si>
    <t>STU0240</t>
  </si>
  <si>
    <t>Surya Gupta</t>
  </si>
  <si>
    <t>2025-07-10</t>
  </si>
  <si>
    <t>STU0241</t>
  </si>
  <si>
    <t>Sneha Reddy</t>
  </si>
  <si>
    <t>2025-09-13</t>
  </si>
  <si>
    <t>STU0242</t>
  </si>
  <si>
    <t>2022-12-26</t>
  </si>
  <si>
    <t>STU0243</t>
  </si>
  <si>
    <t>STU0244</t>
  </si>
  <si>
    <t>2023-04-23</t>
  </si>
  <si>
    <t>STU0245</t>
  </si>
  <si>
    <t>STU0246</t>
  </si>
  <si>
    <t>2024-03-15</t>
  </si>
  <si>
    <t>STU0247</t>
  </si>
  <si>
    <t>2025-01-06</t>
  </si>
  <si>
    <t>STU0248</t>
  </si>
  <si>
    <t>2021-03-04</t>
  </si>
  <si>
    <t>STU0249</t>
  </si>
  <si>
    <t>2025-02-20</t>
  </si>
  <si>
    <t>STU0250</t>
  </si>
  <si>
    <t>2021-01-06</t>
  </si>
  <si>
    <t>STU0251</t>
  </si>
  <si>
    <t>2023-10-07</t>
  </si>
  <si>
    <t>STU0252</t>
  </si>
  <si>
    <t>2022-08-11</t>
  </si>
  <si>
    <t>STU0253</t>
  </si>
  <si>
    <t>Kavin Raj</t>
  </si>
  <si>
    <t>STU0254</t>
  </si>
  <si>
    <t>2021-03-28</t>
  </si>
  <si>
    <t>STU0255</t>
  </si>
  <si>
    <t>STU0256</t>
  </si>
  <si>
    <t>2025-06-04</t>
  </si>
  <si>
    <t>STU0257</t>
  </si>
  <si>
    <t>2021-09-03</t>
  </si>
  <si>
    <t>STU0258</t>
  </si>
  <si>
    <t>2024-04-28</t>
  </si>
  <si>
    <t>STU0259</t>
  </si>
  <si>
    <t>2023-01-04</t>
  </si>
  <si>
    <t>STU0260</t>
  </si>
  <si>
    <t>2023-01-30</t>
  </si>
  <si>
    <t>STU0261</t>
  </si>
  <si>
    <t>2022-11-27</t>
  </si>
  <si>
    <t>STU0262</t>
  </si>
  <si>
    <t>STU0263</t>
  </si>
  <si>
    <t>STU0264</t>
  </si>
  <si>
    <t>2021-08-26</t>
  </si>
  <si>
    <t>STU0265</t>
  </si>
  <si>
    <t>2025-02-02</t>
  </si>
  <si>
    <t>STU0266</t>
  </si>
  <si>
    <t>2023-07-30</t>
  </si>
  <si>
    <t>STU0267</t>
  </si>
  <si>
    <t>2022-04-29</t>
  </si>
  <si>
    <t>STU0268</t>
  </si>
  <si>
    <t>Anu Singh</t>
  </si>
  <si>
    <t>2021-01-24</t>
  </si>
  <si>
    <t>STU0269</t>
  </si>
  <si>
    <t>2022-09-23</t>
  </si>
  <si>
    <t>STU0270</t>
  </si>
  <si>
    <t>2023-05-25</t>
  </si>
  <si>
    <t>STU0271</t>
  </si>
  <si>
    <t>2022-06-02</t>
  </si>
  <si>
    <t>STU0272</t>
  </si>
  <si>
    <t>2023-01-18</t>
  </si>
  <si>
    <t>STU0273</t>
  </si>
  <si>
    <t>STU0274</t>
  </si>
  <si>
    <t>2023-08-08</t>
  </si>
  <si>
    <t>STU0275</t>
  </si>
  <si>
    <t>STU0276</t>
  </si>
  <si>
    <t>2025-08-14</t>
  </si>
  <si>
    <t>STU0277</t>
  </si>
  <si>
    <t>2024-12-04</t>
  </si>
  <si>
    <t>STU0278</t>
  </si>
  <si>
    <t>2022-06-08</t>
  </si>
  <si>
    <t>STU0279</t>
  </si>
  <si>
    <t>2024-08-17</t>
  </si>
  <si>
    <t>STU0280</t>
  </si>
  <si>
    <t>2022-07-25</t>
  </si>
  <si>
    <t>STU0281</t>
  </si>
  <si>
    <t>STU0282</t>
  </si>
  <si>
    <t>2021-11-19</t>
  </si>
  <si>
    <t>STU0283</t>
  </si>
  <si>
    <t>2021-01-26</t>
  </si>
  <si>
    <t>STU0284</t>
  </si>
  <si>
    <t>Rahul Kumar</t>
  </si>
  <si>
    <t>STU0285</t>
  </si>
  <si>
    <t>2021-09-30</t>
  </si>
  <si>
    <t>STU0286</t>
  </si>
  <si>
    <t>2022-09-10</t>
  </si>
  <si>
    <t>STU0287</t>
  </si>
  <si>
    <t>Arun Patel</t>
  </si>
  <si>
    <t>2021-01-15</t>
  </si>
  <si>
    <t>STU0288</t>
  </si>
  <si>
    <t>2022-05-23</t>
  </si>
  <si>
    <t>STU0289</t>
  </si>
  <si>
    <t>2023-09-19</t>
  </si>
  <si>
    <t>STU0290</t>
  </si>
  <si>
    <t>2024-07-24</t>
  </si>
  <si>
    <t>STU0291</t>
  </si>
  <si>
    <t>2025-11-05</t>
  </si>
  <si>
    <t>STU0292</t>
  </si>
  <si>
    <t>2022-12-08</t>
  </si>
  <si>
    <t>STU0293</t>
  </si>
  <si>
    <t>2022-06-19</t>
  </si>
  <si>
    <t>STU0294</t>
  </si>
  <si>
    <t>2022-09-01</t>
  </si>
  <si>
    <t>STU0295</t>
  </si>
  <si>
    <t>2021-04-25</t>
  </si>
  <si>
    <t>STU0296</t>
  </si>
  <si>
    <t>2021-04-18</t>
  </si>
  <si>
    <t>STU0297</t>
  </si>
  <si>
    <t>Kavin Gupta</t>
  </si>
  <si>
    <t>2023-01-11</t>
  </si>
  <si>
    <t>STU0298</t>
  </si>
  <si>
    <t>2024-02-21</t>
  </si>
  <si>
    <t>STU0299</t>
  </si>
  <si>
    <t>2022-07-29</t>
  </si>
  <si>
    <t>STU0300</t>
  </si>
  <si>
    <t>2021-03-18</t>
  </si>
  <si>
    <t>STU0301</t>
  </si>
  <si>
    <t>2025-01-18</t>
  </si>
  <si>
    <t>STU0302</t>
  </si>
  <si>
    <t>2025-02-11</t>
  </si>
  <si>
    <t>STU0303</t>
  </si>
  <si>
    <t>Ajay Nair</t>
  </si>
  <si>
    <t>2021-06-02</t>
  </si>
  <si>
    <t>STU0304</t>
  </si>
  <si>
    <t>2023-02-22</t>
  </si>
  <si>
    <t>STU0305</t>
  </si>
  <si>
    <t>2021-06-01</t>
  </si>
  <si>
    <t>STU0306</t>
  </si>
  <si>
    <t>STU0307</t>
  </si>
  <si>
    <t>STU0308</t>
  </si>
  <si>
    <t>2024-02-19</t>
  </si>
  <si>
    <t>STU0309</t>
  </si>
  <si>
    <t>2023-05-01</t>
  </si>
  <si>
    <t>A+</t>
  </si>
  <si>
    <t>STU0310</t>
  </si>
  <si>
    <t>2021-05-08</t>
  </si>
  <si>
    <t>STU0311</t>
  </si>
  <si>
    <t>2022-12-12</t>
  </si>
  <si>
    <t>STU0312</t>
  </si>
  <si>
    <t>STU0313</t>
  </si>
  <si>
    <t>Akash Sharma</t>
  </si>
  <si>
    <t>2024-01-10</t>
  </si>
  <si>
    <t>STU0314</t>
  </si>
  <si>
    <t>2022-02-01</t>
  </si>
  <si>
    <t>STU0315</t>
  </si>
  <si>
    <t>2024-06-20</t>
  </si>
  <si>
    <t>STU0316</t>
  </si>
  <si>
    <t>STU0317</t>
  </si>
  <si>
    <t>2021-10-10</t>
  </si>
  <si>
    <t>STU0318</t>
  </si>
  <si>
    <t>Ajay Reddy</t>
  </si>
  <si>
    <t>2024-08-13</t>
  </si>
  <si>
    <t>STU0319</t>
  </si>
  <si>
    <t>2023-06-28</t>
  </si>
  <si>
    <t>STU0320</t>
  </si>
  <si>
    <t>2022-03-27</t>
  </si>
  <si>
    <t>STU0321</t>
  </si>
  <si>
    <t>2024-08-20</t>
  </si>
  <si>
    <t>STU0322</t>
  </si>
  <si>
    <t>2021-02-26</t>
  </si>
  <si>
    <t>STU0323</t>
  </si>
  <si>
    <t>2021-08-31</t>
  </si>
  <si>
    <t>STU0324</t>
  </si>
  <si>
    <t>2023-12-02</t>
  </si>
  <si>
    <t>STU0325</t>
  </si>
  <si>
    <t>2024-04-24</t>
  </si>
  <si>
    <t>STU0326</t>
  </si>
  <si>
    <t>2021-09-06</t>
  </si>
  <si>
    <t>STU0327</t>
  </si>
  <si>
    <t>2025-08-18</t>
  </si>
  <si>
    <t>STU0328</t>
  </si>
  <si>
    <t>Meena Raj</t>
  </si>
  <si>
    <t>2023-10-22</t>
  </si>
  <si>
    <t>STU0329</t>
  </si>
  <si>
    <t>2023-08-22</t>
  </si>
  <si>
    <t>STU0330</t>
  </si>
  <si>
    <t>2024-01-18</t>
  </si>
  <si>
    <t>STU0331</t>
  </si>
  <si>
    <t>2025-03-01</t>
  </si>
  <si>
    <t>STU0332</t>
  </si>
  <si>
    <t>STU0333</t>
  </si>
  <si>
    <t>Surya Reddy</t>
  </si>
  <si>
    <t>STU0334</t>
  </si>
  <si>
    <t>2021-04-04</t>
  </si>
  <si>
    <t>STU0335</t>
  </si>
  <si>
    <t>STU0336</t>
  </si>
  <si>
    <t>2025-06-03</t>
  </si>
  <si>
    <t>STU0337</t>
  </si>
  <si>
    <t>2025-03-09</t>
  </si>
  <si>
    <t>STU0338</t>
  </si>
  <si>
    <t>2025-07-19</t>
  </si>
  <si>
    <t>STU0339</t>
  </si>
  <si>
    <t>Riya Sharma</t>
  </si>
  <si>
    <t>2022-01-20</t>
  </si>
  <si>
    <t>STU0340</t>
  </si>
  <si>
    <t>2025-04-27</t>
  </si>
  <si>
    <t>STU0341</t>
  </si>
  <si>
    <t>Nisha Singh</t>
  </si>
  <si>
    <t>STU0342</t>
  </si>
  <si>
    <t>2024-10-11</t>
  </si>
  <si>
    <t>STU0343</t>
  </si>
  <si>
    <t>2021-10-30</t>
  </si>
  <si>
    <t>STU0344</t>
  </si>
  <si>
    <t>2022-04-30</t>
  </si>
  <si>
    <t>STU0345</t>
  </si>
  <si>
    <t>Arun Gupta</t>
  </si>
  <si>
    <t>2021-02-15</t>
  </si>
  <si>
    <t>STU0346</t>
  </si>
  <si>
    <t>Surya Kumar</t>
  </si>
  <si>
    <t>2024-10-12</t>
  </si>
  <si>
    <t>STU0347</t>
  </si>
  <si>
    <t>2021-09-22</t>
  </si>
  <si>
    <t>STU0348</t>
  </si>
  <si>
    <t>2025-07-07</t>
  </si>
  <si>
    <t>STU0349</t>
  </si>
  <si>
    <t>2021-02-10</t>
  </si>
  <si>
    <t>STU0350</t>
  </si>
  <si>
    <t>Vijay Gupta</t>
  </si>
  <si>
    <t>2023-01-03</t>
  </si>
  <si>
    <t>STU0351</t>
  </si>
  <si>
    <t>2024-04-18</t>
  </si>
  <si>
    <t>STU0352</t>
  </si>
  <si>
    <t>2021-04-28</t>
  </si>
  <si>
    <t>STU0353</t>
  </si>
  <si>
    <t>2024-04-10</t>
  </si>
  <si>
    <t>STU0354</t>
  </si>
  <si>
    <t>2025-05-17</t>
  </si>
  <si>
    <t>STU0355</t>
  </si>
  <si>
    <t>2023-08-01</t>
  </si>
  <si>
    <t>STU0356</t>
  </si>
  <si>
    <t>2024-01-14</t>
  </si>
  <si>
    <t>STU0357</t>
  </si>
  <si>
    <t>2021-03-27</t>
  </si>
  <si>
    <t>STU0358</t>
  </si>
  <si>
    <t>STU0359</t>
  </si>
  <si>
    <t>2022-02-26</t>
  </si>
  <si>
    <t>STU0360</t>
  </si>
  <si>
    <t>2025-07-27</t>
  </si>
  <si>
    <t>STU0361</t>
  </si>
  <si>
    <t>STU0362</t>
  </si>
  <si>
    <t>2025-03-28</t>
  </si>
  <si>
    <t>STU0363</t>
  </si>
  <si>
    <t>2021-03-09</t>
  </si>
  <si>
    <t>STU0364</t>
  </si>
  <si>
    <t>2025-01-04</t>
  </si>
  <si>
    <t>STU0365</t>
  </si>
  <si>
    <t>2025-11-30</t>
  </si>
  <si>
    <t>STU0366</t>
  </si>
  <si>
    <t>2024-09-15</t>
  </si>
  <si>
    <t>STU0367</t>
  </si>
  <si>
    <t>2025-07-01</t>
  </si>
  <si>
    <t>STU0368</t>
  </si>
  <si>
    <t>Varun Singh</t>
  </si>
  <si>
    <t>2022-09-03</t>
  </si>
  <si>
    <t>STU0369</t>
  </si>
  <si>
    <t>2021-07-27</t>
  </si>
  <si>
    <t>STU0370</t>
  </si>
  <si>
    <t>Varun Raj</t>
  </si>
  <si>
    <t>2022-10-29</t>
  </si>
  <si>
    <t>STU0371</t>
  </si>
  <si>
    <t>STU0372</t>
  </si>
  <si>
    <t>2025-05-08</t>
  </si>
  <si>
    <t>STU0373</t>
  </si>
  <si>
    <t>2022-03-04</t>
  </si>
  <si>
    <t>STU0374</t>
  </si>
  <si>
    <t>2024-03-26</t>
  </si>
  <si>
    <t>STU0375</t>
  </si>
  <si>
    <t>2023-05-13</t>
  </si>
  <si>
    <t>STU0376</t>
  </si>
  <si>
    <t>Sneha Nair</t>
  </si>
  <si>
    <t>STU0377</t>
  </si>
  <si>
    <t>2025-01-08</t>
  </si>
  <si>
    <t>STU0378</t>
  </si>
  <si>
    <t>Surya Sharma</t>
  </si>
  <si>
    <t>2023-06-16</t>
  </si>
  <si>
    <t>STU0379</t>
  </si>
  <si>
    <t>2025-12-02</t>
  </si>
  <si>
    <t>STU0380</t>
  </si>
  <si>
    <t>2022-01-28</t>
  </si>
  <si>
    <t>STU0381</t>
  </si>
  <si>
    <t>2022-04-09</t>
  </si>
  <si>
    <t>STU0382</t>
  </si>
  <si>
    <t>2023-11-30</t>
  </si>
  <si>
    <t>STU0383</t>
  </si>
  <si>
    <t>2021-08-16</t>
  </si>
  <si>
    <t>STU0384</t>
  </si>
  <si>
    <t>Ajay Das</t>
  </si>
  <si>
    <t>2022-09-08</t>
  </si>
  <si>
    <t>STU0385</t>
  </si>
  <si>
    <t>STU0386</t>
  </si>
  <si>
    <t>2023-01-20</t>
  </si>
  <si>
    <t>STU0387</t>
  </si>
  <si>
    <t>2025-05-12</t>
  </si>
  <si>
    <t>STU0388</t>
  </si>
  <si>
    <t>2025-01-21</t>
  </si>
  <si>
    <t>STU0389</t>
  </si>
  <si>
    <t>STU0390</t>
  </si>
  <si>
    <t>2022-05-07</t>
  </si>
  <si>
    <t>STU0391</t>
  </si>
  <si>
    <t>Kavin Patel</t>
  </si>
  <si>
    <t>2022-10-09</t>
  </si>
  <si>
    <t>STU0392</t>
  </si>
  <si>
    <t>2024-10-20</t>
  </si>
  <si>
    <t>STU0393</t>
  </si>
  <si>
    <t>STU0394</t>
  </si>
  <si>
    <t>2023-04-05</t>
  </si>
  <si>
    <t>STU0395</t>
  </si>
  <si>
    <t>2025-01-26</t>
  </si>
  <si>
    <t>STU0396</t>
  </si>
  <si>
    <t>2024-07-09</t>
  </si>
  <si>
    <t>STU0397</t>
  </si>
  <si>
    <t>STU0398</t>
  </si>
  <si>
    <t>2023-06-03</t>
  </si>
  <si>
    <t>STU0399</t>
  </si>
  <si>
    <t>2025-08-29</t>
  </si>
  <si>
    <t>STU0400</t>
  </si>
  <si>
    <t>2023-12-24</t>
  </si>
  <si>
    <t>STU0401</t>
  </si>
  <si>
    <t>2022-02-21</t>
  </si>
  <si>
    <t>STU0402</t>
  </si>
  <si>
    <t>2022-06-14</t>
  </si>
  <si>
    <t>STU0403</t>
  </si>
  <si>
    <t>2021-08-29</t>
  </si>
  <si>
    <t>STU0404</t>
  </si>
  <si>
    <t>2021-08-10</t>
  </si>
  <si>
    <t>STU0405</t>
  </si>
  <si>
    <t>2024-01-04</t>
  </si>
  <si>
    <t>STU0406</t>
  </si>
  <si>
    <t>STU0407</t>
  </si>
  <si>
    <t>2022-12-27</t>
  </si>
  <si>
    <t>STU0408</t>
  </si>
  <si>
    <t>2023-09-17</t>
  </si>
  <si>
    <t>STU0409</t>
  </si>
  <si>
    <t>STU0410</t>
  </si>
  <si>
    <t>2021-08-04</t>
  </si>
  <si>
    <t>STU0411</t>
  </si>
  <si>
    <t>2024-12-16</t>
  </si>
  <si>
    <t>STU0412</t>
  </si>
  <si>
    <t>2025-11-27</t>
  </si>
  <si>
    <t>STU0413</t>
  </si>
  <si>
    <t>STU0414</t>
  </si>
  <si>
    <t>2023-03-29</t>
  </si>
  <si>
    <t>STU0415</t>
  </si>
  <si>
    <t>2025-10-14</t>
  </si>
  <si>
    <t>STU0416</t>
  </si>
  <si>
    <t>2023-03-15</t>
  </si>
  <si>
    <t>STU0417</t>
  </si>
  <si>
    <t>2023-10-08</t>
  </si>
  <si>
    <t>STU0418</t>
  </si>
  <si>
    <t>2025-04-21</t>
  </si>
  <si>
    <t>STU0419</t>
  </si>
  <si>
    <t>Vijay Kumar</t>
  </si>
  <si>
    <t>2023-03-01</t>
  </si>
  <si>
    <t>STU0420</t>
  </si>
  <si>
    <t>STU0421</t>
  </si>
  <si>
    <t>Rahul Gupta</t>
  </si>
  <si>
    <t>2024-02-25</t>
  </si>
  <si>
    <t>STU0422</t>
  </si>
  <si>
    <t>2024-05-23</t>
  </si>
  <si>
    <t>STU0423</t>
  </si>
  <si>
    <t>2021-06-04</t>
  </si>
  <si>
    <t>STU0424</t>
  </si>
  <si>
    <t>2021-05-06</t>
  </si>
  <si>
    <t>STU0425</t>
  </si>
  <si>
    <t>2024-06-01</t>
  </si>
  <si>
    <t>STU0426</t>
  </si>
  <si>
    <t>STU0427</t>
  </si>
  <si>
    <t>2023-05-22</t>
  </si>
  <si>
    <t>STU0428</t>
  </si>
  <si>
    <t>STU0429</t>
  </si>
  <si>
    <t>2021-10-06</t>
  </si>
  <si>
    <t>STU0430</t>
  </si>
  <si>
    <t>2021-12-25</t>
  </si>
  <si>
    <t>STU0431</t>
  </si>
  <si>
    <t>2023-07-17</t>
  </si>
  <si>
    <t>STU0432</t>
  </si>
  <si>
    <t>2022-01-13</t>
  </si>
  <si>
    <t>STU0433</t>
  </si>
  <si>
    <t>2023-07-06</t>
  </si>
  <si>
    <t>STU0434</t>
  </si>
  <si>
    <t>2023-09-21</t>
  </si>
  <si>
    <t>STU0435</t>
  </si>
  <si>
    <t>2024-11-23</t>
  </si>
  <si>
    <t>STU0436</t>
  </si>
  <si>
    <t>2024-08-16</t>
  </si>
  <si>
    <t>STU0437</t>
  </si>
  <si>
    <t>STU0438</t>
  </si>
  <si>
    <t>2022-05-25</t>
  </si>
  <si>
    <t>STU0439</t>
  </si>
  <si>
    <t>2025-04-25</t>
  </si>
  <si>
    <t>STU0440</t>
  </si>
  <si>
    <t>2024-06-30</t>
  </si>
  <si>
    <t>STU0441</t>
  </si>
  <si>
    <t>2023-10-02</t>
  </si>
  <si>
    <t>STU0442</t>
  </si>
  <si>
    <t>2025-04-11</t>
  </si>
  <si>
    <t>STU0443</t>
  </si>
  <si>
    <t>2025-10-11</t>
  </si>
  <si>
    <t>STU0444</t>
  </si>
  <si>
    <t>2024-12-10</t>
  </si>
  <si>
    <t>STU0445</t>
  </si>
  <si>
    <t>STU0446</t>
  </si>
  <si>
    <t>2025-05-04</t>
  </si>
  <si>
    <t>STU0447</t>
  </si>
  <si>
    <t>2021-04-14</t>
  </si>
  <si>
    <t>STU0448</t>
  </si>
  <si>
    <t>2022-11-22</t>
  </si>
  <si>
    <t>STU0449</t>
  </si>
  <si>
    <t>2022-03-07</t>
  </si>
  <si>
    <t>STU0450</t>
  </si>
  <si>
    <t>2025-02-23</t>
  </si>
  <si>
    <t>STU0451</t>
  </si>
  <si>
    <t>2025-01-12</t>
  </si>
  <si>
    <t>STU0452</t>
  </si>
  <si>
    <t>2021-06-22</t>
  </si>
  <si>
    <t>STU0453</t>
  </si>
  <si>
    <t>2022-02-13</t>
  </si>
  <si>
    <t>STU0454</t>
  </si>
  <si>
    <t>2024-03-13</t>
  </si>
  <si>
    <t>STU0455</t>
  </si>
  <si>
    <t>2024-06-12</t>
  </si>
  <si>
    <t>STU0456</t>
  </si>
  <si>
    <t>STU0457</t>
  </si>
  <si>
    <t>2021-12-10</t>
  </si>
  <si>
    <t>STU0458</t>
  </si>
  <si>
    <t>2021-09-24</t>
  </si>
  <si>
    <t>STU0459</t>
  </si>
  <si>
    <t>2022-07-05</t>
  </si>
  <si>
    <t>STU0460</t>
  </si>
  <si>
    <t>2024-01-13</t>
  </si>
  <si>
    <t>STU0461</t>
  </si>
  <si>
    <t>STU0462</t>
  </si>
  <si>
    <t>STU0463</t>
  </si>
  <si>
    <t>2024-11-07</t>
  </si>
  <si>
    <t>STU0464</t>
  </si>
  <si>
    <t>STU0465</t>
  </si>
  <si>
    <t>2022-07-23</t>
  </si>
  <si>
    <t>STU0466</t>
  </si>
  <si>
    <t>2023-11-16</t>
  </si>
  <si>
    <t>STU0467</t>
  </si>
  <si>
    <t>STU0468</t>
  </si>
  <si>
    <t>2024-12-25</t>
  </si>
  <si>
    <t>STU0469</t>
  </si>
  <si>
    <t>2024-10-28</t>
  </si>
  <si>
    <t>STU0470</t>
  </si>
  <si>
    <t>2025-06-24</t>
  </si>
  <si>
    <t>STU0471</t>
  </si>
  <si>
    <t>2024-07-08</t>
  </si>
  <si>
    <t>STU0472</t>
  </si>
  <si>
    <t>2023-06-02</t>
  </si>
  <si>
    <t>STU0473</t>
  </si>
  <si>
    <t>2024-02-13</t>
  </si>
  <si>
    <t>STU0474</t>
  </si>
  <si>
    <t>Riya Das</t>
  </si>
  <si>
    <t>2021-03-05</t>
  </si>
  <si>
    <t>STU0475</t>
  </si>
  <si>
    <t>2021-04-19</t>
  </si>
  <si>
    <t>STU0476</t>
  </si>
  <si>
    <t>STU0477</t>
  </si>
  <si>
    <t>2021-11-15</t>
  </si>
  <si>
    <t>STU0478</t>
  </si>
  <si>
    <t>Riya Nair</t>
  </si>
  <si>
    <t>STU0479</t>
  </si>
  <si>
    <t>2025-03-10</t>
  </si>
  <si>
    <t>STU0480</t>
  </si>
  <si>
    <t>2023-01-16</t>
  </si>
  <si>
    <t>STU0481</t>
  </si>
  <si>
    <t>STU0482</t>
  </si>
  <si>
    <t>2025-12-01</t>
  </si>
  <si>
    <t>STU0483</t>
  </si>
  <si>
    <t>2021-01-10</t>
  </si>
  <si>
    <t>STU0484</t>
  </si>
  <si>
    <t>2025-07-20</t>
  </si>
  <si>
    <t>STU0485</t>
  </si>
  <si>
    <t>2022-05-01</t>
  </si>
  <si>
    <t>STU0486</t>
  </si>
  <si>
    <t>2022-11-15</t>
  </si>
  <si>
    <t>STU0487</t>
  </si>
  <si>
    <t>STU0488</t>
  </si>
  <si>
    <t>STU0489</t>
  </si>
  <si>
    <t>STU0490</t>
  </si>
  <si>
    <t>STU0491</t>
  </si>
  <si>
    <t>2025-09-05</t>
  </si>
  <si>
    <t>STU0492</t>
  </si>
  <si>
    <t>2022-06-11</t>
  </si>
  <si>
    <t>STU0493</t>
  </si>
  <si>
    <t>2024-08-21</t>
  </si>
  <si>
    <t>STU0494</t>
  </si>
  <si>
    <t>STU0495</t>
  </si>
  <si>
    <t>2025-07-03</t>
  </si>
  <si>
    <t>STU0496</t>
  </si>
  <si>
    <t>2023-05-09</t>
  </si>
  <si>
    <t>STU0497</t>
  </si>
  <si>
    <t>2025-01-17</t>
  </si>
  <si>
    <t>STU0498</t>
  </si>
  <si>
    <t>2023-05-21</t>
  </si>
  <si>
    <t>STU0499</t>
  </si>
  <si>
    <t>2023-01-15</t>
  </si>
  <si>
    <t>STU0500</t>
  </si>
  <si>
    <t>2023-05-16</t>
  </si>
  <si>
    <t>STU0501</t>
  </si>
  <si>
    <t>2022-10-12</t>
  </si>
  <si>
    <t>STU0502</t>
  </si>
  <si>
    <t>2022-01-18</t>
  </si>
  <si>
    <t>STU0503</t>
  </si>
  <si>
    <t>2021-01-04</t>
  </si>
  <si>
    <t>STU0504</t>
  </si>
  <si>
    <t>2021-09-27</t>
  </si>
  <si>
    <t>STU0505</t>
  </si>
  <si>
    <t>2023-08-04</t>
  </si>
  <si>
    <t>STU0506</t>
  </si>
  <si>
    <t>2022-03-18</t>
  </si>
  <si>
    <t>STU0507</t>
  </si>
  <si>
    <t>2021-07-17</t>
  </si>
  <si>
    <t>STU0508</t>
  </si>
  <si>
    <t>Riya Patel</t>
  </si>
  <si>
    <t>2024-04-25</t>
  </si>
  <si>
    <t>STU0509</t>
  </si>
  <si>
    <t>2024-05-31</t>
  </si>
  <si>
    <t>STU0510</t>
  </si>
  <si>
    <t>2021-06-14</t>
  </si>
  <si>
    <t>STU0511</t>
  </si>
  <si>
    <t>2021-08-12</t>
  </si>
  <si>
    <t>STU0512</t>
  </si>
  <si>
    <t>2022-04-08</t>
  </si>
  <si>
    <t>STU0513</t>
  </si>
  <si>
    <t>2021-06-18</t>
  </si>
  <si>
    <t>STU0514</t>
  </si>
  <si>
    <t>2023-04-19</t>
  </si>
  <si>
    <t>STU0515</t>
  </si>
  <si>
    <t>STU0516</t>
  </si>
  <si>
    <t>2021-09-23</t>
  </si>
  <si>
    <t>STU0517</t>
  </si>
  <si>
    <t>2023-02-03</t>
  </si>
  <si>
    <t>STU0518</t>
  </si>
  <si>
    <t>2022-01-22</t>
  </si>
  <si>
    <t>STU0519</t>
  </si>
  <si>
    <t>2023-12-01</t>
  </si>
  <si>
    <t>STU0520</t>
  </si>
  <si>
    <t>2025-10-26</t>
  </si>
  <si>
    <t>STU0521</t>
  </si>
  <si>
    <t>2021-03-19</t>
  </si>
  <si>
    <t>STU0522</t>
  </si>
  <si>
    <t>2022-06-20</t>
  </si>
  <si>
    <t>STU0523</t>
  </si>
  <si>
    <t>2023-03-13</t>
  </si>
  <si>
    <t>STU0524</t>
  </si>
  <si>
    <t>2024-03-02</t>
  </si>
  <si>
    <t>STU0525</t>
  </si>
  <si>
    <t>2024-01-23</t>
  </si>
  <si>
    <t>STU0526</t>
  </si>
  <si>
    <t>STU0527</t>
  </si>
  <si>
    <t>2022-12-01</t>
  </si>
  <si>
    <t>STU0528</t>
  </si>
  <si>
    <t>2021-06-30</t>
  </si>
  <si>
    <t>STU0529</t>
  </si>
  <si>
    <t>STU0530</t>
  </si>
  <si>
    <t>2023-03-21</t>
  </si>
  <si>
    <t>STU0531</t>
  </si>
  <si>
    <t>2021-11-29</t>
  </si>
  <si>
    <t>STU0532</t>
  </si>
  <si>
    <t>2022-07-14</t>
  </si>
  <si>
    <t>STU0533</t>
  </si>
  <si>
    <t>2024-09-27</t>
  </si>
  <si>
    <t>STU0534</t>
  </si>
  <si>
    <t>2021-12-21</t>
  </si>
  <si>
    <t>STU0535</t>
  </si>
  <si>
    <t>2023-10-09</t>
  </si>
  <si>
    <t>STU0536</t>
  </si>
  <si>
    <t>2024-04-03</t>
  </si>
  <si>
    <t>STU0537</t>
  </si>
  <si>
    <t>STU0538</t>
  </si>
  <si>
    <t>2021-05-17</t>
  </si>
  <si>
    <t>STU0539</t>
  </si>
  <si>
    <t>2024-06-05</t>
  </si>
  <si>
    <t>STU0540</t>
  </si>
  <si>
    <t>STU0541</t>
  </si>
  <si>
    <t>STU0542</t>
  </si>
  <si>
    <t>2024-02-28</t>
  </si>
  <si>
    <t>STU0543</t>
  </si>
  <si>
    <t>Arun Kumar</t>
  </si>
  <si>
    <t>STU0544</t>
  </si>
  <si>
    <t>2021-10-07</t>
  </si>
  <si>
    <t>STU0545</t>
  </si>
  <si>
    <t>2024-10-08</t>
  </si>
  <si>
    <t>STU0546</t>
  </si>
  <si>
    <t>STU0547</t>
  </si>
  <si>
    <t>2024-06-08</t>
  </si>
  <si>
    <t>STU0548</t>
  </si>
  <si>
    <t>2021-05-19</t>
  </si>
  <si>
    <t>STU0549</t>
  </si>
  <si>
    <t>2024-01-30</t>
  </si>
  <si>
    <t>STU0550</t>
  </si>
  <si>
    <t>2024-06-26</t>
  </si>
  <si>
    <t>STU0551</t>
  </si>
  <si>
    <t>2024-07-11</t>
  </si>
  <si>
    <t>STU0552</t>
  </si>
  <si>
    <t>2021-09-12</t>
  </si>
  <si>
    <t>STU0553</t>
  </si>
  <si>
    <t>2022-03-23</t>
  </si>
  <si>
    <t>STU0554</t>
  </si>
  <si>
    <t>2025-05-05</t>
  </si>
  <si>
    <t>STU0555</t>
  </si>
  <si>
    <t>2024-05-18</t>
  </si>
  <si>
    <t>STU0556</t>
  </si>
  <si>
    <t>2024-05-26</t>
  </si>
  <si>
    <t>STU0557</t>
  </si>
  <si>
    <t>Riya Gupta</t>
  </si>
  <si>
    <t>2022-01-24</t>
  </si>
  <si>
    <t>STU0558</t>
  </si>
  <si>
    <t>2024-07-25</t>
  </si>
  <si>
    <t>STU0559</t>
  </si>
  <si>
    <t>2023-12-17</t>
  </si>
  <si>
    <t>STU0560</t>
  </si>
  <si>
    <t>2022-03-20</t>
  </si>
  <si>
    <t>STU0561</t>
  </si>
  <si>
    <t>2024-02-14</t>
  </si>
  <si>
    <t>STU0562</t>
  </si>
  <si>
    <t>STU0563</t>
  </si>
  <si>
    <t>2021-06-05</t>
  </si>
  <si>
    <t>STU0564</t>
  </si>
  <si>
    <t>STU0565</t>
  </si>
  <si>
    <t>2021-07-12</t>
  </si>
  <si>
    <t>STU0566</t>
  </si>
  <si>
    <t>2022-10-20</t>
  </si>
  <si>
    <t>STU0567</t>
  </si>
  <si>
    <t>2022-11-21</t>
  </si>
  <si>
    <t>STU0568</t>
  </si>
  <si>
    <t>2025-03-15</t>
  </si>
  <si>
    <t>STU0569</t>
  </si>
  <si>
    <t>STU0570</t>
  </si>
  <si>
    <t>2024-06-23</t>
  </si>
  <si>
    <t>STU0571</t>
  </si>
  <si>
    <t>STU0572</t>
  </si>
  <si>
    <t>2023-05-20</t>
  </si>
  <si>
    <t>STU0573</t>
  </si>
  <si>
    <t>2022-10-31</t>
  </si>
  <si>
    <t>STU0574</t>
  </si>
  <si>
    <t>STU0575</t>
  </si>
  <si>
    <t>2023-02-16</t>
  </si>
  <si>
    <t>STU0576</t>
  </si>
  <si>
    <t>2024-06-27</t>
  </si>
  <si>
    <t>STU0577</t>
  </si>
  <si>
    <t>2024-02-01</t>
  </si>
  <si>
    <t>STU0578</t>
  </si>
  <si>
    <t>2023-10-19</t>
  </si>
  <si>
    <t>STU0579</t>
  </si>
  <si>
    <t>2023-08-05</t>
  </si>
  <si>
    <t>STU0580</t>
  </si>
  <si>
    <t>2022-03-08</t>
  </si>
  <si>
    <t>STU0581</t>
  </si>
  <si>
    <t>STU0582</t>
  </si>
  <si>
    <t>2023-01-09</t>
  </si>
  <si>
    <t>STU0583</t>
  </si>
  <si>
    <t>Vijay Patel</t>
  </si>
  <si>
    <t>2021-02-25</t>
  </si>
  <si>
    <t>STU0584</t>
  </si>
  <si>
    <t>2022-03-12</t>
  </si>
  <si>
    <t>STU0585</t>
  </si>
  <si>
    <t>STU0586</t>
  </si>
  <si>
    <t>2021-09-01</t>
  </si>
  <si>
    <t>STU0587</t>
  </si>
  <si>
    <t>2022-06-10</t>
  </si>
  <si>
    <t>STU0588</t>
  </si>
  <si>
    <t>2022-05-13</t>
  </si>
  <si>
    <t>STU0589</t>
  </si>
  <si>
    <t>2023-09-22</t>
  </si>
  <si>
    <t>STU0590</t>
  </si>
  <si>
    <t>2021-08-07</t>
  </si>
  <si>
    <t>STU0591</t>
  </si>
  <si>
    <t>2023-09-16</t>
  </si>
  <si>
    <t>STU0592</t>
  </si>
  <si>
    <t>STU0593</t>
  </si>
  <si>
    <t>2022-02-14</t>
  </si>
  <si>
    <t>STU0594</t>
  </si>
  <si>
    <t>2023-05-27</t>
  </si>
  <si>
    <t>STU0595</t>
  </si>
  <si>
    <t>STU0596</t>
  </si>
  <si>
    <t>2024-09-09</t>
  </si>
  <si>
    <t>STU0597</t>
  </si>
  <si>
    <t>STU0598</t>
  </si>
  <si>
    <t>2024-09-26</t>
  </si>
  <si>
    <t>STU0599</t>
  </si>
  <si>
    <t>2025-01-29</t>
  </si>
  <si>
    <t>STU0600</t>
  </si>
  <si>
    <t>STU0601</t>
  </si>
  <si>
    <t>STU0602</t>
  </si>
  <si>
    <t>STU0603</t>
  </si>
  <si>
    <t>2023-07-13</t>
  </si>
  <si>
    <t>STU0604</t>
  </si>
  <si>
    <t>2023-11-02</t>
  </si>
  <si>
    <t>STU0605</t>
  </si>
  <si>
    <t>2023-03-30</t>
  </si>
  <si>
    <t>STU0606</t>
  </si>
  <si>
    <t>2021-11-12</t>
  </si>
  <si>
    <t>STU0607</t>
  </si>
  <si>
    <t>2024-05-01</t>
  </si>
  <si>
    <t>STU0608</t>
  </si>
  <si>
    <t>STU0609</t>
  </si>
  <si>
    <t>Anu Patel</t>
  </si>
  <si>
    <t>2023-04-17</t>
  </si>
  <si>
    <t>STU0610</t>
  </si>
  <si>
    <t>2025-04-28</t>
  </si>
  <si>
    <t>STU0611</t>
  </si>
  <si>
    <t>2025-11-28</t>
  </si>
  <si>
    <t>STU0612</t>
  </si>
  <si>
    <t>2021-04-13</t>
  </si>
  <si>
    <t>STU0613</t>
  </si>
  <si>
    <t>2022-01-16</t>
  </si>
  <si>
    <t>STU0614</t>
  </si>
  <si>
    <t>2023-01-13</t>
  </si>
  <si>
    <t>STU0615</t>
  </si>
  <si>
    <t>2023-01-31</t>
  </si>
  <si>
    <t>STU0616</t>
  </si>
  <si>
    <t>2025-03-13</t>
  </si>
  <si>
    <t>STU0617</t>
  </si>
  <si>
    <t>2021-03-26</t>
  </si>
  <si>
    <t>STU0618</t>
  </si>
  <si>
    <t>2024-07-07</t>
  </si>
  <si>
    <t>STU0619</t>
  </si>
  <si>
    <t>STU0620</t>
  </si>
  <si>
    <t>2022-08-12</t>
  </si>
  <si>
    <t>STU0621</t>
  </si>
  <si>
    <t>2023-04-06</t>
  </si>
  <si>
    <t>STU0622</t>
  </si>
  <si>
    <t>2024-12-07</t>
  </si>
  <si>
    <t>STU0623</t>
  </si>
  <si>
    <t>2024-10-24</t>
  </si>
  <si>
    <t>STU0624</t>
  </si>
  <si>
    <t>2023-03-08</t>
  </si>
  <si>
    <t>STU0625</t>
  </si>
  <si>
    <t>2023-01-25</t>
  </si>
  <si>
    <t>STU0626</t>
  </si>
  <si>
    <t>2021-04-07</t>
  </si>
  <si>
    <t>STU0627</t>
  </si>
  <si>
    <t>2025-03-20</t>
  </si>
  <si>
    <t>STU0628</t>
  </si>
  <si>
    <t>2021-06-24</t>
  </si>
  <si>
    <t>STU0629</t>
  </si>
  <si>
    <t>2023-07-23</t>
  </si>
  <si>
    <t>STU0630</t>
  </si>
  <si>
    <t>2024-07-02</t>
  </si>
  <si>
    <t>STU0631</t>
  </si>
  <si>
    <t>STU0632</t>
  </si>
  <si>
    <t>2024-08-29</t>
  </si>
  <si>
    <t>STU0633</t>
  </si>
  <si>
    <t>2021-11-22</t>
  </si>
  <si>
    <t>STU0634</t>
  </si>
  <si>
    <t>STU0635</t>
  </si>
  <si>
    <t>STU0636</t>
  </si>
  <si>
    <t>2024-11-01</t>
  </si>
  <si>
    <t>STU0637</t>
  </si>
  <si>
    <t>STU0638</t>
  </si>
  <si>
    <t>2025-12-04</t>
  </si>
  <si>
    <t>STU0639</t>
  </si>
  <si>
    <t>2021-06-06</t>
  </si>
  <si>
    <t>STU0640</t>
  </si>
  <si>
    <t>2022-05-21</t>
  </si>
  <si>
    <t>STU0641</t>
  </si>
  <si>
    <t>2023-11-17</t>
  </si>
  <si>
    <t>STU0642</t>
  </si>
  <si>
    <t>2021-05-29</t>
  </si>
  <si>
    <t>STU0643</t>
  </si>
  <si>
    <t>2025-01-16</t>
  </si>
  <si>
    <t>STU0644</t>
  </si>
  <si>
    <t>STU0645</t>
  </si>
  <si>
    <t>2024-09-25</t>
  </si>
  <si>
    <t>STU0646</t>
  </si>
  <si>
    <t>2021-05-20</t>
  </si>
  <si>
    <t>STU0647</t>
  </si>
  <si>
    <t>2023-12-08</t>
  </si>
  <si>
    <t>STU0648</t>
  </si>
  <si>
    <t>STU0649</t>
  </si>
  <si>
    <t>2025-05-15</t>
  </si>
  <si>
    <t>STU0650</t>
  </si>
  <si>
    <t>2021-08-03</t>
  </si>
  <si>
    <t>STU0651</t>
  </si>
  <si>
    <t>2021-09-18</t>
  </si>
  <si>
    <t>STU0652</t>
  </si>
  <si>
    <t>2021-02-17</t>
  </si>
  <si>
    <t>STU0653</t>
  </si>
  <si>
    <t>STU0654</t>
  </si>
  <si>
    <t>STU0655</t>
  </si>
  <si>
    <t>Sneha Iyer</t>
  </si>
  <si>
    <t>2022-02-20</t>
  </si>
  <si>
    <t>STU0656</t>
  </si>
  <si>
    <t>2025-09-20</t>
  </si>
  <si>
    <t>STU0657</t>
  </si>
  <si>
    <t>2022-10-16</t>
  </si>
  <si>
    <t>STU0658</t>
  </si>
  <si>
    <t>Divya Gupta</t>
  </si>
  <si>
    <t>2022-10-10</t>
  </si>
  <si>
    <t>STU0659</t>
  </si>
  <si>
    <t>2023-03-23</t>
  </si>
  <si>
    <t>STU0660</t>
  </si>
  <si>
    <t>2025-01-23</t>
  </si>
  <si>
    <t>STU0661</t>
  </si>
  <si>
    <t>2021-05-26</t>
  </si>
  <si>
    <t>STU0662</t>
  </si>
  <si>
    <t>STU0663</t>
  </si>
  <si>
    <t>2022-10-14</t>
  </si>
  <si>
    <t>STU0664</t>
  </si>
  <si>
    <t>2023-06-01</t>
  </si>
  <si>
    <t>STU0665</t>
  </si>
  <si>
    <t>2022-09-05</t>
  </si>
  <si>
    <t>STU0666</t>
  </si>
  <si>
    <t>2022-05-27</t>
  </si>
  <si>
    <t>STU0667</t>
  </si>
  <si>
    <t>2024-03-03</t>
  </si>
  <si>
    <t>STU0668</t>
  </si>
  <si>
    <t>2021-01-09</t>
  </si>
  <si>
    <t>STU0669</t>
  </si>
  <si>
    <t>2021-06-10</t>
  </si>
  <si>
    <t>STU0670</t>
  </si>
  <si>
    <t>2024-04-29</t>
  </si>
  <si>
    <t>STU0671</t>
  </si>
  <si>
    <t>STU0672</t>
  </si>
  <si>
    <t>2021-06-28</t>
  </si>
  <si>
    <t>STU0673</t>
  </si>
  <si>
    <t>2025-12-06</t>
  </si>
  <si>
    <t>STU0674</t>
  </si>
  <si>
    <t>STU0675</t>
  </si>
  <si>
    <t>2023-01-07</t>
  </si>
  <si>
    <t>STU0676</t>
  </si>
  <si>
    <t>STU0677</t>
  </si>
  <si>
    <t>2023-06-24</t>
  </si>
  <si>
    <t>STU0678</t>
  </si>
  <si>
    <t>2024-11-11</t>
  </si>
  <si>
    <t>STU0679</t>
  </si>
  <si>
    <t>2024-02-29</t>
  </si>
  <si>
    <t>STU0680</t>
  </si>
  <si>
    <t>STU0681</t>
  </si>
  <si>
    <t>2021-07-15</t>
  </si>
  <si>
    <t>STU0682</t>
  </si>
  <si>
    <t>STU0683</t>
  </si>
  <si>
    <t>2021-09-02</t>
  </si>
  <si>
    <t>STU0684</t>
  </si>
  <si>
    <t>STU0685</t>
  </si>
  <si>
    <t>STU0686</t>
  </si>
  <si>
    <t>STU0687</t>
  </si>
  <si>
    <t>2025-11-02</t>
  </si>
  <si>
    <t>STU0688</t>
  </si>
  <si>
    <t>2021-04-03</t>
  </si>
  <si>
    <t>STU0689</t>
  </si>
  <si>
    <t>2024-08-24</t>
  </si>
  <si>
    <t>STU0690</t>
  </si>
  <si>
    <t>STU0691</t>
  </si>
  <si>
    <t>2024-04-17</t>
  </si>
  <si>
    <t>STU0692</t>
  </si>
  <si>
    <t>2023-03-03</t>
  </si>
  <si>
    <t>STU0693</t>
  </si>
  <si>
    <t>2021-11-17</t>
  </si>
  <si>
    <t>STU0694</t>
  </si>
  <si>
    <t>2024-01-21</t>
  </si>
  <si>
    <t>STU0695</t>
  </si>
  <si>
    <t>2025-01-02</t>
  </si>
  <si>
    <t>STU0696</t>
  </si>
  <si>
    <t>2024-08-01</t>
  </si>
  <si>
    <t>STU0697</t>
  </si>
  <si>
    <t>STU0698</t>
  </si>
  <si>
    <t>2021-07-16</t>
  </si>
  <si>
    <t>STU0699</t>
  </si>
  <si>
    <t>2022-03-28</t>
  </si>
  <si>
    <t>STU0700</t>
  </si>
  <si>
    <t>STU0701</t>
  </si>
  <si>
    <t>2022-01-21</t>
  </si>
  <si>
    <t>STU0702</t>
  </si>
  <si>
    <t>2025-10-19</t>
  </si>
  <si>
    <t>STU0703</t>
  </si>
  <si>
    <t>2024-07-23</t>
  </si>
  <si>
    <t>STU0704</t>
  </si>
  <si>
    <t>2025-06-02</t>
  </si>
  <si>
    <t>STU0705</t>
  </si>
  <si>
    <t>2021-01-14</t>
  </si>
  <si>
    <t>STU0706</t>
  </si>
  <si>
    <t>2022-08-16</t>
  </si>
  <si>
    <t>STU0707</t>
  </si>
  <si>
    <t>2021-02-09</t>
  </si>
  <si>
    <t>STU0708</t>
  </si>
  <si>
    <t>STU0709</t>
  </si>
  <si>
    <t>2025-08-21</t>
  </si>
  <si>
    <t>STU0710</t>
  </si>
  <si>
    <t>2022-11-06</t>
  </si>
  <si>
    <t>STU0711</t>
  </si>
  <si>
    <t>2024-01-26</t>
  </si>
  <si>
    <t>STU0712</t>
  </si>
  <si>
    <t>STU0713</t>
  </si>
  <si>
    <t>STU0714</t>
  </si>
  <si>
    <t>STU0715</t>
  </si>
  <si>
    <t>2025-06-25</t>
  </si>
  <si>
    <t>STU0716</t>
  </si>
  <si>
    <t>STU0717</t>
  </si>
  <si>
    <t>STU0718</t>
  </si>
  <si>
    <t>STU0719</t>
  </si>
  <si>
    <t>2024-08-14</t>
  </si>
  <si>
    <t>STU0720</t>
  </si>
  <si>
    <t>2024-12-05</t>
  </si>
  <si>
    <t>STU0721</t>
  </si>
  <si>
    <t>2023-10-16</t>
  </si>
  <si>
    <t>STU0722</t>
  </si>
  <si>
    <t>2021-06-25</t>
  </si>
  <si>
    <t>STU0723</t>
  </si>
  <si>
    <t>2021-07-11</t>
  </si>
  <si>
    <t>STU0724</t>
  </si>
  <si>
    <t>STU0725</t>
  </si>
  <si>
    <t>2024-12-22</t>
  </si>
  <si>
    <t>STU0726</t>
  </si>
  <si>
    <t>2024-09-30</t>
  </si>
  <si>
    <t>STU0727</t>
  </si>
  <si>
    <t>2024-09-16</t>
  </si>
  <si>
    <t>STU0728</t>
  </si>
  <si>
    <t>STU0729</t>
  </si>
  <si>
    <t>2024-01-31</t>
  </si>
  <si>
    <t>STU0730</t>
  </si>
  <si>
    <t>STU0731</t>
  </si>
  <si>
    <t>2025-01-09</t>
  </si>
  <si>
    <t>STU0732</t>
  </si>
  <si>
    <t>2024-04-19</t>
  </si>
  <si>
    <t>STU0733</t>
  </si>
  <si>
    <t>2025-04-12</t>
  </si>
  <si>
    <t>STU0734</t>
  </si>
  <si>
    <t>STU0735</t>
  </si>
  <si>
    <t>2021-07-04</t>
  </si>
  <si>
    <t>STU0736</t>
  </si>
  <si>
    <t>2022-09-29</t>
  </si>
  <si>
    <t>STU0737</t>
  </si>
  <si>
    <t>STU0738</t>
  </si>
  <si>
    <t>STU0739</t>
  </si>
  <si>
    <t>2025-07-13</t>
  </si>
  <si>
    <t>STU0740</t>
  </si>
  <si>
    <t>STU0741</t>
  </si>
  <si>
    <t>2023-08-09</t>
  </si>
  <si>
    <t>STU0742</t>
  </si>
  <si>
    <t>2024-07-12</t>
  </si>
  <si>
    <t>STU0743</t>
  </si>
  <si>
    <t>STU0744</t>
  </si>
  <si>
    <t>STU0745</t>
  </si>
  <si>
    <t>STU0746</t>
  </si>
  <si>
    <t>STU0747</t>
  </si>
  <si>
    <t>2021-12-12</t>
  </si>
  <si>
    <t>STU0748</t>
  </si>
  <si>
    <t>2021-11-27</t>
  </si>
  <si>
    <t>STU0749</t>
  </si>
  <si>
    <t>STU0750</t>
  </si>
  <si>
    <t>2025-08-15</t>
  </si>
  <si>
    <t>STU0751</t>
  </si>
  <si>
    <t>2023-08-25</t>
  </si>
  <si>
    <t>STU0752</t>
  </si>
  <si>
    <t>STU0753</t>
  </si>
  <si>
    <t>2022-03-15</t>
  </si>
  <si>
    <t>STU0754</t>
  </si>
  <si>
    <t>2023-10-17</t>
  </si>
  <si>
    <t>STU0755</t>
  </si>
  <si>
    <t>STU0756</t>
  </si>
  <si>
    <t>STU0757</t>
  </si>
  <si>
    <t>2024-03-25</t>
  </si>
  <si>
    <t>STU0758</t>
  </si>
  <si>
    <t>2025-11-23</t>
  </si>
  <si>
    <t>STU0759</t>
  </si>
  <si>
    <t>STU0760</t>
  </si>
  <si>
    <t>2024-02-16</t>
  </si>
  <si>
    <t>STU0761</t>
  </si>
  <si>
    <t>STU0762</t>
  </si>
  <si>
    <t>STU0763</t>
  </si>
  <si>
    <t>2023-01-22</t>
  </si>
  <si>
    <t>STU0764</t>
  </si>
  <si>
    <t>2025-11-09</t>
  </si>
  <si>
    <t>STU0765</t>
  </si>
  <si>
    <t>2022-06-24</t>
  </si>
  <si>
    <t>STU0766</t>
  </si>
  <si>
    <t>2021-01-11</t>
  </si>
  <si>
    <t>STU0767</t>
  </si>
  <si>
    <t>STU0768</t>
  </si>
  <si>
    <t>2025-09-29</t>
  </si>
  <si>
    <t>STU0769</t>
  </si>
  <si>
    <t>2024-07-19</t>
  </si>
  <si>
    <t>STU0770</t>
  </si>
  <si>
    <t>2021-06-12</t>
  </si>
  <si>
    <t>STU0771</t>
  </si>
  <si>
    <t>2025-02-24</t>
  </si>
  <si>
    <t>STU0772</t>
  </si>
  <si>
    <t>2021-04-08</t>
  </si>
  <si>
    <t>STU0773</t>
  </si>
  <si>
    <t>2022-11-04</t>
  </si>
  <si>
    <t>STU0774</t>
  </si>
  <si>
    <t>2023-11-29</t>
  </si>
  <si>
    <t>STU0775</t>
  </si>
  <si>
    <t>2025-01-10</t>
  </si>
  <si>
    <t>STU0776</t>
  </si>
  <si>
    <t>2024-11-30</t>
  </si>
  <si>
    <t>STU0777</t>
  </si>
  <si>
    <t>2023-07-08</t>
  </si>
  <si>
    <t>STU0778</t>
  </si>
  <si>
    <t>STU0779</t>
  </si>
  <si>
    <t>STU0780</t>
  </si>
  <si>
    <t>2021-06-13</t>
  </si>
  <si>
    <t>STU0781</t>
  </si>
  <si>
    <t>STU0782</t>
  </si>
  <si>
    <t>2022-04-03</t>
  </si>
  <si>
    <t>STU0783</t>
  </si>
  <si>
    <t>2021-05-14</t>
  </si>
  <si>
    <t>STU0784</t>
  </si>
  <si>
    <t>2023-11-11</t>
  </si>
  <si>
    <t>STU0785</t>
  </si>
  <si>
    <t>STU0786</t>
  </si>
  <si>
    <t>STU0787</t>
  </si>
  <si>
    <t>2021-04-12</t>
  </si>
  <si>
    <t>STU0788</t>
  </si>
  <si>
    <t>STU0789</t>
  </si>
  <si>
    <t>2025-10-07</t>
  </si>
  <si>
    <t>STU0790</t>
  </si>
  <si>
    <t>2024-09-04</t>
  </si>
  <si>
    <t>STU0791</t>
  </si>
  <si>
    <t>2021-10-13</t>
  </si>
  <si>
    <t>STU0792</t>
  </si>
  <si>
    <t>2022-11-11</t>
  </si>
  <si>
    <t>STU0793</t>
  </si>
  <si>
    <t>Ajay Patel</t>
  </si>
  <si>
    <t>STU0794</t>
  </si>
  <si>
    <t>STU0795</t>
  </si>
  <si>
    <t>STU0796</t>
  </si>
  <si>
    <t>2025-09-25</t>
  </si>
  <si>
    <t>STU0797</t>
  </si>
  <si>
    <t>2022-06-21</t>
  </si>
  <si>
    <t>STU0798</t>
  </si>
  <si>
    <t>2021-02-06</t>
  </si>
  <si>
    <t>STU0799</t>
  </si>
  <si>
    <t>2025-09-19</t>
  </si>
  <si>
    <t>STU0800</t>
  </si>
  <si>
    <t>2025-08-24</t>
  </si>
  <si>
    <t>STU0801</t>
  </si>
  <si>
    <t>STU0802</t>
  </si>
  <si>
    <t>STU0803</t>
  </si>
  <si>
    <t>STU0804</t>
  </si>
  <si>
    <t>2022-02-10</t>
  </si>
  <si>
    <t>STU0805</t>
  </si>
  <si>
    <t>STU0806</t>
  </si>
  <si>
    <t>STU0807</t>
  </si>
  <si>
    <t>2022-12-05</t>
  </si>
  <si>
    <t>STU0808</t>
  </si>
  <si>
    <t>2024-12-21</t>
  </si>
  <si>
    <t>STU0809</t>
  </si>
  <si>
    <t>STU0810</t>
  </si>
  <si>
    <t>STU0811</t>
  </si>
  <si>
    <t>2025-08-05</t>
  </si>
  <si>
    <t>STU0812</t>
  </si>
  <si>
    <t>STU0813</t>
  </si>
  <si>
    <t>2022-05-16</t>
  </si>
  <si>
    <t>STU0814</t>
  </si>
  <si>
    <t>2025-05-21</t>
  </si>
  <si>
    <t>STU0815</t>
  </si>
  <si>
    <t>2023-01-27</t>
  </si>
  <si>
    <t>STU0816</t>
  </si>
  <si>
    <t>STU0817</t>
  </si>
  <si>
    <t>STU0818</t>
  </si>
  <si>
    <t>STU0819</t>
  </si>
  <si>
    <t>STU0820</t>
  </si>
  <si>
    <t>STU0821</t>
  </si>
  <si>
    <t>STU0822</t>
  </si>
  <si>
    <t>2023-11-28</t>
  </si>
  <si>
    <t>STU0823</t>
  </si>
  <si>
    <t>2024-07-30</t>
  </si>
  <si>
    <t>STU0824</t>
  </si>
  <si>
    <t>2025-04-05</t>
  </si>
  <si>
    <t>STU0825</t>
  </si>
  <si>
    <t>STU0826</t>
  </si>
  <si>
    <t>2025-02-26</t>
  </si>
  <si>
    <t>STU0827</t>
  </si>
  <si>
    <t>STU0828</t>
  </si>
  <si>
    <t>STU0829</t>
  </si>
  <si>
    <t>2021-11-13</t>
  </si>
  <si>
    <t>STU0830</t>
  </si>
  <si>
    <t>2021-07-14</t>
  </si>
  <si>
    <t>STU0831</t>
  </si>
  <si>
    <t>2025-08-31</t>
  </si>
  <si>
    <t>STU0832</t>
  </si>
  <si>
    <t>2021-09-10</t>
  </si>
  <si>
    <t>STU0833</t>
  </si>
  <si>
    <t>STU0834</t>
  </si>
  <si>
    <t>2023-06-30</t>
  </si>
  <si>
    <t>STU0835</t>
  </si>
  <si>
    <t>2021-04-21</t>
  </si>
  <si>
    <t>STU0836</t>
  </si>
  <si>
    <t>2024-12-01</t>
  </si>
  <si>
    <t>STU0837</t>
  </si>
  <si>
    <t>STU0838</t>
  </si>
  <si>
    <t>2021-06-21</t>
  </si>
  <si>
    <t>STU0839</t>
  </si>
  <si>
    <t>2023-05-12</t>
  </si>
  <si>
    <t>STU0840</t>
  </si>
  <si>
    <t>2025-02-01</t>
  </si>
  <si>
    <t>STU0841</t>
  </si>
  <si>
    <t>STU0842</t>
  </si>
  <si>
    <t>2023-08-27</t>
  </si>
  <si>
    <t>STU0843</t>
  </si>
  <si>
    <t>STU0844</t>
  </si>
  <si>
    <t>2021-05-02</t>
  </si>
  <si>
    <t>STU0845</t>
  </si>
  <si>
    <t>STU0846</t>
  </si>
  <si>
    <t>2023-02-13</t>
  </si>
  <si>
    <t>STU0847</t>
  </si>
  <si>
    <t>2024-01-22</t>
  </si>
  <si>
    <t>STU0848</t>
  </si>
  <si>
    <t>2024-08-23</t>
  </si>
  <si>
    <t>STU0849</t>
  </si>
  <si>
    <t>STU0850</t>
  </si>
  <si>
    <t>2024-04-23</t>
  </si>
  <si>
    <t>STU0851</t>
  </si>
  <si>
    <t>STU0852</t>
  </si>
  <si>
    <t>2024-02-17</t>
  </si>
  <si>
    <t>STU0853</t>
  </si>
  <si>
    <t>2023-10-04</t>
  </si>
  <si>
    <t>STU0854</t>
  </si>
  <si>
    <t>2023-12-18</t>
  </si>
  <si>
    <t>STU0855</t>
  </si>
  <si>
    <t>STU0856</t>
  </si>
  <si>
    <t>STU0857</t>
  </si>
  <si>
    <t>STU0858</t>
  </si>
  <si>
    <t>STU0859</t>
  </si>
  <si>
    <t>STU0860</t>
  </si>
  <si>
    <t>2023-05-10</t>
  </si>
  <si>
    <t>STU0861</t>
  </si>
  <si>
    <t>STU0862</t>
  </si>
  <si>
    <t>STU0863</t>
  </si>
  <si>
    <t>2024-06-19</t>
  </si>
  <si>
    <t>STU0864</t>
  </si>
  <si>
    <t>STU0865</t>
  </si>
  <si>
    <t>STU0866</t>
  </si>
  <si>
    <t>2023-04-14</t>
  </si>
  <si>
    <t>STU0867</t>
  </si>
  <si>
    <t>2023-04-08</t>
  </si>
  <si>
    <t>STU0868</t>
  </si>
  <si>
    <t>STU0869</t>
  </si>
  <si>
    <t>2024-08-25</t>
  </si>
  <si>
    <t>STU0870</t>
  </si>
  <si>
    <t>2023-09-27</t>
  </si>
  <si>
    <t>STU0871</t>
  </si>
  <si>
    <t>2022-08-10</t>
  </si>
  <si>
    <t>STU0872</t>
  </si>
  <si>
    <t>2021-03-03</t>
  </si>
  <si>
    <t>STU0873</t>
  </si>
  <si>
    <t>2021-01-27</t>
  </si>
  <si>
    <t>STU0874</t>
  </si>
  <si>
    <t>STU0875</t>
  </si>
  <si>
    <t>2022-11-12</t>
  </si>
  <si>
    <t>STU0876</t>
  </si>
  <si>
    <t>STU0877</t>
  </si>
  <si>
    <t>STU0878</t>
  </si>
  <si>
    <t>STU0879</t>
  </si>
  <si>
    <t>2024-03-20</t>
  </si>
  <si>
    <t>STU0880</t>
  </si>
  <si>
    <t>2022-03-30</t>
  </si>
  <si>
    <t>STU0881</t>
  </si>
  <si>
    <t>2024-12-17</t>
  </si>
  <si>
    <t>STU0882</t>
  </si>
  <si>
    <t>2025-04-08</t>
  </si>
  <si>
    <t>STU0883</t>
  </si>
  <si>
    <t>2024-10-07</t>
  </si>
  <si>
    <t>STU0884</t>
  </si>
  <si>
    <t>2021-05-04</t>
  </si>
  <si>
    <t>STU0885</t>
  </si>
  <si>
    <t>STU0886</t>
  </si>
  <si>
    <t>STU0887</t>
  </si>
  <si>
    <t>STU0888</t>
  </si>
  <si>
    <t>2024-12-02</t>
  </si>
  <si>
    <t>STU0889</t>
  </si>
  <si>
    <t>STU0890</t>
  </si>
  <si>
    <t>2025-06-08</t>
  </si>
  <si>
    <t>STU0891</t>
  </si>
  <si>
    <t>2025-01-20</t>
  </si>
  <si>
    <t>STU0892</t>
  </si>
  <si>
    <t>2025-04-24</t>
  </si>
  <si>
    <t>STU0893</t>
  </si>
  <si>
    <t>STU0894</t>
  </si>
  <si>
    <t>2023-03-16</t>
  </si>
  <si>
    <t>STU0895</t>
  </si>
  <si>
    <t>2022-08-02</t>
  </si>
  <si>
    <t>STU0896</t>
  </si>
  <si>
    <t>2021-06-15</t>
  </si>
  <si>
    <t>STU0897</t>
  </si>
  <si>
    <t>STU0898</t>
  </si>
  <si>
    <t>STU0899</t>
  </si>
  <si>
    <t>STU0900</t>
  </si>
  <si>
    <t>STU0901</t>
  </si>
  <si>
    <t>2025-11-20</t>
  </si>
  <si>
    <t>STU0902</t>
  </si>
  <si>
    <t>2021-10-29</t>
  </si>
  <si>
    <t>STU0903</t>
  </si>
  <si>
    <t>2022-07-28</t>
  </si>
  <si>
    <t>STU0904</t>
  </si>
  <si>
    <t>STU0905</t>
  </si>
  <si>
    <t>STU0906</t>
  </si>
  <si>
    <t>2023-06-09</t>
  </si>
  <si>
    <t>STU0907</t>
  </si>
  <si>
    <t>2021-01-16</t>
  </si>
  <si>
    <t>STU0908</t>
  </si>
  <si>
    <t>2025-03-14</t>
  </si>
  <si>
    <t>STU0909</t>
  </si>
  <si>
    <t>STU0910</t>
  </si>
  <si>
    <t>STU0911</t>
  </si>
  <si>
    <t>2024-11-18</t>
  </si>
  <si>
    <t>STU0912</t>
  </si>
  <si>
    <t>STU0913</t>
  </si>
  <si>
    <t>2022-04-07</t>
  </si>
  <si>
    <t>STU0914</t>
  </si>
  <si>
    <t>STU0915</t>
  </si>
  <si>
    <t>2021-03-02</t>
  </si>
  <si>
    <t>STU0916</t>
  </si>
  <si>
    <t>2022-12-03</t>
  </si>
  <si>
    <t>STU0917</t>
  </si>
  <si>
    <t>STU0918</t>
  </si>
  <si>
    <t>2022-11-17</t>
  </si>
  <si>
    <t>STU0919</t>
  </si>
  <si>
    <t>2024-08-07</t>
  </si>
  <si>
    <t>STU0920</t>
  </si>
  <si>
    <t>STU0921</t>
  </si>
  <si>
    <t>STU0922</t>
  </si>
  <si>
    <t>STU0923</t>
  </si>
  <si>
    <t>STU0924</t>
  </si>
  <si>
    <t>2023-10-01</t>
  </si>
  <si>
    <t>STU0925</t>
  </si>
  <si>
    <t>STU0926</t>
  </si>
  <si>
    <t>STU0927</t>
  </si>
  <si>
    <t>STU0928</t>
  </si>
  <si>
    <t>2023-12-19</t>
  </si>
  <si>
    <t>STU0929</t>
  </si>
  <si>
    <t>2025-06-14</t>
  </si>
  <si>
    <t>STU0930</t>
  </si>
  <si>
    <t>2025-08-11</t>
  </si>
  <si>
    <t>STU0931</t>
  </si>
  <si>
    <t>STU0932</t>
  </si>
  <si>
    <t>2025-09-28</t>
  </si>
  <si>
    <t>STU0933</t>
  </si>
  <si>
    <t>2024-09-06</t>
  </si>
  <si>
    <t>STU0934</t>
  </si>
  <si>
    <t>2022-03-05</t>
  </si>
  <si>
    <t>STU0935</t>
  </si>
  <si>
    <t>STU0936</t>
  </si>
  <si>
    <t>STU0937</t>
  </si>
  <si>
    <t>STU0938</t>
  </si>
  <si>
    <t>2024-03-12</t>
  </si>
  <si>
    <t>STU0939</t>
  </si>
  <si>
    <t>STU0940</t>
  </si>
  <si>
    <t>2022-02-05</t>
  </si>
  <si>
    <t>STU0941</t>
  </si>
  <si>
    <t>2023-10-27</t>
  </si>
  <si>
    <t>STU0942</t>
  </si>
  <si>
    <t>2024-07-16</t>
  </si>
  <si>
    <t>STU0943</t>
  </si>
  <si>
    <t>2023-10-06</t>
  </si>
  <si>
    <t>STU0944</t>
  </si>
  <si>
    <t>2021-12-16</t>
  </si>
  <si>
    <t>STU0945</t>
  </si>
  <si>
    <t>STU0946</t>
  </si>
  <si>
    <t>STU0947</t>
  </si>
  <si>
    <t>2024-11-27</t>
  </si>
  <si>
    <t>STU0948</t>
  </si>
  <si>
    <t>2021-06-26</t>
  </si>
  <si>
    <t>STU0949</t>
  </si>
  <si>
    <t>STU0950</t>
  </si>
  <si>
    <t>STU0951</t>
  </si>
  <si>
    <t>2021-07-23</t>
  </si>
  <si>
    <t>STU0952</t>
  </si>
  <si>
    <t>STU0953</t>
  </si>
  <si>
    <t>2021-02-19</t>
  </si>
  <si>
    <t>STU0954</t>
  </si>
  <si>
    <t>2024-09-28</t>
  </si>
  <si>
    <t>STU0955</t>
  </si>
  <si>
    <t>2024-05-21</t>
  </si>
  <si>
    <t>STU0956</t>
  </si>
  <si>
    <t>2021-01-28</t>
  </si>
  <si>
    <t>STU0957</t>
  </si>
  <si>
    <t>2025-11-11</t>
  </si>
  <si>
    <t>STU0958</t>
  </si>
  <si>
    <t>2022-11-28</t>
  </si>
  <si>
    <t>STU0959</t>
  </si>
  <si>
    <t>2024-05-25</t>
  </si>
  <si>
    <t>STU0960</t>
  </si>
  <si>
    <t>STU0961</t>
  </si>
  <si>
    <t>2024-05-12</t>
  </si>
  <si>
    <t>STU0962</t>
  </si>
  <si>
    <t>2025-03-25</t>
  </si>
  <si>
    <t>STU0963</t>
  </si>
  <si>
    <t>2021-05-27</t>
  </si>
  <si>
    <t>STU0964</t>
  </si>
  <si>
    <t>2022-12-11</t>
  </si>
  <si>
    <t>STU0965</t>
  </si>
  <si>
    <t>STU0966</t>
  </si>
  <si>
    <t>STU0967</t>
  </si>
  <si>
    <t>2024-12-24</t>
  </si>
  <si>
    <t>STU0968</t>
  </si>
  <si>
    <t>STU0969</t>
  </si>
  <si>
    <t>STU0970</t>
  </si>
  <si>
    <t>2023-12-13</t>
  </si>
  <si>
    <t>STU0971</t>
  </si>
  <si>
    <t>2021-10-22</t>
  </si>
  <si>
    <t>STU0972</t>
  </si>
  <si>
    <t>2021-05-25</t>
  </si>
  <si>
    <t>STU0973</t>
  </si>
  <si>
    <t>STU0974</t>
  </si>
  <si>
    <t>2023-04-16</t>
  </si>
  <si>
    <t>STU0975</t>
  </si>
  <si>
    <t>2023-08-03</t>
  </si>
  <si>
    <t>STU0976</t>
  </si>
  <si>
    <t>STU0977</t>
  </si>
  <si>
    <t>STU0978</t>
  </si>
  <si>
    <t>2023-09-24</t>
  </si>
  <si>
    <t>STU0979</t>
  </si>
  <si>
    <t>STU0980</t>
  </si>
  <si>
    <t>2025-04-23</t>
  </si>
  <si>
    <t>STU0981</t>
  </si>
  <si>
    <t>2022-07-12</t>
  </si>
  <si>
    <t>STU0982</t>
  </si>
  <si>
    <t>STU0983</t>
  </si>
  <si>
    <t>STU0984</t>
  </si>
  <si>
    <t>STU0985</t>
  </si>
  <si>
    <t>STU0986</t>
  </si>
  <si>
    <t>STU0987</t>
  </si>
  <si>
    <t>2022-01-26</t>
  </si>
  <si>
    <t>STU0988</t>
  </si>
  <si>
    <t>STU0989</t>
  </si>
  <si>
    <t>2024-08-15</t>
  </si>
  <si>
    <t>STU0990</t>
  </si>
  <si>
    <t>2021-12-30</t>
  </si>
  <si>
    <t>STU0991</t>
  </si>
  <si>
    <t>2022-04-10</t>
  </si>
  <si>
    <t>STU0992</t>
  </si>
  <si>
    <t>2022-06-01</t>
  </si>
  <si>
    <t>STU0993</t>
  </si>
  <si>
    <t>STU0994</t>
  </si>
  <si>
    <t>STU0995</t>
  </si>
  <si>
    <t>STU0996</t>
  </si>
  <si>
    <t>2022-11-10</t>
  </si>
  <si>
    <t>STU0997</t>
  </si>
  <si>
    <t>STU0998</t>
  </si>
  <si>
    <t>2023-05-02</t>
  </si>
  <si>
    <t>STU0999</t>
  </si>
  <si>
    <t>2025-05-23</t>
  </si>
  <si>
    <t>STU1000</t>
  </si>
  <si>
    <t>STU1001</t>
  </si>
  <si>
    <t>STU1002</t>
  </si>
  <si>
    <t>STU1003</t>
  </si>
  <si>
    <t>2022-11-08</t>
  </si>
  <si>
    <t>STU1004</t>
  </si>
  <si>
    <t>2023-04-29</t>
  </si>
  <si>
    <t>STU1005</t>
  </si>
  <si>
    <t>STU1006</t>
  </si>
  <si>
    <t>STU1007</t>
  </si>
  <si>
    <t>2024-05-20</t>
  </si>
  <si>
    <t>STU1008</t>
  </si>
  <si>
    <t>2022-06-29</t>
  </si>
  <si>
    <t>STU1009</t>
  </si>
  <si>
    <t>2025-02-27</t>
  </si>
  <si>
    <t>STU1010</t>
  </si>
  <si>
    <t>2022-05-12</t>
  </si>
  <si>
    <t>STU1011</t>
  </si>
  <si>
    <t>2025-03-18</t>
  </si>
  <si>
    <t>STU1012</t>
  </si>
  <si>
    <t>2024-06-06</t>
  </si>
  <si>
    <t>STU1013</t>
  </si>
  <si>
    <t>2022-07-18</t>
  </si>
  <si>
    <t>STU1014</t>
  </si>
  <si>
    <t>STU1015</t>
  </si>
  <si>
    <t>2021-07-31</t>
  </si>
  <si>
    <t>STU1016</t>
  </si>
  <si>
    <t>STU1017</t>
  </si>
  <si>
    <t>2024-03-14</t>
  </si>
  <si>
    <t>STU1018</t>
  </si>
  <si>
    <t>STU1019</t>
  </si>
  <si>
    <t>2025-05-03</t>
  </si>
  <si>
    <t>STU1020</t>
  </si>
  <si>
    <t>2022-09-13</t>
  </si>
  <si>
    <t>STU1021</t>
  </si>
  <si>
    <t>2024-08-12</t>
  </si>
  <si>
    <t>STU1022</t>
  </si>
  <si>
    <t>2023-06-08</t>
  </si>
  <si>
    <t>STU1023</t>
  </si>
  <si>
    <t>STU1024</t>
  </si>
  <si>
    <t>STU1025</t>
  </si>
  <si>
    <t>STU1026</t>
  </si>
  <si>
    <t>STU1027</t>
  </si>
  <si>
    <t>STU1028</t>
  </si>
  <si>
    <t>STU1029</t>
  </si>
  <si>
    <t>2021-09-08</t>
  </si>
  <si>
    <t>STU1030</t>
  </si>
  <si>
    <t>2022-01-08</t>
  </si>
  <si>
    <t>STU1031</t>
  </si>
  <si>
    <t>STU1032</t>
  </si>
  <si>
    <t>2022-05-14</t>
  </si>
  <si>
    <t>STU1033</t>
  </si>
  <si>
    <t>2021-06-09</t>
  </si>
  <si>
    <t>STU1034</t>
  </si>
  <si>
    <t>2024-06-10</t>
  </si>
  <si>
    <t>STU1035</t>
  </si>
  <si>
    <t>2022-03-02</t>
  </si>
  <si>
    <t>STU1036</t>
  </si>
  <si>
    <t>2021-10-04</t>
  </si>
  <si>
    <t>STU1037</t>
  </si>
  <si>
    <t>2023-11-26</t>
  </si>
  <si>
    <t>STU1038</t>
  </si>
  <si>
    <t>STU1039</t>
  </si>
  <si>
    <t>2022-11-20</t>
  </si>
  <si>
    <t>STU1040</t>
  </si>
  <si>
    <t>STU1041</t>
  </si>
  <si>
    <t>STU1042</t>
  </si>
  <si>
    <t>STU1043</t>
  </si>
  <si>
    <t>STU1044</t>
  </si>
  <si>
    <t>2021-02-14</t>
  </si>
  <si>
    <t>STU1045</t>
  </si>
  <si>
    <t>STU1046</t>
  </si>
  <si>
    <t>STU1047</t>
  </si>
  <si>
    <t>2022-02-11</t>
  </si>
  <si>
    <t>STU1048</t>
  </si>
  <si>
    <t>STU1049</t>
  </si>
  <si>
    <t>2023-02-25</t>
  </si>
  <si>
    <t>STU1050</t>
  </si>
  <si>
    <t>2024-11-22</t>
  </si>
  <si>
    <t>STU1051</t>
  </si>
  <si>
    <t>STU1052</t>
  </si>
  <si>
    <t>2025-02-05</t>
  </si>
  <si>
    <t>STU1053</t>
  </si>
  <si>
    <t>2022-03-17</t>
  </si>
  <si>
    <t>STU1054</t>
  </si>
  <si>
    <t>STU1055</t>
  </si>
  <si>
    <t>STU1056</t>
  </si>
  <si>
    <t>2025-01-13</t>
  </si>
  <si>
    <t>STU1057</t>
  </si>
  <si>
    <t>STU1058</t>
  </si>
  <si>
    <t>2024-01-16</t>
  </si>
  <si>
    <t>STU1059</t>
  </si>
  <si>
    <t>STU1060</t>
  </si>
  <si>
    <t>STU1061</t>
  </si>
  <si>
    <t>STU1062</t>
  </si>
  <si>
    <t>2025-05-09</t>
  </si>
  <si>
    <t>STU1063</t>
  </si>
  <si>
    <t>STU1064</t>
  </si>
  <si>
    <t>2025-09-03</t>
  </si>
  <si>
    <t>STU1065</t>
  </si>
  <si>
    <t>2021-03-06</t>
  </si>
  <si>
    <t>STU1066</t>
  </si>
  <si>
    <t>2023-06-04</t>
  </si>
  <si>
    <t>STU1067</t>
  </si>
  <si>
    <t>2022-06-17</t>
  </si>
  <si>
    <t>STU1068</t>
  </si>
  <si>
    <t>2023-05-30</t>
  </si>
  <si>
    <t>STU1069</t>
  </si>
  <si>
    <t>STU1070</t>
  </si>
  <si>
    <t>STU1071</t>
  </si>
  <si>
    <t>2021-02-18</t>
  </si>
  <si>
    <t>STU1072</t>
  </si>
  <si>
    <t>STU1073</t>
  </si>
  <si>
    <t>STU1074</t>
  </si>
  <si>
    <t>STU1075</t>
  </si>
  <si>
    <t>STU1076</t>
  </si>
  <si>
    <t>2022-11-05</t>
  </si>
  <si>
    <t>STU1077</t>
  </si>
  <si>
    <t>STU1078</t>
  </si>
  <si>
    <t>2022-09-19</t>
  </si>
  <si>
    <t>STU1079</t>
  </si>
  <si>
    <t>2025-08-07</t>
  </si>
  <si>
    <t>STU1080</t>
  </si>
  <si>
    <t>2024-02-22</t>
  </si>
  <si>
    <t>STU1081</t>
  </si>
  <si>
    <t>2021-03-12</t>
  </si>
  <si>
    <t>STU1082</t>
  </si>
  <si>
    <t>STU1083</t>
  </si>
  <si>
    <t>2023-01-23</t>
  </si>
  <si>
    <t>STU1084</t>
  </si>
  <si>
    <t>STU1085</t>
  </si>
  <si>
    <t>2024-05-30</t>
  </si>
  <si>
    <t>STU1086</t>
  </si>
  <si>
    <t>STU1087</t>
  </si>
  <si>
    <t>STU1088</t>
  </si>
  <si>
    <t>2025-06-28</t>
  </si>
  <si>
    <t>STU1089</t>
  </si>
  <si>
    <t>STU1090</t>
  </si>
  <si>
    <t>STU1091</t>
  </si>
  <si>
    <t>2022-07-01</t>
  </si>
  <si>
    <t>STU1092</t>
  </si>
  <si>
    <t>2022-01-12</t>
  </si>
  <si>
    <t>STU1093</t>
  </si>
  <si>
    <t>2024-05-19</t>
  </si>
  <si>
    <t>STU1094</t>
  </si>
  <si>
    <t>STU1095</t>
  </si>
  <si>
    <t>2025-01-28</t>
  </si>
  <si>
    <t>STU1096</t>
  </si>
  <si>
    <t>2021-10-31</t>
  </si>
  <si>
    <t>STU1097</t>
  </si>
  <si>
    <t>STU1098</t>
  </si>
  <si>
    <t>2024-07-29</t>
  </si>
  <si>
    <t>STU1099</t>
  </si>
  <si>
    <t>2021-12-28</t>
  </si>
  <si>
    <t>STU1100</t>
  </si>
  <si>
    <t>STU1101</t>
  </si>
  <si>
    <t>2023-04-25</t>
  </si>
  <si>
    <t>STU1102</t>
  </si>
  <si>
    <t>STU1103</t>
  </si>
  <si>
    <t>2024-01-09</t>
  </si>
  <si>
    <t>STU1104</t>
  </si>
  <si>
    <t>2022-12-24</t>
  </si>
  <si>
    <t>STU1105</t>
  </si>
  <si>
    <t>2021-12-31</t>
  </si>
  <si>
    <t>STU1106</t>
  </si>
  <si>
    <t>STU1107</t>
  </si>
  <si>
    <t>2023-10-26</t>
  </si>
  <si>
    <t>STU1108</t>
  </si>
  <si>
    <t>2023-01-24</t>
  </si>
  <si>
    <t>STU1109</t>
  </si>
  <si>
    <t>STU1110</t>
  </si>
  <si>
    <t>STU1111</t>
  </si>
  <si>
    <t>2025-03-04</t>
  </si>
  <si>
    <t>STU1112</t>
  </si>
  <si>
    <t>STU1113</t>
  </si>
  <si>
    <t>2022-08-06</t>
  </si>
  <si>
    <t>STU1114</t>
  </si>
  <si>
    <t>2024-07-10</t>
  </si>
  <si>
    <t>STU1115</t>
  </si>
  <si>
    <t>2021-06-16</t>
  </si>
  <si>
    <t>STU1116</t>
  </si>
  <si>
    <t>2023-12-23</t>
  </si>
  <si>
    <t>STU1117</t>
  </si>
  <si>
    <t>2024-06-13</t>
  </si>
  <si>
    <t>STU1118</t>
  </si>
  <si>
    <t>STU1119</t>
  </si>
  <si>
    <t>STU1120</t>
  </si>
  <si>
    <t>2021-03-16</t>
  </si>
  <si>
    <t>STU1121</t>
  </si>
  <si>
    <t>2022-08-28</t>
  </si>
  <si>
    <t>STU1122</t>
  </si>
  <si>
    <t>STU1123</t>
  </si>
  <si>
    <t>STU1124</t>
  </si>
  <si>
    <t>STU1125</t>
  </si>
  <si>
    <t>STU1126</t>
  </si>
  <si>
    <t>STU1127</t>
  </si>
  <si>
    <t>STU1128</t>
  </si>
  <si>
    <t>STU1129</t>
  </si>
  <si>
    <t>2024-03-29</t>
  </si>
  <si>
    <t>STU1130</t>
  </si>
  <si>
    <t>2022-03-25</t>
  </si>
  <si>
    <t>STU1131</t>
  </si>
  <si>
    <t>2022-04-20</t>
  </si>
  <si>
    <t>STU1132</t>
  </si>
  <si>
    <t>STU1133</t>
  </si>
  <si>
    <t>2024-04-12</t>
  </si>
  <si>
    <t>STU1134</t>
  </si>
  <si>
    <t>STU1135</t>
  </si>
  <si>
    <t>STU1136</t>
  </si>
  <si>
    <t>STU1137</t>
  </si>
  <si>
    <t>STU1138</t>
  </si>
  <si>
    <t>2024-11-17</t>
  </si>
  <si>
    <t>STU1139</t>
  </si>
  <si>
    <t>2023-07-05</t>
  </si>
  <si>
    <t>STU1140</t>
  </si>
  <si>
    <t>STU1141</t>
  </si>
  <si>
    <t>2025-11-24</t>
  </si>
  <si>
    <t>STU1142</t>
  </si>
  <si>
    <t>2024-11-25</t>
  </si>
  <si>
    <t>STU1143</t>
  </si>
  <si>
    <t>STU1144</t>
  </si>
  <si>
    <t>2024-06-07</t>
  </si>
  <si>
    <t>STU1145</t>
  </si>
  <si>
    <t>STU1146</t>
  </si>
  <si>
    <t>2023-09-28</t>
  </si>
  <si>
    <t>STU1147</t>
  </si>
  <si>
    <t>2024-05-06</t>
  </si>
  <si>
    <t>STU1148</t>
  </si>
  <si>
    <t>2021-07-24</t>
  </si>
  <si>
    <t>STU1149</t>
  </si>
  <si>
    <t>2025-01-22</t>
  </si>
  <si>
    <t>STU1150</t>
  </si>
  <si>
    <t>2024-10-03</t>
  </si>
  <si>
    <t>STU1151</t>
  </si>
  <si>
    <t>2022-10-08</t>
  </si>
  <si>
    <t>STU1152</t>
  </si>
  <si>
    <t>2025-06-21</t>
  </si>
  <si>
    <t>STU1153</t>
  </si>
  <si>
    <t>2024-10-26</t>
  </si>
  <si>
    <t>STU1154</t>
  </si>
  <si>
    <t>2024-03-21</t>
  </si>
  <si>
    <t>STU1155</t>
  </si>
  <si>
    <t>2023-02-17</t>
  </si>
  <si>
    <t>STU1156</t>
  </si>
  <si>
    <t>2024-06-17</t>
  </si>
  <si>
    <t>STU1157</t>
  </si>
  <si>
    <t>STU1158</t>
  </si>
  <si>
    <t>2024-08-04</t>
  </si>
  <si>
    <t>STU1159</t>
  </si>
  <si>
    <t>2022-08-25</t>
  </si>
  <si>
    <t>STU1160</t>
  </si>
  <si>
    <t>STU1161</t>
  </si>
  <si>
    <t>2023-02-06</t>
  </si>
  <si>
    <t>STU1162</t>
  </si>
  <si>
    <t>STU1163</t>
  </si>
  <si>
    <t>STU1164</t>
  </si>
  <si>
    <t>2022-05-28</t>
  </si>
  <si>
    <t>STU1165</t>
  </si>
  <si>
    <t>STU1166</t>
  </si>
  <si>
    <t>2023-06-29</t>
  </si>
  <si>
    <t>STU1167</t>
  </si>
  <si>
    <t>STU1168</t>
  </si>
  <si>
    <t>STU1169</t>
  </si>
  <si>
    <t>STU1170</t>
  </si>
  <si>
    <t>2021-05-23</t>
  </si>
  <si>
    <t>STU1171</t>
  </si>
  <si>
    <t>STU1172</t>
  </si>
  <si>
    <t>2025-07-06</t>
  </si>
  <si>
    <t>STU1173</t>
  </si>
  <si>
    <t>2022-08-30</t>
  </si>
  <si>
    <t>STU1174</t>
  </si>
  <si>
    <t>STU1175</t>
  </si>
  <si>
    <t>2023-10-21</t>
  </si>
  <si>
    <t>STU1176</t>
  </si>
  <si>
    <t>2023-03-05</t>
  </si>
  <si>
    <t>STU1177</t>
  </si>
  <si>
    <t>STU1178</t>
  </si>
  <si>
    <t>2021-05-16</t>
  </si>
  <si>
    <t>STU1179</t>
  </si>
  <si>
    <t>2024-11-10</t>
  </si>
  <si>
    <t>STU1180</t>
  </si>
  <si>
    <t>STU1181</t>
  </si>
  <si>
    <t>2025-03-21</t>
  </si>
  <si>
    <t>STU1182</t>
  </si>
  <si>
    <t>STU1183</t>
  </si>
  <si>
    <t>2021-01-08</t>
  </si>
  <si>
    <t>STU1184</t>
  </si>
  <si>
    <t>2024-09-05</t>
  </si>
  <si>
    <t>STU1185</t>
  </si>
  <si>
    <t>STU1186</t>
  </si>
  <si>
    <t>STU1187</t>
  </si>
  <si>
    <t>STU1188</t>
  </si>
  <si>
    <t>2021-03-10</t>
  </si>
  <si>
    <t>STU1189</t>
  </si>
  <si>
    <t>2023-12-14</t>
  </si>
  <si>
    <t>STU1190</t>
  </si>
  <si>
    <t>STU1191</t>
  </si>
  <si>
    <t>2025-08-12</t>
  </si>
  <si>
    <t>STU1192</t>
  </si>
  <si>
    <t>STU1193</t>
  </si>
  <si>
    <t>STU1194</t>
  </si>
  <si>
    <t>2022-01-10</t>
  </si>
  <si>
    <t>STU1195</t>
  </si>
  <si>
    <t>2023-12-21</t>
  </si>
  <si>
    <t>STU1196</t>
  </si>
  <si>
    <t>2024-06-24</t>
  </si>
  <si>
    <t>STU1197</t>
  </si>
  <si>
    <t>STU1198</t>
  </si>
  <si>
    <t>2023-08-28</t>
  </si>
  <si>
    <t>STU1199</t>
  </si>
  <si>
    <t>2024-02-07</t>
  </si>
  <si>
    <t>STU1200</t>
  </si>
  <si>
    <t>2023-02-10</t>
  </si>
  <si>
    <t>STU1201</t>
  </si>
  <si>
    <t>2024-01-05</t>
  </si>
  <si>
    <t>STU1202</t>
  </si>
  <si>
    <t>STU1203</t>
  </si>
  <si>
    <t>2022-12-02</t>
  </si>
  <si>
    <t>STU1204</t>
  </si>
  <si>
    <t>STU1205</t>
  </si>
  <si>
    <t>2021-11-02</t>
  </si>
  <si>
    <t>STU1206</t>
  </si>
  <si>
    <t>2025-09-08</t>
  </si>
  <si>
    <t>STU1207</t>
  </si>
  <si>
    <t>STU1208</t>
  </si>
  <si>
    <t>2022-03-03</t>
  </si>
  <si>
    <t>STU1209</t>
  </si>
  <si>
    <t>STU1210</t>
  </si>
  <si>
    <t>STU1211</t>
  </si>
  <si>
    <t>STU1212</t>
  </si>
  <si>
    <t>2022-06-25</t>
  </si>
  <si>
    <t>STU1213</t>
  </si>
  <si>
    <t>STU1214</t>
  </si>
  <si>
    <t>2022-04-18</t>
  </si>
  <si>
    <t>STU1215</t>
  </si>
  <si>
    <t>STU1216</t>
  </si>
  <si>
    <t>STU1217</t>
  </si>
  <si>
    <t>2025-05-28</t>
  </si>
  <si>
    <t>STU1218</t>
  </si>
  <si>
    <t>STU1219</t>
  </si>
  <si>
    <t>STU1220</t>
  </si>
  <si>
    <t>2024-03-19</t>
  </si>
  <si>
    <t>STU1221</t>
  </si>
  <si>
    <t>2024-08-18</t>
  </si>
  <si>
    <t>STU1222</t>
  </si>
  <si>
    <t>2022-01-14</t>
  </si>
  <si>
    <t>STU1223</t>
  </si>
  <si>
    <t>STU1224</t>
  </si>
  <si>
    <t>2025-01-30</t>
  </si>
  <si>
    <t>STU1225</t>
  </si>
  <si>
    <t>2024-10-14</t>
  </si>
  <si>
    <t>STU1226</t>
  </si>
  <si>
    <t>2023-10-31</t>
  </si>
  <si>
    <t>STU1227</t>
  </si>
  <si>
    <t>2021-07-21</t>
  </si>
  <si>
    <t>STU1228</t>
  </si>
  <si>
    <t>STU1229</t>
  </si>
  <si>
    <t>2021-09-29</t>
  </si>
  <si>
    <t>STU1230</t>
  </si>
  <si>
    <t>STU1231</t>
  </si>
  <si>
    <t>STU1232</t>
  </si>
  <si>
    <t>2024-03-28</t>
  </si>
  <si>
    <t>STU1233</t>
  </si>
  <si>
    <t>2025-01-07</t>
  </si>
  <si>
    <t>STU1234</t>
  </si>
  <si>
    <t>2025-12-03</t>
  </si>
  <si>
    <t>STU1235</t>
  </si>
  <si>
    <t>2025-03-23</t>
  </si>
  <si>
    <t>STU1236</t>
  </si>
  <si>
    <t>STU1237</t>
  </si>
  <si>
    <t>2024-12-11</t>
  </si>
  <si>
    <t>STU1238</t>
  </si>
  <si>
    <t>STU1239</t>
  </si>
  <si>
    <t>2022-11-01</t>
  </si>
  <si>
    <t>STU1240</t>
  </si>
  <si>
    <t>2024-12-15</t>
  </si>
  <si>
    <t>STU1241</t>
  </si>
  <si>
    <t>STU1242</t>
  </si>
  <si>
    <t>2021-10-03</t>
  </si>
  <si>
    <t>STU1243</t>
  </si>
  <si>
    <t>STU1244</t>
  </si>
  <si>
    <t>2022-08-23</t>
  </si>
  <si>
    <t>STU1245</t>
  </si>
  <si>
    <t>STU1246</t>
  </si>
  <si>
    <t>2021-02-11</t>
  </si>
  <si>
    <t>STU1247</t>
  </si>
  <si>
    <t>STU1248</t>
  </si>
  <si>
    <t>STU1249</t>
  </si>
  <si>
    <t>STU1250</t>
  </si>
  <si>
    <t>STU1251</t>
  </si>
  <si>
    <t>STU1252</t>
  </si>
  <si>
    <t>STU1253</t>
  </si>
  <si>
    <t>STU1254</t>
  </si>
  <si>
    <t>2023-01-19</t>
  </si>
  <si>
    <t>STU1255</t>
  </si>
  <si>
    <t>2024-04-06</t>
  </si>
  <si>
    <t>STU1256</t>
  </si>
  <si>
    <t>STU1257</t>
  </si>
  <si>
    <t>STU1258</t>
  </si>
  <si>
    <t>STU1259</t>
  </si>
  <si>
    <t>STU1260</t>
  </si>
  <si>
    <t>2021-07-13</t>
  </si>
  <si>
    <t>STU1261</t>
  </si>
  <si>
    <t>STU1262</t>
  </si>
  <si>
    <t>2023-05-11</t>
  </si>
  <si>
    <t>STU1263</t>
  </si>
  <si>
    <t>2021-12-29</t>
  </si>
  <si>
    <t>STU1264</t>
  </si>
  <si>
    <t>STU1265</t>
  </si>
  <si>
    <t>STU1266</t>
  </si>
  <si>
    <t>STU1267</t>
  </si>
  <si>
    <t>STU1268</t>
  </si>
  <si>
    <t>2025-03-26</t>
  </si>
  <si>
    <t>STU1269</t>
  </si>
  <si>
    <t>2025-03-03</t>
  </si>
  <si>
    <t>STU1270</t>
  </si>
  <si>
    <t>STU1271</t>
  </si>
  <si>
    <t>STU1272</t>
  </si>
  <si>
    <t>STU1273</t>
  </si>
  <si>
    <t>STU1274</t>
  </si>
  <si>
    <t>STU1275</t>
  </si>
  <si>
    <t>STU1276</t>
  </si>
  <si>
    <t>STU1277</t>
  </si>
  <si>
    <t>STU1278</t>
  </si>
  <si>
    <t>STU1279</t>
  </si>
  <si>
    <t>STU1280</t>
  </si>
  <si>
    <t>STU1281</t>
  </si>
  <si>
    <t>STU1282</t>
  </si>
  <si>
    <t>2024-07-22</t>
  </si>
  <si>
    <t>STU1283</t>
  </si>
  <si>
    <t>STU1284</t>
  </si>
  <si>
    <t>2022-06-04</t>
  </si>
  <si>
    <t>STU1285</t>
  </si>
  <si>
    <t>STU1286</t>
  </si>
  <si>
    <t>STU1287</t>
  </si>
  <si>
    <t>2024-05-17</t>
  </si>
  <si>
    <t>STU1288</t>
  </si>
  <si>
    <t>2022-08-08</t>
  </si>
  <si>
    <t>STU1289</t>
  </si>
  <si>
    <t>2022-01-31</t>
  </si>
  <si>
    <t>STU1290</t>
  </si>
  <si>
    <t>2021-01-20</t>
  </si>
  <si>
    <t>STU1291</t>
  </si>
  <si>
    <t>STU1292</t>
  </si>
  <si>
    <t>2023-09-14</t>
  </si>
  <si>
    <t>STU1293</t>
  </si>
  <si>
    <t>2024-05-02</t>
  </si>
  <si>
    <t>STU1294</t>
  </si>
  <si>
    <t>STU1295</t>
  </si>
  <si>
    <t>2022-04-22</t>
  </si>
  <si>
    <t>STU1296</t>
  </si>
  <si>
    <t>2024-04-21</t>
  </si>
  <si>
    <t>STU1297</t>
  </si>
  <si>
    <t>STU1298</t>
  </si>
  <si>
    <t>STU1299</t>
  </si>
  <si>
    <t>STU1300</t>
  </si>
  <si>
    <t>STU1301</t>
  </si>
  <si>
    <t>2023-08-12</t>
  </si>
  <si>
    <t>STU1302</t>
  </si>
  <si>
    <t>2022-07-27</t>
  </si>
  <si>
    <t>STU1303</t>
  </si>
  <si>
    <t>STU1304</t>
  </si>
  <si>
    <t>STU1305</t>
  </si>
  <si>
    <t>STU1306</t>
  </si>
  <si>
    <t>STU1307</t>
  </si>
  <si>
    <t>STU1308</t>
  </si>
  <si>
    <t>2025-08-16</t>
  </si>
  <si>
    <t>STU1309</t>
  </si>
  <si>
    <t>2022-04-21</t>
  </si>
  <si>
    <t>STU1310</t>
  </si>
  <si>
    <t>2025-08-28</t>
  </si>
  <si>
    <t>STU1311</t>
  </si>
  <si>
    <t>STU1312</t>
  </si>
  <si>
    <t>2022-03-10</t>
  </si>
  <si>
    <t>STU1313</t>
  </si>
  <si>
    <t>2022-01-09</t>
  </si>
  <si>
    <t>STU1314</t>
  </si>
  <si>
    <t>2023-10-24</t>
  </si>
  <si>
    <t>STU1315</t>
  </si>
  <si>
    <t>STU1316</t>
  </si>
  <si>
    <t>2022-02-16</t>
  </si>
  <si>
    <t>STU1317</t>
  </si>
  <si>
    <t>STU1318</t>
  </si>
  <si>
    <t>STU1319</t>
  </si>
  <si>
    <t>2023-11-10</t>
  </si>
  <si>
    <t>STU1320</t>
  </si>
  <si>
    <t>STU1321</t>
  </si>
  <si>
    <t>2021-07-18</t>
  </si>
  <si>
    <t>STU1322</t>
  </si>
  <si>
    <t>2023-07-24</t>
  </si>
  <si>
    <t>STU1323</t>
  </si>
  <si>
    <t>2024-12-23</t>
  </si>
  <si>
    <t>STU1324</t>
  </si>
  <si>
    <t>STU1325</t>
  </si>
  <si>
    <t>STU1326</t>
  </si>
  <si>
    <t>STU1327</t>
  </si>
  <si>
    <t>2025-05-07</t>
  </si>
  <si>
    <t>STU1328</t>
  </si>
  <si>
    <t>2025-08-23</t>
  </si>
  <si>
    <t>STU1329</t>
  </si>
  <si>
    <t>STU1330</t>
  </si>
  <si>
    <t>STU1331</t>
  </si>
  <si>
    <t>STU1332</t>
  </si>
  <si>
    <t>2021-01-18</t>
  </si>
  <si>
    <t>STU1333</t>
  </si>
  <si>
    <t>2023-11-03</t>
  </si>
  <si>
    <t>STU1334</t>
  </si>
  <si>
    <t>STU1335</t>
  </si>
  <si>
    <t>2024-02-04</t>
  </si>
  <si>
    <t>STU1336</t>
  </si>
  <si>
    <t>STU1337</t>
  </si>
  <si>
    <t>2021-05-21</t>
  </si>
  <si>
    <t>STU1338</t>
  </si>
  <si>
    <t>STU1339</t>
  </si>
  <si>
    <t>STU1340</t>
  </si>
  <si>
    <t>STU1341</t>
  </si>
  <si>
    <t>2021-04-10</t>
  </si>
  <si>
    <t>STU1342</t>
  </si>
  <si>
    <t>2022-07-02</t>
  </si>
  <si>
    <t>STU1343</t>
  </si>
  <si>
    <t>STU1344</t>
  </si>
  <si>
    <t>2023-01-01</t>
  </si>
  <si>
    <t>STU1345</t>
  </si>
  <si>
    <t>2023-06-17</t>
  </si>
  <si>
    <t>STU1346</t>
  </si>
  <si>
    <t>2024-03-05</t>
  </si>
  <si>
    <t>STU1347</t>
  </si>
  <si>
    <t>STU1348</t>
  </si>
  <si>
    <t>2024-08-03</t>
  </si>
  <si>
    <t>STU1349</t>
  </si>
  <si>
    <t>STU1350</t>
  </si>
  <si>
    <t>2025-05-24</t>
  </si>
  <si>
    <t>STU1351</t>
  </si>
  <si>
    <t>STU1352</t>
  </si>
  <si>
    <t>2024-04-02</t>
  </si>
  <si>
    <t>STU1353</t>
  </si>
  <si>
    <t>2021-08-15</t>
  </si>
  <si>
    <t>STU1354</t>
  </si>
  <si>
    <t>STU1355</t>
  </si>
  <si>
    <t>STU1356</t>
  </si>
  <si>
    <t>STU1357</t>
  </si>
  <si>
    <t>STU1358</t>
  </si>
  <si>
    <t>2023-07-03</t>
  </si>
  <si>
    <t>STU1359</t>
  </si>
  <si>
    <t>STU1360</t>
  </si>
  <si>
    <t>2021-11-03</t>
  </si>
  <si>
    <t>STU1361</t>
  </si>
  <si>
    <t>STU1362</t>
  </si>
  <si>
    <t>2024-02-20</t>
  </si>
  <si>
    <t>STU1363</t>
  </si>
  <si>
    <t>2021-04-20</t>
  </si>
  <si>
    <t>STU1364</t>
  </si>
  <si>
    <t>2022-05-03</t>
  </si>
  <si>
    <t>STU1365</t>
  </si>
  <si>
    <t>STU1366</t>
  </si>
  <si>
    <t>STU1367</t>
  </si>
  <si>
    <t>STU1368</t>
  </si>
  <si>
    <t>2024-11-05</t>
  </si>
  <si>
    <t>STU1369</t>
  </si>
  <si>
    <t>2025-08-25</t>
  </si>
  <si>
    <t>STU1370</t>
  </si>
  <si>
    <t>STU1371</t>
  </si>
  <si>
    <t>2022-06-13</t>
  </si>
  <si>
    <t>STU1372</t>
  </si>
  <si>
    <t>STU1373</t>
  </si>
  <si>
    <t>STU1374</t>
  </si>
  <si>
    <t>2021-12-13</t>
  </si>
  <si>
    <t>STU1375</t>
  </si>
  <si>
    <t>STU1376</t>
  </si>
  <si>
    <t>2024-11-14</t>
  </si>
  <si>
    <t>STU1377</t>
  </si>
  <si>
    <t>2023-01-08</t>
  </si>
  <si>
    <t>STU1378</t>
  </si>
  <si>
    <t>2023-03-14</t>
  </si>
  <si>
    <t>STU1379</t>
  </si>
  <si>
    <t>2021-09-26</t>
  </si>
  <si>
    <t>STU1380</t>
  </si>
  <si>
    <t>STU1381</t>
  </si>
  <si>
    <t>2024-09-21</t>
  </si>
  <si>
    <t>STU1382</t>
  </si>
  <si>
    <t>STU1383</t>
  </si>
  <si>
    <t>2023-02-24</t>
  </si>
  <si>
    <t>STU1384</t>
  </si>
  <si>
    <t>2025-01-24</t>
  </si>
  <si>
    <t>STU1385</t>
  </si>
  <si>
    <t>2025-07-17</t>
  </si>
  <si>
    <t>STU1386</t>
  </si>
  <si>
    <t>STU1387</t>
  </si>
  <si>
    <t>STU1388</t>
  </si>
  <si>
    <t>2024-05-11</t>
  </si>
  <si>
    <t>STU1389</t>
  </si>
  <si>
    <t>STU1390</t>
  </si>
  <si>
    <t>STU1391</t>
  </si>
  <si>
    <t>STU1392</t>
  </si>
  <si>
    <t>STU1393</t>
  </si>
  <si>
    <t>STU1394</t>
  </si>
  <si>
    <t>STU1395</t>
  </si>
  <si>
    <t>STU1396</t>
  </si>
  <si>
    <t>STU1397</t>
  </si>
  <si>
    <t>STU1398</t>
  </si>
  <si>
    <t>STU1399</t>
  </si>
  <si>
    <t>STU1400</t>
  </si>
  <si>
    <t>STU1401</t>
  </si>
  <si>
    <t>STU1402</t>
  </si>
  <si>
    <t>STU1403</t>
  </si>
  <si>
    <t>2023-07-04</t>
  </si>
  <si>
    <t>STU1404</t>
  </si>
  <si>
    <t>STU1405</t>
  </si>
  <si>
    <t>STU1406</t>
  </si>
  <si>
    <t>STU1407</t>
  </si>
  <si>
    <t>STU1408</t>
  </si>
  <si>
    <t>STU1409</t>
  </si>
  <si>
    <t>2021-08-13</t>
  </si>
  <si>
    <t>STU1410</t>
  </si>
  <si>
    <t>STU1411</t>
  </si>
  <si>
    <t>2021-08-14</t>
  </si>
  <si>
    <t>STU1412</t>
  </si>
  <si>
    <t>STU1413</t>
  </si>
  <si>
    <t>STU1414</t>
  </si>
  <si>
    <t>STU1415</t>
  </si>
  <si>
    <t>STU1416</t>
  </si>
  <si>
    <t>STU1417</t>
  </si>
  <si>
    <t>2024-12-31</t>
  </si>
  <si>
    <t>STU1418</t>
  </si>
  <si>
    <t>2022-08-22</t>
  </si>
  <si>
    <t>STU1419</t>
  </si>
  <si>
    <t>STU1420</t>
  </si>
  <si>
    <t>2022-10-06</t>
  </si>
  <si>
    <t>STU1421</t>
  </si>
  <si>
    <t>2021-12-14</t>
  </si>
  <si>
    <t>STU1422</t>
  </si>
  <si>
    <t>STU1423</t>
  </si>
  <si>
    <t>2025-04-02</t>
  </si>
  <si>
    <t>STU1424</t>
  </si>
  <si>
    <t>STU1425</t>
  </si>
  <si>
    <t>STU1426</t>
  </si>
  <si>
    <t>STU1427</t>
  </si>
  <si>
    <t>2025-06-09</t>
  </si>
  <si>
    <t>STU1428</t>
  </si>
  <si>
    <t>STU1429</t>
  </si>
  <si>
    <t>STU1430</t>
  </si>
  <si>
    <t>STU1431</t>
  </si>
  <si>
    <t>STU1432</t>
  </si>
  <si>
    <t>2021-06-11</t>
  </si>
  <si>
    <t>STU1433</t>
  </si>
  <si>
    <t>2021-09-25</t>
  </si>
  <si>
    <t>STU1434</t>
  </si>
  <si>
    <t>STU1435</t>
  </si>
  <si>
    <t>2025-04-09</t>
  </si>
  <si>
    <t>STU1436</t>
  </si>
  <si>
    <t>2024-09-02</t>
  </si>
  <si>
    <t>STU1437</t>
  </si>
  <si>
    <t>STU1438</t>
  </si>
  <si>
    <t>2022-09-15</t>
  </si>
  <si>
    <t>STU1439</t>
  </si>
  <si>
    <t>STU1440</t>
  </si>
  <si>
    <t>STU1441</t>
  </si>
  <si>
    <t>2023-12-29</t>
  </si>
  <si>
    <t>STU1442</t>
  </si>
  <si>
    <t>STU1443</t>
  </si>
  <si>
    <t>STU1444</t>
  </si>
  <si>
    <t>2024-03-07</t>
  </si>
  <si>
    <t>STU1445</t>
  </si>
  <si>
    <t>2024-10-16</t>
  </si>
  <si>
    <t>STU1446</t>
  </si>
  <si>
    <t>STU1447</t>
  </si>
  <si>
    <t>2024-11-26</t>
  </si>
  <si>
    <t>STU1448</t>
  </si>
  <si>
    <t>STU1449</t>
  </si>
  <si>
    <t>2021-05-18</t>
  </si>
  <si>
    <t>STU1450</t>
  </si>
  <si>
    <t>2024-08-06</t>
  </si>
  <si>
    <t>STU1451</t>
  </si>
  <si>
    <t>STU1452</t>
  </si>
  <si>
    <t>STU1453</t>
  </si>
  <si>
    <t>STU1454</t>
  </si>
  <si>
    <t>2021-03-14</t>
  </si>
  <si>
    <t>STU1455</t>
  </si>
  <si>
    <t>2023-04-04</t>
  </si>
  <si>
    <t>STU1456</t>
  </si>
  <si>
    <t>2023-07-18</t>
  </si>
  <si>
    <t>STU1457</t>
  </si>
  <si>
    <t>STU1458</t>
  </si>
  <si>
    <t>STU1459</t>
  </si>
  <si>
    <t>STU1460</t>
  </si>
  <si>
    <t>STU1461</t>
  </si>
  <si>
    <t>2023-04-20</t>
  </si>
  <si>
    <t>STU1462</t>
  </si>
  <si>
    <t>2021-09-14</t>
  </si>
  <si>
    <t>STU1463</t>
  </si>
  <si>
    <t>STU1464</t>
  </si>
  <si>
    <t>STU1465</t>
  </si>
  <si>
    <t>STU1466</t>
  </si>
  <si>
    <t>2024-06-15</t>
  </si>
  <si>
    <t>STU1467</t>
  </si>
  <si>
    <t>2022-02-02</t>
  </si>
  <si>
    <t>STU1468</t>
  </si>
  <si>
    <t>STU1469</t>
  </si>
  <si>
    <t>STU1470</t>
  </si>
  <si>
    <t>2022-05-09</t>
  </si>
  <si>
    <t>STU1471</t>
  </si>
  <si>
    <t>STU1472</t>
  </si>
  <si>
    <t>2025-08-20</t>
  </si>
  <si>
    <t>STU1473</t>
  </si>
  <si>
    <t>STU1474</t>
  </si>
  <si>
    <t>2024-11-21</t>
  </si>
  <si>
    <t>STU1475</t>
  </si>
  <si>
    <t>2021-07-26</t>
  </si>
  <si>
    <t>STU1476</t>
  </si>
  <si>
    <t>2025-06-19</t>
  </si>
  <si>
    <t>STU1477</t>
  </si>
  <si>
    <t>2021-11-08</t>
  </si>
  <si>
    <t>STU1478</t>
  </si>
  <si>
    <t>STU1479</t>
  </si>
  <si>
    <t>STU1480</t>
  </si>
  <si>
    <t>STU1481</t>
  </si>
  <si>
    <t>STU1482</t>
  </si>
  <si>
    <t>STU1483</t>
  </si>
  <si>
    <t>STU1484</t>
  </si>
  <si>
    <t>STU1485</t>
  </si>
  <si>
    <t>STU1486</t>
  </si>
  <si>
    <t>2022-10-02</t>
  </si>
  <si>
    <t>STU1487</t>
  </si>
  <si>
    <t>2024-08-02</t>
  </si>
  <si>
    <t>STU1488</t>
  </si>
  <si>
    <t>2025-08-04</t>
  </si>
  <si>
    <t>STU1489</t>
  </si>
  <si>
    <t>2021-10-27</t>
  </si>
  <si>
    <t>STU1490</t>
  </si>
  <si>
    <t>2023-07-29</t>
  </si>
  <si>
    <t>STU1491</t>
  </si>
  <si>
    <t>STU1492</t>
  </si>
  <si>
    <t>STU1493</t>
  </si>
  <si>
    <t>STU1494</t>
  </si>
  <si>
    <t>STU1495</t>
  </si>
  <si>
    <t>STU1496</t>
  </si>
  <si>
    <t>2025-04-04</t>
  </si>
  <si>
    <t>STU1497</t>
  </si>
  <si>
    <t>STU1498</t>
  </si>
  <si>
    <t>2023-11-21</t>
  </si>
  <si>
    <t>STU1499</t>
  </si>
  <si>
    <t>2021-12-04</t>
  </si>
  <si>
    <t>STU1500</t>
  </si>
  <si>
    <t>STU1501</t>
  </si>
  <si>
    <t>2021-10-08</t>
  </si>
  <si>
    <t>STU1502</t>
  </si>
  <si>
    <t>2021-01-17</t>
  </si>
  <si>
    <t>STU1503</t>
  </si>
  <si>
    <t>2021-05-30</t>
  </si>
  <si>
    <t>STU1504</t>
  </si>
  <si>
    <t>STU1505</t>
  </si>
  <si>
    <t>STU1506</t>
  </si>
  <si>
    <t>2021-08-21</t>
  </si>
  <si>
    <t>STU1507</t>
  </si>
  <si>
    <t>STU1508</t>
  </si>
  <si>
    <t>STU1509</t>
  </si>
  <si>
    <t>STU1510</t>
  </si>
  <si>
    <t>2021-08-23</t>
  </si>
  <si>
    <t>STU1511</t>
  </si>
  <si>
    <t>2021-03-22</t>
  </si>
  <si>
    <t>STU1512</t>
  </si>
  <si>
    <t>STU1513</t>
  </si>
  <si>
    <t>2023-05-24</t>
  </si>
  <si>
    <t>STU1514</t>
  </si>
  <si>
    <t>2021-11-01</t>
  </si>
  <si>
    <t>STU1515</t>
  </si>
  <si>
    <t>2021-07-06</t>
  </si>
  <si>
    <t>STU1516</t>
  </si>
  <si>
    <t>STU1517</t>
  </si>
  <si>
    <t>STU1518</t>
  </si>
  <si>
    <t>2021-12-05</t>
  </si>
  <si>
    <t>STU1519</t>
  </si>
  <si>
    <t>STU1520</t>
  </si>
  <si>
    <t>2022-04-23</t>
  </si>
  <si>
    <t>STU1521</t>
  </si>
  <si>
    <t>STU1522</t>
  </si>
  <si>
    <t>2024-03-06</t>
  </si>
  <si>
    <t>STU1523</t>
  </si>
  <si>
    <t>2024-02-05</t>
  </si>
  <si>
    <t>STU1524</t>
  </si>
  <si>
    <t>STU1525</t>
  </si>
  <si>
    <t>2022-12-29</t>
  </si>
  <si>
    <t>STU1526</t>
  </si>
  <si>
    <t>STU1527</t>
  </si>
  <si>
    <t>2023-03-12</t>
  </si>
  <si>
    <t>STU1528</t>
  </si>
  <si>
    <t>STU1529</t>
  </si>
  <si>
    <t>STU1530</t>
  </si>
  <si>
    <t>STU1531</t>
  </si>
  <si>
    <t>2024-02-24</t>
  </si>
  <si>
    <t>STU1532</t>
  </si>
  <si>
    <t>STU1533</t>
  </si>
  <si>
    <t>STU1534</t>
  </si>
  <si>
    <t>2021-11-26</t>
  </si>
  <si>
    <t>STU1535</t>
  </si>
  <si>
    <t>STU1536</t>
  </si>
  <si>
    <t>2024-06-04</t>
  </si>
  <si>
    <t>STU1537</t>
  </si>
  <si>
    <t>STU1538</t>
  </si>
  <si>
    <t>STU1539</t>
  </si>
  <si>
    <t>STU1540</t>
  </si>
  <si>
    <t>STU1541</t>
  </si>
  <si>
    <t>STU1542</t>
  </si>
  <si>
    <t>STU1543</t>
  </si>
  <si>
    <t>2025-04-17</t>
  </si>
  <si>
    <t>STU1544</t>
  </si>
  <si>
    <t>STU1545</t>
  </si>
  <si>
    <t>2023-10-05</t>
  </si>
  <si>
    <t>STU1546</t>
  </si>
  <si>
    <t>2021-09-11</t>
  </si>
  <si>
    <t>STU1547</t>
  </si>
  <si>
    <t>2023-03-31</t>
  </si>
  <si>
    <t>STU1548</t>
  </si>
  <si>
    <t>STU1549</t>
  </si>
  <si>
    <t>2022-09-18</t>
  </si>
  <si>
    <t>STU1550</t>
  </si>
  <si>
    <t>2024-02-08</t>
  </si>
  <si>
    <t>STU1551</t>
  </si>
  <si>
    <t>STU1552</t>
  </si>
  <si>
    <t>STU1553</t>
  </si>
  <si>
    <t>STU1554</t>
  </si>
  <si>
    <t>STU1555</t>
  </si>
  <si>
    <t>2024-04-09</t>
  </si>
  <si>
    <t>STU1556</t>
  </si>
  <si>
    <t>2023-02-05</t>
  </si>
  <si>
    <t>STU1557</t>
  </si>
  <si>
    <t>STU1558</t>
  </si>
  <si>
    <t>STU1559</t>
  </si>
  <si>
    <t>2021-02-07</t>
  </si>
  <si>
    <t>STU1560</t>
  </si>
  <si>
    <t>2024-04-01</t>
  </si>
  <si>
    <t>STU1561</t>
  </si>
  <si>
    <t>STU1562</t>
  </si>
  <si>
    <t>STU1563</t>
  </si>
  <si>
    <t>2025-10-24</t>
  </si>
  <si>
    <t>STU1564</t>
  </si>
  <si>
    <t>STU1565</t>
  </si>
  <si>
    <t>STU1566</t>
  </si>
  <si>
    <t>2023-01-28</t>
  </si>
  <si>
    <t>STU1567</t>
  </si>
  <si>
    <t>2022-07-22</t>
  </si>
  <si>
    <t>STU1568</t>
  </si>
  <si>
    <t>STU1569</t>
  </si>
  <si>
    <t>2021-01-25</t>
  </si>
  <si>
    <t>STU1570</t>
  </si>
  <si>
    <t>STU1571</t>
  </si>
  <si>
    <t>2025-07-18</t>
  </si>
  <si>
    <t>STU1572</t>
  </si>
  <si>
    <t>STU1573</t>
  </si>
  <si>
    <t>STU1574</t>
  </si>
  <si>
    <t>STU1575</t>
  </si>
  <si>
    <t>STU1576</t>
  </si>
  <si>
    <t>2022-05-11</t>
  </si>
  <si>
    <t>STU1577</t>
  </si>
  <si>
    <t>STU1578</t>
  </si>
  <si>
    <t>STU1579</t>
  </si>
  <si>
    <t>STU1580</t>
  </si>
  <si>
    <t>2022-10-28</t>
  </si>
  <si>
    <t>STU1581</t>
  </si>
  <si>
    <t>2024-07-26</t>
  </si>
  <si>
    <t>STU1582</t>
  </si>
  <si>
    <t>STU1583</t>
  </si>
  <si>
    <t>STU1584</t>
  </si>
  <si>
    <t>STU1585</t>
  </si>
  <si>
    <t>STU1586</t>
  </si>
  <si>
    <t>2025-11-14</t>
  </si>
  <si>
    <t>STU1587</t>
  </si>
  <si>
    <t>STU1588</t>
  </si>
  <si>
    <t>STU1589</t>
  </si>
  <si>
    <t>STU1590</t>
  </si>
  <si>
    <t>2021-11-20</t>
  </si>
  <si>
    <t>STU1591</t>
  </si>
  <si>
    <t>2021-05-05</t>
  </si>
  <si>
    <t>STU1592</t>
  </si>
  <si>
    <t>STU1593</t>
  </si>
  <si>
    <t>2025-06-16</t>
  </si>
  <si>
    <t>STU1594</t>
  </si>
  <si>
    <t>STU1595</t>
  </si>
  <si>
    <t>STU1596</t>
  </si>
  <si>
    <t>STU1597</t>
  </si>
  <si>
    <t>STU1598</t>
  </si>
  <si>
    <t>STU1599</t>
  </si>
  <si>
    <t>2021-01-22</t>
  </si>
  <si>
    <t>STU1600</t>
  </si>
  <si>
    <t>STU1601</t>
  </si>
  <si>
    <t>STU1602</t>
  </si>
  <si>
    <t>STU1603</t>
  </si>
  <si>
    <t>STU1604</t>
  </si>
  <si>
    <t>STU1605</t>
  </si>
  <si>
    <t>STU1606</t>
  </si>
  <si>
    <t>STU1607</t>
  </si>
  <si>
    <t>2023-08-26</t>
  </si>
  <si>
    <t>STU1608</t>
  </si>
  <si>
    <t>STU1609</t>
  </si>
  <si>
    <t>2021-05-28</t>
  </si>
  <si>
    <t>STU1610</t>
  </si>
  <si>
    <t>STU1611</t>
  </si>
  <si>
    <t>STU1612</t>
  </si>
  <si>
    <t>STU1613</t>
  </si>
  <si>
    <t>STU1614</t>
  </si>
  <si>
    <t>STU1615</t>
  </si>
  <si>
    <t>STU1616</t>
  </si>
  <si>
    <t>2024-08-27</t>
  </si>
  <si>
    <t>STU1617</t>
  </si>
  <si>
    <t>2023-05-28</t>
  </si>
  <si>
    <t>STU1618</t>
  </si>
  <si>
    <t>STU1619</t>
  </si>
  <si>
    <t>STU1620</t>
  </si>
  <si>
    <t>2022-05-04</t>
  </si>
  <si>
    <t>STU1621</t>
  </si>
  <si>
    <t>STU1622</t>
  </si>
  <si>
    <t>STU1623</t>
  </si>
  <si>
    <t>2022-03-26</t>
  </si>
  <si>
    <t>STU1624</t>
  </si>
  <si>
    <t>2025-03-27</t>
  </si>
  <si>
    <t>STU1625</t>
  </si>
  <si>
    <t>STU1626</t>
  </si>
  <si>
    <t>STU1627</t>
  </si>
  <si>
    <t>STU1628</t>
  </si>
  <si>
    <t>2022-01-05</t>
  </si>
  <si>
    <t>STU1629</t>
  </si>
  <si>
    <t>STU1630</t>
  </si>
  <si>
    <t>STU1631</t>
  </si>
  <si>
    <t>STU1632</t>
  </si>
  <si>
    <t>2022-02-06</t>
  </si>
  <si>
    <t>STU1633</t>
  </si>
  <si>
    <t>2024-04-20</t>
  </si>
  <si>
    <t>STU1634</t>
  </si>
  <si>
    <t>STU1635</t>
  </si>
  <si>
    <t>STU1636</t>
  </si>
  <si>
    <t>STU1637</t>
  </si>
  <si>
    <t>2023-09-04</t>
  </si>
  <si>
    <t>STU1638</t>
  </si>
  <si>
    <t>2023-06-23</t>
  </si>
  <si>
    <t>STU1639</t>
  </si>
  <si>
    <t>2023-12-09</t>
  </si>
  <si>
    <t>STU1640</t>
  </si>
  <si>
    <t>STU1641</t>
  </si>
  <si>
    <t>2022-02-12</t>
  </si>
  <si>
    <t>STU1642</t>
  </si>
  <si>
    <t>2023-05-04</t>
  </si>
  <si>
    <t>STU1643</t>
  </si>
  <si>
    <t>STU1644</t>
  </si>
  <si>
    <t>STU1645</t>
  </si>
  <si>
    <t>STU1646</t>
  </si>
  <si>
    <t>2025-02-04</t>
  </si>
  <si>
    <t>STU1647</t>
  </si>
  <si>
    <t>STU1648</t>
  </si>
  <si>
    <t>2025-10-09</t>
  </si>
  <si>
    <t>STU1649</t>
  </si>
  <si>
    <t>STU1650</t>
  </si>
  <si>
    <t>STU1651</t>
  </si>
  <si>
    <t>STU1652</t>
  </si>
  <si>
    <t>STU1653</t>
  </si>
  <si>
    <t>STU1654</t>
  </si>
  <si>
    <t>STU1655</t>
  </si>
  <si>
    <t>2021-02-23</t>
  </si>
  <si>
    <t>STU1656</t>
  </si>
  <si>
    <t>STU1657</t>
  </si>
  <si>
    <t>STU1658</t>
  </si>
  <si>
    <t>2022-09-06</t>
  </si>
  <si>
    <t>STU1659</t>
  </si>
  <si>
    <t>2025-11-01</t>
  </si>
  <si>
    <t>STU1660</t>
  </si>
  <si>
    <t>STU1661</t>
  </si>
  <si>
    <t>STU1662</t>
  </si>
  <si>
    <t>STU1663</t>
  </si>
  <si>
    <t>2022-11-02</t>
  </si>
  <si>
    <t>STU1664</t>
  </si>
  <si>
    <t>STU1665</t>
  </si>
  <si>
    <t>STU1666</t>
  </si>
  <si>
    <t>STU1667</t>
  </si>
  <si>
    <t>STU1668</t>
  </si>
  <si>
    <t>STU1669</t>
  </si>
  <si>
    <t>STU1670</t>
  </si>
  <si>
    <t>STU1671</t>
  </si>
  <si>
    <t>STU1672</t>
  </si>
  <si>
    <t>STU1673</t>
  </si>
  <si>
    <t>STU1674</t>
  </si>
  <si>
    <t>STU1675</t>
  </si>
  <si>
    <t>STU1676</t>
  </si>
  <si>
    <t>STU1677</t>
  </si>
  <si>
    <t>2024-02-03</t>
  </si>
  <si>
    <t>STU1678</t>
  </si>
  <si>
    <t>2025-07-26</t>
  </si>
  <si>
    <t>STU1679</t>
  </si>
  <si>
    <t>STU1680</t>
  </si>
  <si>
    <t>STU1681</t>
  </si>
  <si>
    <t>STU1682</t>
  </si>
  <si>
    <t>2025-01-14</t>
  </si>
  <si>
    <t>STU1683</t>
  </si>
  <si>
    <t>STU1684</t>
  </si>
  <si>
    <t>STU1685</t>
  </si>
  <si>
    <t>2021-01-02</t>
  </si>
  <si>
    <t>STU1686</t>
  </si>
  <si>
    <t>2021-05-03</t>
  </si>
  <si>
    <t>STU1687</t>
  </si>
  <si>
    <t>STU1688</t>
  </si>
  <si>
    <t>STU1689</t>
  </si>
  <si>
    <t>2023-07-07</t>
  </si>
  <si>
    <t>STU1690</t>
  </si>
  <si>
    <t>STU1691</t>
  </si>
  <si>
    <t>STU1692</t>
  </si>
  <si>
    <t>2025-09-21</t>
  </si>
  <si>
    <t>STU1693</t>
  </si>
  <si>
    <t>STU1694</t>
  </si>
  <si>
    <t>STU1695</t>
  </si>
  <si>
    <t>2023-07-15</t>
  </si>
  <si>
    <t>STU1696</t>
  </si>
  <si>
    <t>2025-09-01</t>
  </si>
  <si>
    <t>STU1697</t>
  </si>
  <si>
    <t>STU1698</t>
  </si>
  <si>
    <t>STU1699</t>
  </si>
  <si>
    <t>2023-05-26</t>
  </si>
  <si>
    <t>STU1700</t>
  </si>
  <si>
    <t>2021-04-02</t>
  </si>
  <si>
    <t>STU1701</t>
  </si>
  <si>
    <t>2022-01-04</t>
  </si>
  <si>
    <t>STU1702</t>
  </si>
  <si>
    <t>STU1703</t>
  </si>
  <si>
    <t>STU1704</t>
  </si>
  <si>
    <t>STU1705</t>
  </si>
  <si>
    <t>STU1706</t>
  </si>
  <si>
    <t>STU1707</t>
  </si>
  <si>
    <t>STU1708</t>
  </si>
  <si>
    <t>STU1709</t>
  </si>
  <si>
    <t>2024-03-18</t>
  </si>
  <si>
    <t>STU1710</t>
  </si>
  <si>
    <t>STU1711</t>
  </si>
  <si>
    <t>STU1712</t>
  </si>
  <si>
    <t>STU1713</t>
  </si>
  <si>
    <t>2025-06-22</t>
  </si>
  <si>
    <t>STU1714</t>
  </si>
  <si>
    <t>2021-12-18</t>
  </si>
  <si>
    <t>STU1715</t>
  </si>
  <si>
    <t>STU1716</t>
  </si>
  <si>
    <t>2022-09-04</t>
  </si>
  <si>
    <t>STU1717</t>
  </si>
  <si>
    <t>STU1718</t>
  </si>
  <si>
    <t>STU1719</t>
  </si>
  <si>
    <t>2024-05-15</t>
  </si>
  <si>
    <t>STU1720</t>
  </si>
  <si>
    <t>2023-06-27</t>
  </si>
  <si>
    <t>STU1721</t>
  </si>
  <si>
    <t>STU1722</t>
  </si>
  <si>
    <t>2021-06-19</t>
  </si>
  <si>
    <t>STU1723</t>
  </si>
  <si>
    <t>STU1724</t>
  </si>
  <si>
    <t>STU1725</t>
  </si>
  <si>
    <t>STU1726</t>
  </si>
  <si>
    <t>STU1727</t>
  </si>
  <si>
    <t>STU1728</t>
  </si>
  <si>
    <t>2023-11-20</t>
  </si>
  <si>
    <t>STU1729</t>
  </si>
  <si>
    <t>STU1730</t>
  </si>
  <si>
    <t>2025-04-22</t>
  </si>
  <si>
    <t>STU1731</t>
  </si>
  <si>
    <t>2023-08-20</t>
  </si>
  <si>
    <t>STU1732</t>
  </si>
  <si>
    <t>STU1733</t>
  </si>
  <si>
    <t>STU1734</t>
  </si>
  <si>
    <t>STU1735</t>
  </si>
  <si>
    <t>STU1736</t>
  </si>
  <si>
    <t>2021-12-15</t>
  </si>
  <si>
    <t>STU1737</t>
  </si>
  <si>
    <t>2024-06-14</t>
  </si>
  <si>
    <t>STU1738</t>
  </si>
  <si>
    <t>STU1739</t>
  </si>
  <si>
    <t>2024-02-11</t>
  </si>
  <si>
    <t>STU1740</t>
  </si>
  <si>
    <t>2021-11-30</t>
  </si>
  <si>
    <t>STU1741</t>
  </si>
  <si>
    <t>STU1742</t>
  </si>
  <si>
    <t>STU1743</t>
  </si>
  <si>
    <t>2023-11-23</t>
  </si>
  <si>
    <t>STU1744</t>
  </si>
  <si>
    <t>2023-04-03</t>
  </si>
  <si>
    <t>STU1745</t>
  </si>
  <si>
    <t>STU1746</t>
  </si>
  <si>
    <t>2021-07-09</t>
  </si>
  <si>
    <t>STU1747</t>
  </si>
  <si>
    <t>STU1748</t>
  </si>
  <si>
    <t>2022-10-03</t>
  </si>
  <si>
    <t>STU1749</t>
  </si>
  <si>
    <t>STU1750</t>
  </si>
  <si>
    <t>2025-05-10</t>
  </si>
  <si>
    <t>STU1751</t>
  </si>
  <si>
    <t>2023-07-28</t>
  </si>
  <si>
    <t>STU1752</t>
  </si>
  <si>
    <t>2024-10-21</t>
  </si>
  <si>
    <t>STU1753</t>
  </si>
  <si>
    <t>STU1754</t>
  </si>
  <si>
    <t>STU1755</t>
  </si>
  <si>
    <t>2021-03-17</t>
  </si>
  <si>
    <t>STU1756</t>
  </si>
  <si>
    <t>STU1757</t>
  </si>
  <si>
    <t>2021-07-01</t>
  </si>
  <si>
    <t>STU1758</t>
  </si>
  <si>
    <t>STU1759</t>
  </si>
  <si>
    <t>STU1760</t>
  </si>
  <si>
    <t>2023-03-18</t>
  </si>
  <si>
    <t>STU1761</t>
  </si>
  <si>
    <t>2022-01-29</t>
  </si>
  <si>
    <t>STU1762</t>
  </si>
  <si>
    <t>STU1763</t>
  </si>
  <si>
    <t>STU1764</t>
  </si>
  <si>
    <t>STU1765</t>
  </si>
  <si>
    <t>2022-01-30</t>
  </si>
  <si>
    <t>STU1766</t>
  </si>
  <si>
    <t>2022-12-22</t>
  </si>
  <si>
    <t>STU1767</t>
  </si>
  <si>
    <t>STU1768</t>
  </si>
  <si>
    <t>STU1769</t>
  </si>
  <si>
    <t>2021-08-25</t>
  </si>
  <si>
    <t>STU1770</t>
  </si>
  <si>
    <t>2021-02-16</t>
  </si>
  <si>
    <t>STU1771</t>
  </si>
  <si>
    <t>STU1772</t>
  </si>
  <si>
    <t>STU1773</t>
  </si>
  <si>
    <t>STU1774</t>
  </si>
  <si>
    <t>2023-10-20</t>
  </si>
  <si>
    <t>STU1775</t>
  </si>
  <si>
    <t>2025-10-12</t>
  </si>
  <si>
    <t>STU1776</t>
  </si>
  <si>
    <t>STU1777</t>
  </si>
  <si>
    <t>2023-05-29</t>
  </si>
  <si>
    <t>STU1778</t>
  </si>
  <si>
    <t>2022-08-14</t>
  </si>
  <si>
    <t>STU1779</t>
  </si>
  <si>
    <t>STU1780</t>
  </si>
  <si>
    <t>2021-09-05</t>
  </si>
  <si>
    <t>STU1781</t>
  </si>
  <si>
    <t>STU1782</t>
  </si>
  <si>
    <t>STU1783</t>
  </si>
  <si>
    <t>STU1784</t>
  </si>
  <si>
    <t>2021-11-18</t>
  </si>
  <si>
    <t>STU1785</t>
  </si>
  <si>
    <t>STU1786</t>
  </si>
  <si>
    <t>STU1787</t>
  </si>
  <si>
    <t>STU1788</t>
  </si>
  <si>
    <t>STU1789</t>
  </si>
  <si>
    <t>2022-02-19</t>
  </si>
  <si>
    <t>STU1790</t>
  </si>
  <si>
    <t>STU1791</t>
  </si>
  <si>
    <t>STU1792</t>
  </si>
  <si>
    <t>2023-06-19</t>
  </si>
  <si>
    <t>STU1793</t>
  </si>
  <si>
    <t>2023-06-25</t>
  </si>
  <si>
    <t>STU1794</t>
  </si>
  <si>
    <t>STU1795</t>
  </si>
  <si>
    <t>STU1796</t>
  </si>
  <si>
    <t>STU1797</t>
  </si>
  <si>
    <t>STU1798</t>
  </si>
  <si>
    <t>STU1799</t>
  </si>
  <si>
    <t>2022-04-11</t>
  </si>
  <si>
    <t>STU1800</t>
  </si>
  <si>
    <t>2023-01-10</t>
  </si>
  <si>
    <t>STU1801</t>
  </si>
  <si>
    <t>2025-09-07</t>
  </si>
  <si>
    <t>STU1802</t>
  </si>
  <si>
    <t>STU1803</t>
  </si>
  <si>
    <t>2021-07-28</t>
  </si>
  <si>
    <t>STU1804</t>
  </si>
  <si>
    <t>2025-11-08</t>
  </si>
  <si>
    <t>STU1805</t>
  </si>
  <si>
    <t>STU1806</t>
  </si>
  <si>
    <t>2021-12-11</t>
  </si>
  <si>
    <t>STU1807</t>
  </si>
  <si>
    <t>STU1808</t>
  </si>
  <si>
    <t>STU1809</t>
  </si>
  <si>
    <t>STU1810</t>
  </si>
  <si>
    <t>STU1811</t>
  </si>
  <si>
    <t>STU1812</t>
  </si>
  <si>
    <t>2022-12-30</t>
  </si>
  <si>
    <t>STU1813</t>
  </si>
  <si>
    <t>STU1814</t>
  </si>
  <si>
    <t>STU1815</t>
  </si>
  <si>
    <t>2025-05-02</t>
  </si>
  <si>
    <t>STU1816</t>
  </si>
  <si>
    <t>STU1817</t>
  </si>
  <si>
    <t>STU1818</t>
  </si>
  <si>
    <t>2025-04-16</t>
  </si>
  <si>
    <t>STU1819</t>
  </si>
  <si>
    <t>2022-07-16</t>
  </si>
  <si>
    <t>STU1820</t>
  </si>
  <si>
    <t>2022-09-17</t>
  </si>
  <si>
    <t>STU1821</t>
  </si>
  <si>
    <t>2021-07-30</t>
  </si>
  <si>
    <t>STU1822</t>
  </si>
  <si>
    <t>2023-11-05</t>
  </si>
  <si>
    <t>STU1823</t>
  </si>
  <si>
    <t>STU1824</t>
  </si>
  <si>
    <t>STU1825</t>
  </si>
  <si>
    <t>2025-02-28</t>
  </si>
  <si>
    <t>STU1826</t>
  </si>
  <si>
    <t>2024-05-07</t>
  </si>
  <si>
    <t>STU1827</t>
  </si>
  <si>
    <t>STU1828</t>
  </si>
  <si>
    <t>2023-11-13</t>
  </si>
  <si>
    <t>STU1829</t>
  </si>
  <si>
    <t>STU1830</t>
  </si>
  <si>
    <t>STU1831</t>
  </si>
  <si>
    <t>STU1832</t>
  </si>
  <si>
    <t>STU1833</t>
  </si>
  <si>
    <t>2022-04-26</t>
  </si>
  <si>
    <t>STU1834</t>
  </si>
  <si>
    <t>STU1835</t>
  </si>
  <si>
    <t>STU1836</t>
  </si>
  <si>
    <t>STU1837</t>
  </si>
  <si>
    <t>STU1838</t>
  </si>
  <si>
    <t>2025-04-18</t>
  </si>
  <si>
    <t>STU1839</t>
  </si>
  <si>
    <t>STU1840</t>
  </si>
  <si>
    <t>STU1841</t>
  </si>
  <si>
    <t>STU1842</t>
  </si>
  <si>
    <t>STU1843</t>
  </si>
  <si>
    <t>STU1844</t>
  </si>
  <si>
    <t>2023-03-11</t>
  </si>
  <si>
    <t>STU1845</t>
  </si>
  <si>
    <t>STU1846</t>
  </si>
  <si>
    <t>2022-07-21</t>
  </si>
  <si>
    <t>STU1847</t>
  </si>
  <si>
    <t>STU1848</t>
  </si>
  <si>
    <t>STU1849</t>
  </si>
  <si>
    <t>STU1850</t>
  </si>
  <si>
    <t>2021-08-24</t>
  </si>
  <si>
    <t>STU1851</t>
  </si>
  <si>
    <t>2022-02-09</t>
  </si>
  <si>
    <t>STU1852</t>
  </si>
  <si>
    <t>2025-03-29</t>
  </si>
  <si>
    <t>STU1853</t>
  </si>
  <si>
    <t>2024-04-04</t>
  </si>
  <si>
    <t>STU1854</t>
  </si>
  <si>
    <t>STU1855</t>
  </si>
  <si>
    <t>STU1856</t>
  </si>
  <si>
    <t>STU1857</t>
  </si>
  <si>
    <t>STU1858</t>
  </si>
  <si>
    <t>2023-08-31</t>
  </si>
  <si>
    <t>STU1859</t>
  </si>
  <si>
    <t>STU1860</t>
  </si>
  <si>
    <t>STU1861</t>
  </si>
  <si>
    <t>STU1862</t>
  </si>
  <si>
    <t>STU1863</t>
  </si>
  <si>
    <t>STU1864</t>
  </si>
  <si>
    <t>STU1865</t>
  </si>
  <si>
    <t>2022-08-31</t>
  </si>
  <si>
    <t>STU1866</t>
  </si>
  <si>
    <t>2021-12-20</t>
  </si>
  <si>
    <t>STU1867</t>
  </si>
  <si>
    <t>STU1868</t>
  </si>
  <si>
    <t>STU1869</t>
  </si>
  <si>
    <t>STU1870</t>
  </si>
  <si>
    <t>STU1871</t>
  </si>
  <si>
    <t>STU1872</t>
  </si>
  <si>
    <t>STU1873</t>
  </si>
  <si>
    <t>STU1874</t>
  </si>
  <si>
    <t>STU1875</t>
  </si>
  <si>
    <t>2022-07-06</t>
  </si>
  <si>
    <t>STU1876</t>
  </si>
  <si>
    <t>STU1877</t>
  </si>
  <si>
    <t>STU1878</t>
  </si>
  <si>
    <t>2022-08-07</t>
  </si>
  <si>
    <t>STU1879</t>
  </si>
  <si>
    <t>STU1880</t>
  </si>
  <si>
    <t>STU1881</t>
  </si>
  <si>
    <t>STU1882</t>
  </si>
  <si>
    <t>STU1883</t>
  </si>
  <si>
    <t>STU1884</t>
  </si>
  <si>
    <t>STU1885</t>
  </si>
  <si>
    <t>STU1886</t>
  </si>
  <si>
    <t>2023-12-04</t>
  </si>
  <si>
    <t>STU1887</t>
  </si>
  <si>
    <t>2023-05-03</t>
  </si>
  <si>
    <t>STU1888</t>
  </si>
  <si>
    <t>2025-03-24</t>
  </si>
  <si>
    <t>STU1889</t>
  </si>
  <si>
    <t>STU1890</t>
  </si>
  <si>
    <t>2022-07-31</t>
  </si>
  <si>
    <t>STU1891</t>
  </si>
  <si>
    <t>STU1892</t>
  </si>
  <si>
    <t>2021-03-20</t>
  </si>
  <si>
    <t>STU1893</t>
  </si>
  <si>
    <t>STU1894</t>
  </si>
  <si>
    <t>STU1895</t>
  </si>
  <si>
    <t>2022-12-16</t>
  </si>
  <si>
    <t>STU1896</t>
  </si>
  <si>
    <t>STU1897</t>
  </si>
  <si>
    <t>STU1898</t>
  </si>
  <si>
    <t>2025-03-22</t>
  </si>
  <si>
    <t>STU1899</t>
  </si>
  <si>
    <t>2022-12-31</t>
  </si>
  <si>
    <t>STU1900</t>
  </si>
  <si>
    <t>STU1901</t>
  </si>
  <si>
    <t>STU1902</t>
  </si>
  <si>
    <t>STU1903</t>
  </si>
  <si>
    <t>STU1904</t>
  </si>
  <si>
    <t>STU1905</t>
  </si>
  <si>
    <t>2025-11-16</t>
  </si>
  <si>
    <t>STU1906</t>
  </si>
  <si>
    <t>STU1907</t>
  </si>
  <si>
    <t>STU1908</t>
  </si>
  <si>
    <t>2024-04-15</t>
  </si>
  <si>
    <t>STU1909</t>
  </si>
  <si>
    <t>STU1910</t>
  </si>
  <si>
    <t>STU1911</t>
  </si>
  <si>
    <t>2023-12-10</t>
  </si>
  <si>
    <t>STU1912</t>
  </si>
  <si>
    <t>STU1913</t>
  </si>
  <si>
    <t>2023-04-15</t>
  </si>
  <si>
    <t>STU1914</t>
  </si>
  <si>
    <t>STU1915</t>
  </si>
  <si>
    <t>2022-10-11</t>
  </si>
  <si>
    <t>STU1916</t>
  </si>
  <si>
    <t>STU1917</t>
  </si>
  <si>
    <t>STU1918</t>
  </si>
  <si>
    <t>STU1919</t>
  </si>
  <si>
    <t>2021-12-19</t>
  </si>
  <si>
    <t>STU1920</t>
  </si>
  <si>
    <t>STU1921</t>
  </si>
  <si>
    <t>STU1922</t>
  </si>
  <si>
    <t>STU1923</t>
  </si>
  <si>
    <t>STU1924</t>
  </si>
  <si>
    <t>2023-08-23</t>
  </si>
  <si>
    <t>STU1925</t>
  </si>
  <si>
    <t>STU1926</t>
  </si>
  <si>
    <t>STU1927</t>
  </si>
  <si>
    <t>2022-08-29</t>
  </si>
  <si>
    <t>STU1928</t>
  </si>
  <si>
    <t>STU1929</t>
  </si>
  <si>
    <t>STU1930</t>
  </si>
  <si>
    <t>STU1931</t>
  </si>
  <si>
    <t>2025-02-12</t>
  </si>
  <si>
    <t>STU1932</t>
  </si>
  <si>
    <t>2024-01-20</t>
  </si>
  <si>
    <t>STU1933</t>
  </si>
  <si>
    <t>STU1934</t>
  </si>
  <si>
    <t>STU1935</t>
  </si>
  <si>
    <t>STU1936</t>
  </si>
  <si>
    <t>STU1937</t>
  </si>
  <si>
    <t>2022-07-04</t>
  </si>
  <si>
    <t>STU1938</t>
  </si>
  <si>
    <t>STU1939</t>
  </si>
  <si>
    <t>STU1940</t>
  </si>
  <si>
    <t>STU1941</t>
  </si>
  <si>
    <t>STU1942</t>
  </si>
  <si>
    <t>STU1943</t>
  </si>
  <si>
    <t>STU1944</t>
  </si>
  <si>
    <t>STU1945</t>
  </si>
  <si>
    <t>2021-11-11</t>
  </si>
  <si>
    <t>STU1946</t>
  </si>
  <si>
    <t>STU1947</t>
  </si>
  <si>
    <t>STU1948</t>
  </si>
  <si>
    <t>STU1949</t>
  </si>
  <si>
    <t>2022-11-23</t>
  </si>
  <si>
    <t>STU1950</t>
  </si>
  <si>
    <t>STU1951</t>
  </si>
  <si>
    <t>STU1952</t>
  </si>
  <si>
    <t>2023-11-01</t>
  </si>
  <si>
    <t>STU1953</t>
  </si>
  <si>
    <t>STU1954</t>
  </si>
  <si>
    <t>STU1955</t>
  </si>
  <si>
    <t>STU1956</t>
  </si>
  <si>
    <t>2023-03-17</t>
  </si>
  <si>
    <t>STU1957</t>
  </si>
  <si>
    <t>2025-06-29</t>
  </si>
  <si>
    <t>STU1958</t>
  </si>
  <si>
    <t>STU1959</t>
  </si>
  <si>
    <t>STU1960</t>
  </si>
  <si>
    <t>STU1961</t>
  </si>
  <si>
    <t>2021-07-22</t>
  </si>
  <si>
    <t>STU1962</t>
  </si>
  <si>
    <t>2023-08-15</t>
  </si>
  <si>
    <t>STU1963</t>
  </si>
  <si>
    <t>STU1964</t>
  </si>
  <si>
    <t>STU1965</t>
  </si>
  <si>
    <t>2022-12-09</t>
  </si>
  <si>
    <t>STU1966</t>
  </si>
  <si>
    <t>STU1967</t>
  </si>
  <si>
    <t>STU1968</t>
  </si>
  <si>
    <t>2021-02-24</t>
  </si>
  <si>
    <t>STU1969</t>
  </si>
  <si>
    <t>2025-07-22</t>
  </si>
  <si>
    <t>STU1970</t>
  </si>
  <si>
    <t>STU1971</t>
  </si>
  <si>
    <t>2022-12-04</t>
  </si>
  <si>
    <t>STU1972</t>
  </si>
  <si>
    <t>STU1973</t>
  </si>
  <si>
    <t>STU1974</t>
  </si>
  <si>
    <t>2023-06-05</t>
  </si>
  <si>
    <t>STU1975</t>
  </si>
  <si>
    <t>2023-12-16</t>
  </si>
  <si>
    <t>STU1976</t>
  </si>
  <si>
    <t>2024-05-16</t>
  </si>
  <si>
    <t>STU1977</t>
  </si>
  <si>
    <t>STU1978</t>
  </si>
  <si>
    <t>STU1979</t>
  </si>
  <si>
    <t>STU1980</t>
  </si>
  <si>
    <t>STU1981</t>
  </si>
  <si>
    <t>STU1982</t>
  </si>
  <si>
    <t>2022-04-05</t>
  </si>
  <si>
    <t>STU1983</t>
  </si>
  <si>
    <t>STU1984</t>
  </si>
  <si>
    <t>2024-09-17</t>
  </si>
  <si>
    <t>STU1985</t>
  </si>
  <si>
    <t>STU1986</t>
  </si>
  <si>
    <t>STU1987</t>
  </si>
  <si>
    <t>STU1988</t>
  </si>
  <si>
    <t>STU1989</t>
  </si>
  <si>
    <t>STU1990</t>
  </si>
  <si>
    <t>STU1991</t>
  </si>
  <si>
    <t>STU1992</t>
  </si>
  <si>
    <t>STU1993</t>
  </si>
  <si>
    <t>STU1994</t>
  </si>
  <si>
    <t>STU1995</t>
  </si>
  <si>
    <t>2024-02-27</t>
  </si>
  <si>
    <t>STU1996</t>
  </si>
  <si>
    <t>2021-05-13</t>
  </si>
  <si>
    <t>STU1997</t>
  </si>
  <si>
    <t>STU1998</t>
  </si>
  <si>
    <t>STU1999</t>
  </si>
  <si>
    <t>2025-10-05</t>
  </si>
  <si>
    <t>STU2000</t>
  </si>
  <si>
    <t>Total Students</t>
  </si>
  <si>
    <t>Average Attendance %</t>
  </si>
  <si>
    <t>Average Marks</t>
  </si>
  <si>
    <t>Pass Percentage</t>
  </si>
  <si>
    <t>Pass/Fail</t>
  </si>
  <si>
    <t>Total Fees Collected</t>
  </si>
  <si>
    <t>Pending Fees</t>
  </si>
  <si>
    <t>Number of Boys</t>
  </si>
  <si>
    <t>Number of Girls</t>
  </si>
  <si>
    <t>Row Labels</t>
  </si>
  <si>
    <t>Grand Total</t>
  </si>
  <si>
    <t>Count of Student_Name</t>
  </si>
  <si>
    <t>Subject</t>
  </si>
  <si>
    <t>Avg Marks</t>
  </si>
  <si>
    <t>Math</t>
  </si>
  <si>
    <t>Science</t>
  </si>
  <si>
    <t>English</t>
  </si>
  <si>
    <t>Social</t>
  </si>
  <si>
    <t>Computer</t>
  </si>
  <si>
    <t>Sum of Avg Marks</t>
  </si>
  <si>
    <t>Avg Attendance_%</t>
  </si>
  <si>
    <t>Count of Student_ID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</si>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</sst>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8" formatCode="&quot;₹&quot;0.00,,&quot; L&quot;"/>
    <numFmt numFmtId="169" formatCode="0.0&quot;%&quot;"/>
    <numFmt numFmtId="170" formatCode="0.00&quot;%&quot;"/>
  </numFmts>
  <fonts count="3">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Alignment="1">
      <alignment horizontal="center"/>
    </xf>
    <xf numFmtId="2" fontId="0" fillId="0" borderId="0" xfId="0" applyNumberFormat="1"/>
    <xf numFmtId="168" fontId="0" fillId="0" borderId="0" xfId="0" applyNumberFormat="1"/>
    <xf numFmtId="169" fontId="0" fillId="0" borderId="0" xfId="0" applyNumberFormat="1"/>
    <xf numFmtId="170" fontId="0" fillId="0" borderId="0" xfId="0" applyNumberFormat="1"/>
  </cellXfs>
  <cellStyles count="1">
    <cellStyle name="Normal" xfId="0" builtinId="0"/>
  </cellStyles>
  <dxfs count="1">
    <dxf>
      <fill>
        <patternFill patternType="solid">
          <bgColor rgb="FF0070C0"/>
        </patternFill>
      </fill>
    </dxf>
  </dxfs>
  <tableStyles count="1" defaultTableStyle="TableStyleMedium9" defaultPivotStyle="PivotStyleLight16">
    <tableStyle name="Slicer Style 1" pivot="0" table="0" count="3" xr9:uid="{667EAE35-5424-4CA5-9BF2-879CFAC045B9}">
      <tableStyleElement type="headerRow" dxfId="0"/>
    </tableStyle>
  </tableStyles>
  <colors>
    <mruColors>
      <color rgb="FFF5F7FA"/>
      <color rgb="FF879FC3"/>
      <color rgb="FFF2F2F2"/>
      <color rgb="FF1F4E78"/>
      <color rgb="FF5F497A"/>
      <color rgb="FFC0504D"/>
      <color rgb="FF8064A2"/>
      <color rgb="FFED7D31"/>
      <color rgb="FF70AD47"/>
      <color rgb="FF4472C4"/>
    </mruColors>
  </colors>
  <extLst>
    <ext xmlns:x14="http://schemas.microsoft.com/office/spreadsheetml/2009/9/main" uri="{46F421CA-312F-682f-3DD2-61675219B42D}">
      <x14:dxfs count="2">
        <dxf>
          <fill>
            <patternFill>
              <bgColor theme="3" tint="0.59996337778862885"/>
            </patternFill>
          </fill>
        </dxf>
        <dxf>
          <fill>
            <patternFill>
              <bgColor theme="3"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 type="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[School_Performance_Attendance_Dataset_2000.xlsx]Pivot!PivotTable1</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Students by Class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c:f>
              <c:strCache>
                <c:ptCount val="1"/>
                <c:pt idx="0">
                  <c:v>Total</c:v>
                </c:pt>
              </c:strCache>
            </c:strRef>
          </c:tx>
          <c:spPr>
            <a:solidFill>
              <a:schemeClr val="accent2"/>
            </a:solidFill>
            <a:ln>
              <a:noFill/>
            </a:ln>
            <a:effectLst/>
            <a:sp3d/>
          </c:spPr>
          <c:invertIfNegative val="0"/>
          <c:cat>
            <c:strRef>
              <c:f>Pivot!$A$4:$A$16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Pivot!$B$4:$B$16</c:f>
              <c:numCache>
                <c:formatCode>General</c:formatCode>
                <c:ptCount val="12"/>
                <c:pt idx="0">
                  <c:v>165</c:v>
                </c:pt>
                <c:pt idx="1">
                  <c:v>170</c:v>
                </c:pt>
                <c:pt idx="2">
                  <c:v>164</c:v>
                </c:pt>
                <c:pt idx="3">
                  <c:v>162</c:v>
                </c:pt>
                <c:pt idx="4">
                  <c:v>164</c:v>
                </c:pt>
                <c:pt idx="5">
                  <c:v>152</c:v>
                </c:pt>
                <c:pt idx="6">
                  <c:v>173</c:v>
                </c:pt>
                <c:pt idx="7">
                  <c:v>174</c:v>
                </c:pt>
                <c:pt idx="8">
                  <c:v>159</c:v>
                </c:pt>
                <c:pt idx="9">
                  <c:v>168</c:v>
                </c:pt>
                <c:pt idx="10">
                  <c:v>173</c:v>
                </c:pt>
                <c:pt idx="11">
                  <c:v>176</c:v>
                </c:pt>
              </c:numCache>
            </c:numRef>
          </c:val>
          <c:extLst>
            <c:ext xmlns:c16="http://schemas.microsoft.com/office/drawing/2014/chart" uri="{C3380CC4-5D6E-409C-BE32-E72D297353CC}">
              <c16:uniqueId val="{00000000-CCFE-42F5-A0B3-2E612F14663F}"/>
            </c:ext>
          </c:extLst>
        </c:ser>
        <c:dLbls>
          <c:showLegendKey val="0"/>
          <c:showVal val="0"/>
          <c:showCatName val="0"/>
          <c:showSerName val="0"/>
          <c:showPercent val="0"/>
          <c:showBubbleSize val="0"/>
        </c:dLbls>
        <c:gapWidth val="150"/>
        <c:shape val="box"/>
        <c:axId val="194803663"/>
        <c:axId val="194801743"/>
        <c:axId val="0"/>
      </c:bar3DChart>
      <c:catAx>
        <c:axId val="1948036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Class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01743"/>
        <c:crosses val="autoZero"/>
        <c:auto val="1"/>
        <c:lblAlgn val="ctr"/>
        <c:lblOffset val="100"/>
        <c:noMultiLvlLbl val="0"/>
      </c:catAx>
      <c:valAx>
        <c:axId val="1948017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a:t>
                </a:r>
                <a:r>
                  <a:rPr lang="en-IN" baseline="0"/>
                  <a:t>o of Students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03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[School_Performance_Attendance_Dataset_2000.xlsx]Pivot!PivotTable6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Marks by Subject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Pivot!$E$8</c:f>
              <c:strCache>
                <c:ptCount val="1"/>
                <c:pt idx="0">
                  <c:v>Total</c:v>
                </c:pt>
              </c:strCache>
            </c:strRef>
          </c:tx>
          <c:spPr>
            <a:solidFill>
              <a:schemeClr val="accent5"/>
            </a:solidFill>
            <a:ln>
              <a:noFill/>
            </a:ln>
            <a:effectLst/>
            <a:sp3d/>
          </c:spPr>
          <c:invertIfNegative val="0"/>
          <c:cat>
            <c:strRef>
              <c:f>Pivot!$D$9:$D$14</c:f>
              <c:strCache>
                <c:ptCount val="5"/>
                <c:pt idx="0">
                  <c:v>Computer</c:v>
                </c:pt>
                <c:pt idx="1">
                  <c:v>English</c:v>
                </c:pt>
                <c:pt idx="2">
                  <c:v>Math</c:v>
                </c:pt>
                <c:pt idx="3">
                  <c:v>Science</c:v>
                </c:pt>
                <c:pt idx="4">
                  <c:v>Social</c:v>
                </c:pt>
              </c:strCache>
            </c:strRef>
          </c:cat>
          <c:val>
            <c:numRef>
              <c:f>Pivot!$E$9:$E$14</c:f>
              <c:numCache>
                <c:formatCode>General</c:formatCode>
                <c:ptCount val="5"/>
                <c:pt idx="0">
                  <c:v>67.790000000000006</c:v>
                </c:pt>
                <c:pt idx="1">
                  <c:v>67.52</c:v>
                </c:pt>
                <c:pt idx="2">
                  <c:v>67.62</c:v>
                </c:pt>
                <c:pt idx="3">
                  <c:v>67.45</c:v>
                </c:pt>
                <c:pt idx="4">
                  <c:v>67.739999999999995</c:v>
                </c:pt>
              </c:numCache>
            </c:numRef>
          </c:val>
          <c:extLst>
            <c:ext xmlns:c16="http://schemas.microsoft.com/office/drawing/2014/chart" uri="{C3380CC4-5D6E-409C-BE32-E72D297353CC}">
              <c16:uniqueId val="{00000000-3A61-48ED-8FA5-94E0EDCA0EDC}"/>
            </c:ext>
          </c:extLst>
        </c:ser>
        <c:dLbls>
          <c:showLegendKey val="0"/>
          <c:showVal val="0"/>
          <c:showCatName val="0"/>
          <c:showSerName val="0"/>
          <c:showPercent val="0"/>
          <c:showBubbleSize val="0"/>
        </c:dLbls>
        <c:gapWidth val="150"/>
        <c:shape val="box"/>
        <c:axId val="255097519"/>
        <c:axId val="255100399"/>
        <c:axId val="0"/>
      </c:bar3DChart>
      <c:catAx>
        <c:axId val="255097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100399"/>
        <c:crosses val="autoZero"/>
        <c:auto val="1"/>
        <c:lblAlgn val="ctr"/>
        <c:lblOffset val="100"/>
        <c:noMultiLvlLbl val="0"/>
      </c:catAx>
      <c:valAx>
        <c:axId val="2551003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Marks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097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[School_Performance_Attendance_Dataset_2000.xlsx]Pivot!PivotTable7</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Attendance by Class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Pivot!$H$3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Pivot!$G$4:$G$16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Pivot!$H$4:$H$16</c:f>
              <c:numCache>
                <c:formatCode>0.00</c:formatCode>
                <c:ptCount val="12"/>
                <c:pt idx="0">
                  <c:v>78.981818181818184</c:v>
                </c:pt>
                <c:pt idx="1">
                  <c:v>80.95882352941176</c:v>
                </c:pt>
                <c:pt idx="2">
                  <c:v>81.506097560975604</c:v>
                </c:pt>
                <c:pt idx="3">
                  <c:v>79.308641975308646</c:v>
                </c:pt>
                <c:pt idx="4">
                  <c:v>79.682926829268297</c:v>
                </c:pt>
                <c:pt idx="5">
                  <c:v>78.671052631578945</c:v>
                </c:pt>
                <c:pt idx="6">
                  <c:v>79.994219653179186</c:v>
                </c:pt>
                <c:pt idx="7">
                  <c:v>80.511494252873561</c:v>
                </c:pt>
                <c:pt idx="8">
                  <c:v>79.069182389937112</c:v>
                </c:pt>
                <c:pt idx="9">
                  <c:v>80.720238095238102</c:v>
                </c:pt>
                <c:pt idx="10">
                  <c:v>80.687861271676297</c:v>
                </c:pt>
                <c:pt idx="11">
                  <c:v>78.443181818181813</c:v>
                </c:pt>
              </c:numCache>
            </c:numRef>
          </c:val>
          <c:smooth val="0"/>
          <c:extLst>
            <c:ext xmlns:c16="http://schemas.microsoft.com/office/drawing/2014/chart" uri="{C3380CC4-5D6E-409C-BE32-E72D297353CC}">
              <c16:uniqueId val="{00000000-D8D3-41ED-BD66-1655BEB24001}"/>
            </c:ext>
          </c:extLst>
        </c:ser>
        <c:dLbls>
          <c:showLegendKey val="0"/>
          <c:showVal val="0"/>
          <c:showCatName val="0"/>
          <c:showSerName val="0"/>
          <c:showPercent val="0"/>
          <c:showBubbleSize val="0"/>
        </c:dLbls>
        <c:marker val="1"/>
        <c:smooth val="0"/>
        <c:axId val="1504162319"/>
        <c:axId val="1504164719"/>
      </c:lineChart>
      <c:catAx>
        <c:axId val="1504162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Class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164719"/>
        <c:crosses val="autoZero"/>
        <c:auto val="1"/>
        <c:lblAlgn val="ctr"/>
        <c:lblOffset val="100"/>
        <c:noMultiLvlLbl val="0"/>
      </c:catAx>
      <c:valAx>
        <c:axId val="15041647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 Attendance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4162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[School_Performance_Attendance_Dataset_2000.xlsx]Pivot!PivotTable8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Fee Status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0A-44A9-9B36-9AFAF30C92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0A-44A9-9B36-9AFAF30C92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Pivot!$K$4:$K$6</c:f>
              <c:strCache>
                <c:ptCount val="2"/>
                <c:pt idx="0">
                  <c:v>Paid</c:v>
                </c:pt>
                <c:pt idx="1">
                  <c:v>Pending</c:v>
                </c:pt>
              </c:strCache>
            </c:strRef>
          </c:cat>
          <c:val>
            <c:numRef>
              <c:f>Pivot!$L$4:$L$6</c:f>
              <c:numCache>
                <c:formatCode>General</c:formatCode>
                <c:ptCount val="2"/>
                <c:pt idx="0">
                  <c:v>1016</c:v>
                </c:pt>
                <c:pt idx="1">
                  <c:v>984</c:v>
                </c:pt>
              </c:numCache>
            </c:numRef>
          </c:val>
          <c:extLst>
            <c:ext xmlns:c16="http://schemas.microsoft.com/office/drawing/2014/chart" uri="{C3380CC4-5D6E-409C-BE32-E72D297353CC}">
              <c16:uniqueId val="{00000000-ED4B-402E-B7D5-B34844FA48C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[School_Performance_Attendance_Dataset_2000.xlsx]Pivot!PivotTable9</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Grade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Pivot!$L$8</c:f>
              <c:strCache>
                <c:ptCount val="1"/>
                <c:pt idx="0">
                  <c:v>Total</c:v>
                </c:pt>
              </c:strCache>
            </c:strRef>
          </c:tx>
          <c:spPr>
            <a:solidFill>
              <a:schemeClr val="dk1">
                <a:tint val="88500"/>
              </a:schemeClr>
            </a:solidFill>
            <a:ln>
              <a:noFill/>
            </a:ln>
            <a:effectLst/>
          </c:spPr>
          <c:invertIfNegative val="0"/>
          <c:cat>
            <c:strRef>
              <c:f>Pivot!$K$9:$K$15</c:f>
              <c:strCache>
                <c:ptCount val="6"/>
                <c:pt idx="0">
                  <c:v>A</c:v>
                </c:pt>
                <c:pt idx="1">
                  <c:v>A+</c:v>
                </c:pt>
                <c:pt idx="2">
                  <c:v>B</c:v>
                </c:pt>
                <c:pt idx="3">
                  <c:v>B+</c:v>
                </c:pt>
                <c:pt idx="4">
                  <c:v>C</c:v>
                </c:pt>
                <c:pt idx="5">
                  <c:v>D</c:v>
                </c:pt>
              </c:strCache>
            </c:strRef>
          </c:cat>
          <c:val>
            <c:numRef>
              <c:f>Pivot!$L$9:$L$15</c:f>
              <c:numCache>
                <c:formatCode>General</c:formatCode>
                <c:ptCount val="6"/>
                <c:pt idx="0">
                  <c:v>158</c:v>
                </c:pt>
                <c:pt idx="1">
                  <c:v>6</c:v>
                </c:pt>
                <c:pt idx="2">
                  <c:v>760</c:v>
                </c:pt>
                <c:pt idx="3">
                  <c:v>652</c:v>
                </c:pt>
                <c:pt idx="4">
                  <c:v>382</c:v>
                </c:pt>
                <c:pt idx="5">
                  <c:v>42</c:v>
                </c:pt>
              </c:numCache>
            </c:numRef>
          </c:val>
          <c:extLst>
            <c:ext xmlns:c16="http://schemas.microsoft.com/office/drawing/2014/chart" uri="{C3380CC4-5D6E-409C-BE32-E72D297353CC}">
              <c16:uniqueId val="{00000000-D7DE-43EA-AF78-02B8995D8E26}"/>
            </c:ext>
          </c:extLst>
        </c:ser>
        <c:dLbls>
          <c:showLegendKey val="0"/>
          <c:showVal val="0"/>
          <c:showCatName val="0"/>
          <c:showSerName val="0"/>
          <c:showPercent val="0"/>
          <c:showBubbleSize val="0"/>
        </c:dLbls>
        <c:gapWidth val="219"/>
        <c:axId val="195322143"/>
        <c:axId val="195327423"/>
      </c:barChart>
      <c:valAx>
        <c:axId val="195327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Students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22143"/>
        <c:crosses val="autoZero"/>
        <c:crossBetween val="between"/>
      </c:valAx>
      <c:catAx>
        <c:axId val="1953221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Grades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27423"/>
        <c:crosses val="autoZero"/>
        <c:auto val="1"/>
        <c:lblAlgn val="ctr"/>
        <c:lblOffset val="100"/>
        <c:noMultiLvlLbl val="0"/>
      </c:cat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[School_Performance_Attendance_Dataset_2000.xlsx]Pivot!PivotTable3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Gender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Pivot!$E$3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Pivot!$D$4:$D$6</c:f>
              <c:strCache>
                <c:ptCount val="2"/>
                <c:pt idx="0">
                  <c:v>Female</c:v>
                </c:pt>
                <c:pt idx="1">
                  <c:v>Male</c:v>
                </c:pt>
              </c:strCache>
            </c:strRef>
          </c:cat>
          <c:val>
            <c:numRef>
              <c:f>Pivot!$E$4:$E$6</c:f>
              <c:numCache>
                <c:formatCode>General</c:formatCode>
                <c:ptCount val="2"/>
                <c:pt idx="0">
                  <c:v>988</c:v>
                </c:pt>
                <c:pt idx="1">
                  <c:v>1012</c:v>
                </c:pt>
              </c:numCache>
            </c:numRef>
          </c:val>
          <c:extLst>
            <c:ext xmlns:c16="http://schemas.microsoft.com/office/drawing/2014/chart" uri="{C3380CC4-5D6E-409C-BE32-E72D297353CC}">
              <c16:uniqueId val="{00000000-080B-4F51-B00C-0CB10426380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[School_Performance_Attendance_Dataset_2000.xlsx]Pivot!PivotTable1</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1F1F1F"/>
                </a:solidFill>
                <a:latin typeface="Times New Roman" panose="02020603050405020304" pitchFamily="18" charset="0"/>
                <a:cs typeface="Times New Roman" panose="02020603050405020304" pitchFamily="18" charset="0"/>
              </a:rPr>
              <a:t>Students by Class</a:t>
            </a:r>
            <a:endParaRPr lang="en-US" sz="1600" b="1">
              <a:solidFill>
                <a:srgbClr val="1F1F1F"/>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c:f>
              <c:strCache>
                <c:ptCount val="1"/>
                <c:pt idx="0">
                  <c:v>Total</c:v>
                </c:pt>
              </c:strCache>
            </c:strRef>
          </c:tx>
          <c:spPr>
            <a:solidFill>
              <a:schemeClr val="accent2"/>
            </a:solidFill>
            <a:ln>
              <a:noFill/>
            </a:ln>
            <a:effectLst/>
            <a:sp3d/>
          </c:spPr>
          <c:invertIfNegative val="0"/>
          <c:cat>
            <c:strRef>
              <c:f>Pivot!$A$4:$A$16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Pivot!$B$4:$B$16</c:f>
              <c:numCache>
                <c:formatCode>General</c:formatCode>
                <c:ptCount val="12"/>
                <c:pt idx="0">
                  <c:v>165</c:v>
                </c:pt>
                <c:pt idx="1">
                  <c:v>170</c:v>
                </c:pt>
                <c:pt idx="2">
                  <c:v>164</c:v>
                </c:pt>
                <c:pt idx="3">
                  <c:v>162</c:v>
                </c:pt>
                <c:pt idx="4">
                  <c:v>164</c:v>
                </c:pt>
                <c:pt idx="5">
                  <c:v>152</c:v>
                </c:pt>
                <c:pt idx="6">
                  <c:v>173</c:v>
                </c:pt>
                <c:pt idx="7">
                  <c:v>174</c:v>
                </c:pt>
                <c:pt idx="8">
                  <c:v>159</c:v>
                </c:pt>
                <c:pt idx="9">
                  <c:v>168</c:v>
                </c:pt>
                <c:pt idx="10">
                  <c:v>173</c:v>
                </c:pt>
                <c:pt idx="11">
                  <c:v>176</c:v>
                </c:pt>
              </c:numCache>
            </c:numRef>
          </c:val>
          <c:extLst>
            <c:ext xmlns:c16="http://schemas.microsoft.com/office/drawing/2014/chart" uri="{C3380CC4-5D6E-409C-BE32-E72D297353CC}">
              <c16:uniqueId val="{00000000-A80B-426C-B245-E52C3177E5A2}"/>
            </c:ext>
          </c:extLst>
        </c:ser>
        <c:dLbls>
          <c:showLegendKey val="0"/>
          <c:showVal val="0"/>
          <c:showCatName val="0"/>
          <c:showSerName val="0"/>
          <c:showPercent val="0"/>
          <c:showBubbleSize val="0"/>
        </c:dLbls>
        <c:gapWidth val="150"/>
        <c:shape val="box"/>
        <c:axId val="194803663"/>
        <c:axId val="194801743"/>
        <c:axId val="0"/>
      </c:bar3DChart>
      <c:catAx>
        <c:axId val="194803663"/>
        <c:scaling>
          <c:orientation val="minMax"/>
        </c:scaling>
        <c:delete val="0"/>
        <c:axPos val="b"/>
        <c:title>
          <c:tx>
            <c:rich>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r>
                  <a:rPr lang="en-IN" sz="1500">
                    <a:solidFill>
                      <a:schemeClr val="tx1"/>
                    </a:solidFill>
                    <a:latin typeface="Times New Roman" panose="02020603050405020304" pitchFamily="18" charset="0"/>
                    <a:cs typeface="Times New Roman" panose="02020603050405020304" pitchFamily="18" charset="0"/>
                  </a:rPr>
                  <a:t>Class</a:t>
                </a:r>
              </a:p>
            </c:rich>
          </c:tx>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94801743"/>
        <c:crosses val="autoZero"/>
        <c:auto val="1"/>
        <c:lblAlgn val="ctr"/>
        <c:lblOffset val="100"/>
        <c:noMultiLvlLbl val="0"/>
      </c:catAx>
      <c:valAx>
        <c:axId val="194801743"/>
        <c:scaling>
          <c:orientation val="minMax"/>
        </c:scaling>
        <c:delete val="0"/>
        <c:axPos val="l"/>
        <c:title>
          <c:tx>
            <c:rich>
              <a:bodyPr rot="-54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r>
                  <a:rPr lang="en-IN" sz="1500">
                    <a:solidFill>
                      <a:schemeClr val="tx1"/>
                    </a:solidFill>
                    <a:latin typeface="Times New Roman" panose="02020603050405020304" pitchFamily="18" charset="0"/>
                    <a:cs typeface="Times New Roman" panose="02020603050405020304" pitchFamily="18" charset="0"/>
                  </a:rPr>
                  <a:t>N</a:t>
                </a:r>
                <a:r>
                  <a:rPr lang="en-IN" sz="1500" baseline="0">
                    <a:solidFill>
                      <a:schemeClr val="tx1"/>
                    </a:solidFill>
                    <a:latin typeface="Times New Roman" panose="02020603050405020304" pitchFamily="18" charset="0"/>
                    <a:cs typeface="Times New Roman" panose="02020603050405020304" pitchFamily="18" charset="0"/>
                  </a:rPr>
                  <a:t>o of Students</a:t>
                </a:r>
                <a:endParaRPr lang="en-IN" sz="150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94803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[School_Performance_Attendance_Dataset_2000.xlsx]Pivot!PivotTable6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1F1F1F"/>
                </a:solidFill>
                <a:latin typeface="Times New Roman" panose="02020603050405020304" pitchFamily="18" charset="0"/>
                <a:cs typeface="Times New Roman" panose="02020603050405020304" pitchFamily="18" charset="0"/>
              </a:rPr>
              <a:t>Average Marks by Subject</a:t>
            </a:r>
            <a:endParaRPr lang="en-US" sz="1600" b="1">
              <a:solidFill>
                <a:srgbClr val="1F1F1F"/>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Pivot!$E$8</c:f>
              <c:strCache>
                <c:ptCount val="1"/>
                <c:pt idx="0">
                  <c:v>Total</c:v>
                </c:pt>
              </c:strCache>
            </c:strRef>
          </c:tx>
          <c:spPr>
            <a:solidFill>
              <a:schemeClr val="accent5"/>
            </a:solidFill>
            <a:ln>
              <a:noFill/>
            </a:ln>
            <a:effectLst/>
            <a:sp3d/>
          </c:spPr>
          <c:invertIfNegative val="0"/>
          <c:cat>
            <c:strRef>
              <c:f>Pivot!$D$9:$D$14</c:f>
              <c:strCache>
                <c:ptCount val="5"/>
                <c:pt idx="0">
                  <c:v>Computer</c:v>
                </c:pt>
                <c:pt idx="1">
                  <c:v>English</c:v>
                </c:pt>
                <c:pt idx="2">
                  <c:v>Math</c:v>
                </c:pt>
                <c:pt idx="3">
                  <c:v>Science</c:v>
                </c:pt>
                <c:pt idx="4">
                  <c:v>Social</c:v>
                </c:pt>
              </c:strCache>
            </c:strRef>
          </c:cat>
          <c:val>
            <c:numRef>
              <c:f>Pivot!$E$9:$E$14</c:f>
              <c:numCache>
                <c:formatCode>General</c:formatCode>
                <c:ptCount val="5"/>
                <c:pt idx="0">
                  <c:v>67.790000000000006</c:v>
                </c:pt>
                <c:pt idx="1">
                  <c:v>67.52</c:v>
                </c:pt>
                <c:pt idx="2">
                  <c:v>67.62</c:v>
                </c:pt>
                <c:pt idx="3">
                  <c:v>67.45</c:v>
                </c:pt>
                <c:pt idx="4">
                  <c:v>67.739999999999995</c:v>
                </c:pt>
              </c:numCache>
            </c:numRef>
          </c:val>
          <c:extLst>
            <c:ext xmlns:c16="http://schemas.microsoft.com/office/drawing/2014/chart" uri="{C3380CC4-5D6E-409C-BE32-E72D297353CC}">
              <c16:uniqueId val="{00000000-68D0-45B7-9E09-7574F06CC6EC}"/>
            </c:ext>
          </c:extLst>
        </c:ser>
        <c:dLbls>
          <c:showLegendKey val="0"/>
          <c:showVal val="0"/>
          <c:showCatName val="0"/>
          <c:showSerName val="0"/>
          <c:showPercent val="0"/>
          <c:showBubbleSize val="0"/>
        </c:dLbls>
        <c:gapWidth val="150"/>
        <c:shape val="box"/>
        <c:axId val="255097519"/>
        <c:axId val="255100399"/>
        <c:axId val="0"/>
      </c:bar3DChart>
      <c:catAx>
        <c:axId val="255097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55100399"/>
        <c:crosses val="autoZero"/>
        <c:auto val="1"/>
        <c:lblAlgn val="ctr"/>
        <c:lblOffset val="100"/>
        <c:noMultiLvlLbl val="0"/>
      </c:catAx>
      <c:valAx>
        <c:axId val="255100399"/>
        <c:scaling>
          <c:orientation val="minMax"/>
        </c:scaling>
        <c:delete val="0"/>
        <c:axPos val="l"/>
        <c:title>
          <c:tx>
            <c:rich>
              <a:bodyPr rot="-5400000" spcFirstLastPara="1" vertOverflow="ellipsis" vert="horz" wrap="square" anchor="ctr" anchorCtr="1"/>
              <a:lstStyle/>
              <a:p>
                <a:pPr>
                  <a:defRPr sz="15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sz="1500">
                    <a:solidFill>
                      <a:schemeClr val="tx1"/>
                    </a:solidFill>
                    <a:latin typeface="Times New Roman" panose="02020603050405020304" pitchFamily="18" charset="0"/>
                    <a:cs typeface="Times New Roman" panose="02020603050405020304" pitchFamily="18" charset="0"/>
                  </a:rPr>
                  <a:t>Avg</a:t>
                </a:r>
                <a:r>
                  <a:rPr lang="en-IN" sz="1500" baseline="0">
                    <a:solidFill>
                      <a:schemeClr val="tx1"/>
                    </a:solidFill>
                    <a:latin typeface="Times New Roman" panose="02020603050405020304" pitchFamily="18" charset="0"/>
                    <a:cs typeface="Times New Roman" panose="02020603050405020304" pitchFamily="18" charset="0"/>
                  </a:rPr>
                  <a:t> Marks</a:t>
                </a:r>
                <a:endParaRPr lang="en-IN" sz="150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5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55097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[School_Performance_Attendance_Dataset_2000.xlsx]Pivot!PivotTable7</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1F1F1F"/>
                </a:solidFill>
                <a:latin typeface="Times New Roman" panose="02020603050405020304" pitchFamily="18" charset="0"/>
                <a:cs typeface="Times New Roman" panose="02020603050405020304" pitchFamily="18" charset="0"/>
              </a:rPr>
              <a:t>Attendance by Class</a:t>
            </a:r>
            <a:endParaRPr lang="en-US" sz="1600" b="1">
              <a:solidFill>
                <a:srgbClr val="1F1F1F"/>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Pivot!$H$3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Pivot!$G$4:$G$16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Pivot!$H$4:$H$16</c:f>
              <c:numCache>
                <c:formatCode>0.00</c:formatCode>
                <c:ptCount val="12"/>
                <c:pt idx="0">
                  <c:v>78.981818181818184</c:v>
                </c:pt>
                <c:pt idx="1">
                  <c:v>80.95882352941176</c:v>
                </c:pt>
                <c:pt idx="2">
                  <c:v>81.506097560975604</c:v>
                </c:pt>
                <c:pt idx="3">
                  <c:v>79.308641975308646</c:v>
                </c:pt>
                <c:pt idx="4">
                  <c:v>79.682926829268297</c:v>
                </c:pt>
                <c:pt idx="5">
                  <c:v>78.671052631578945</c:v>
                </c:pt>
                <c:pt idx="6">
                  <c:v>79.994219653179186</c:v>
                </c:pt>
                <c:pt idx="7">
                  <c:v>80.511494252873561</c:v>
                </c:pt>
                <c:pt idx="8">
                  <c:v>79.069182389937112</c:v>
                </c:pt>
                <c:pt idx="9">
                  <c:v>80.720238095238102</c:v>
                </c:pt>
                <c:pt idx="10">
                  <c:v>80.687861271676297</c:v>
                </c:pt>
                <c:pt idx="11">
                  <c:v>78.443181818181813</c:v>
                </c:pt>
              </c:numCache>
            </c:numRef>
          </c:val>
          <c:smooth val="0"/>
          <c:extLst>
            <c:ext xmlns:c16="http://schemas.microsoft.com/office/drawing/2014/chart" uri="{C3380CC4-5D6E-409C-BE32-E72D297353CC}">
              <c16:uniqueId val="{00000000-FFE3-4348-9D20-774247417064}"/>
            </c:ext>
          </c:extLst>
        </c:ser>
        <c:dLbls>
          <c:showLegendKey val="0"/>
          <c:showVal val="0"/>
          <c:showCatName val="0"/>
          <c:showSerName val="0"/>
          <c:showPercent val="0"/>
          <c:showBubbleSize val="0"/>
        </c:dLbls>
        <c:marker val="1"/>
        <c:smooth val="0"/>
        <c:axId val="1504162319"/>
        <c:axId val="1504164719"/>
      </c:lineChart>
      <c:catAx>
        <c:axId val="1504162319"/>
        <c:scaling>
          <c:orientation val="minMax"/>
        </c:scaling>
        <c:delete val="0"/>
        <c:axPos val="b"/>
        <c:title>
          <c:tx>
            <c:rich>
              <a:bodyPr rot="0" spcFirstLastPara="1" vertOverflow="ellipsis" vert="horz" wrap="square" anchor="ctr" anchorCtr="1"/>
              <a:lstStyle/>
              <a:p>
                <a:pPr>
                  <a:defRPr sz="15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sz="1500">
                    <a:solidFill>
                      <a:schemeClr val="tx1"/>
                    </a:solidFill>
                    <a:latin typeface="Times New Roman" panose="02020603050405020304" pitchFamily="18" charset="0"/>
                    <a:cs typeface="Times New Roman" panose="02020603050405020304" pitchFamily="18" charset="0"/>
                  </a:rPr>
                  <a:t>Class</a:t>
                </a:r>
              </a:p>
            </c:rich>
          </c:tx>
          <c:overlay val="0"/>
          <c:spPr>
            <a:noFill/>
            <a:ln>
              <a:noFill/>
            </a:ln>
            <a:effectLst/>
          </c:spPr>
          <c:txPr>
            <a:bodyPr rot="0" spcFirstLastPara="1" vertOverflow="ellipsis" vert="horz" wrap="square" anchor="ctr" anchorCtr="1"/>
            <a:lstStyle/>
            <a:p>
              <a:pPr>
                <a:defRPr sz="15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504164719"/>
        <c:crosses val="autoZero"/>
        <c:auto val="1"/>
        <c:lblAlgn val="ctr"/>
        <c:lblOffset val="100"/>
        <c:noMultiLvlLbl val="0"/>
      </c:catAx>
      <c:valAx>
        <c:axId val="1504164719"/>
        <c:scaling>
          <c:orientation val="minMax"/>
        </c:scaling>
        <c:delete val="0"/>
        <c:axPos val="l"/>
        <c:title>
          <c:tx>
            <c:rich>
              <a:bodyPr rot="-5400000" spcFirstLastPara="1" vertOverflow="ellipsis" vert="horz" wrap="square" anchor="ctr" anchorCtr="1"/>
              <a:lstStyle/>
              <a:p>
                <a:pPr>
                  <a:defRPr sz="15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sz="1500">
                    <a:solidFill>
                      <a:schemeClr val="tx1"/>
                    </a:solidFill>
                    <a:latin typeface="Times New Roman" panose="02020603050405020304" pitchFamily="18" charset="0"/>
                    <a:cs typeface="Times New Roman" panose="02020603050405020304" pitchFamily="18" charset="0"/>
                  </a:rPr>
                  <a:t>Avg Attendance</a:t>
                </a:r>
              </a:p>
            </c:rich>
          </c:tx>
          <c:overlay val="0"/>
          <c:spPr>
            <a:noFill/>
            <a:ln>
              <a:noFill/>
            </a:ln>
            <a:effectLst/>
          </c:spPr>
          <c:txPr>
            <a:bodyPr rot="-5400000" spcFirstLastPara="1" vertOverflow="ellipsis" vert="horz" wrap="square" anchor="ctr" anchorCtr="1"/>
            <a:lstStyle/>
            <a:p>
              <a:pPr>
                <a:defRPr sz="15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504162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[School_Performance_Attendance_Dataset_2000.xlsx]Pivot!PivotTable8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1F1F1F"/>
                </a:solidFill>
                <a:latin typeface="Times New Roman" panose="02020603050405020304" pitchFamily="18" charset="0"/>
                <a:cs typeface="Times New Roman" panose="02020603050405020304" pitchFamily="18" charset="0"/>
              </a:rPr>
              <a:t>Fee Status</a:t>
            </a:r>
            <a:endParaRPr lang="en-US" sz="1600" b="1">
              <a:solidFill>
                <a:srgbClr val="1F1F1F"/>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56-44D8-8203-2907B4D738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56-44D8-8203-2907B4D7387A}"/>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Pivot!$K$4:$K$6</c:f>
              <c:strCache>
                <c:ptCount val="2"/>
                <c:pt idx="0">
                  <c:v>Paid</c:v>
                </c:pt>
                <c:pt idx="1">
                  <c:v>Pending</c:v>
                </c:pt>
              </c:strCache>
            </c:strRef>
          </c:cat>
          <c:val>
            <c:numRef>
              <c:f>Pivot!$L$4:$L$6</c:f>
              <c:numCache>
                <c:formatCode>General</c:formatCode>
                <c:ptCount val="2"/>
                <c:pt idx="0">
                  <c:v>1016</c:v>
                </c:pt>
                <c:pt idx="1">
                  <c:v>984</c:v>
                </c:pt>
              </c:numCache>
            </c:numRef>
          </c:val>
          <c:extLst>
            <c:ext xmlns:c16="http://schemas.microsoft.com/office/drawing/2014/chart" uri="{C3380CC4-5D6E-409C-BE32-E72D297353CC}">
              <c16:uniqueId val="{00000004-DC56-44D8-8203-2907B4D7387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5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[School_Performance_Attendance_Dataset_2000.xlsx]Pivot!PivotTable9</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1F1F1F"/>
                </a:solidFill>
                <a:latin typeface="Times New Roman" panose="02020603050405020304" pitchFamily="18" charset="0"/>
                <a:cs typeface="Times New Roman" panose="02020603050405020304" pitchFamily="18" charset="0"/>
              </a:rPr>
              <a:t>Grade Distribution</a:t>
            </a:r>
            <a:endParaRPr lang="en-US" sz="1600" b="1">
              <a:solidFill>
                <a:srgbClr val="1F1F1F"/>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Pivot!$L$8</c:f>
              <c:strCache>
                <c:ptCount val="1"/>
                <c:pt idx="0">
                  <c:v>Total</c:v>
                </c:pt>
              </c:strCache>
            </c:strRef>
          </c:tx>
          <c:spPr>
            <a:solidFill>
              <a:schemeClr val="dk1">
                <a:tint val="88500"/>
              </a:schemeClr>
            </a:solidFill>
            <a:ln>
              <a:noFill/>
            </a:ln>
            <a:effectLst/>
          </c:spPr>
          <c:invertIfNegative val="0"/>
          <c:cat>
            <c:strRef>
              <c:f>Pivot!$K$9:$K$15</c:f>
              <c:strCache>
                <c:ptCount val="6"/>
                <c:pt idx="0">
                  <c:v>A</c:v>
                </c:pt>
                <c:pt idx="1">
                  <c:v>A+</c:v>
                </c:pt>
                <c:pt idx="2">
                  <c:v>B</c:v>
                </c:pt>
                <c:pt idx="3">
                  <c:v>B+</c:v>
                </c:pt>
                <c:pt idx="4">
                  <c:v>C</c:v>
                </c:pt>
                <c:pt idx="5">
                  <c:v>D</c:v>
                </c:pt>
              </c:strCache>
            </c:strRef>
          </c:cat>
          <c:val>
            <c:numRef>
              <c:f>Pivot!$L$9:$L$15</c:f>
              <c:numCache>
                <c:formatCode>General</c:formatCode>
                <c:ptCount val="6"/>
                <c:pt idx="0">
                  <c:v>158</c:v>
                </c:pt>
                <c:pt idx="1">
                  <c:v>6</c:v>
                </c:pt>
                <c:pt idx="2">
                  <c:v>760</c:v>
                </c:pt>
                <c:pt idx="3">
                  <c:v>652</c:v>
                </c:pt>
                <c:pt idx="4">
                  <c:v>382</c:v>
                </c:pt>
                <c:pt idx="5">
                  <c:v>42</c:v>
                </c:pt>
              </c:numCache>
            </c:numRef>
          </c:val>
          <c:extLst>
            <c:ext xmlns:c16="http://schemas.microsoft.com/office/drawing/2014/chart" uri="{C3380CC4-5D6E-409C-BE32-E72D297353CC}">
              <c16:uniqueId val="{00000000-0BD2-47A7-9F98-99E711BB3D5B}"/>
            </c:ext>
          </c:extLst>
        </c:ser>
        <c:dLbls>
          <c:showLegendKey val="0"/>
          <c:showVal val="0"/>
          <c:showCatName val="0"/>
          <c:showSerName val="0"/>
          <c:showPercent val="0"/>
          <c:showBubbleSize val="0"/>
        </c:dLbls>
        <c:gapWidth val="219"/>
        <c:axId val="195322143"/>
        <c:axId val="195327423"/>
      </c:barChart>
      <c:valAx>
        <c:axId val="195327423"/>
        <c:scaling>
          <c:orientation val="minMax"/>
        </c:scaling>
        <c:delete val="0"/>
        <c:axPos val="b"/>
        <c:title>
          <c:tx>
            <c:rich>
              <a:bodyPr rot="0" spcFirstLastPara="1" vertOverflow="ellipsis" vert="horz" wrap="square" anchor="ctr" anchorCtr="1"/>
              <a:lstStyle/>
              <a:p>
                <a:pPr>
                  <a:defRPr sz="15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sz="1500">
                    <a:solidFill>
                      <a:schemeClr val="tx1"/>
                    </a:solidFill>
                    <a:latin typeface="Times New Roman" panose="02020603050405020304" pitchFamily="18" charset="0"/>
                    <a:cs typeface="Times New Roman" panose="02020603050405020304" pitchFamily="18" charset="0"/>
                  </a:rPr>
                  <a:t>No</a:t>
                </a:r>
                <a:r>
                  <a:rPr lang="en-IN" sz="1500" baseline="0">
                    <a:solidFill>
                      <a:schemeClr val="tx1"/>
                    </a:solidFill>
                    <a:latin typeface="Times New Roman" panose="02020603050405020304" pitchFamily="18" charset="0"/>
                    <a:cs typeface="Times New Roman" panose="02020603050405020304" pitchFamily="18" charset="0"/>
                  </a:rPr>
                  <a:t> of Students</a:t>
                </a:r>
                <a:endParaRPr lang="en-IN" sz="1500">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5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95322143"/>
        <c:crosses val="autoZero"/>
        <c:crossBetween val="between"/>
      </c:valAx>
      <c:catAx>
        <c:axId val="195322143"/>
        <c:scaling>
          <c:orientation val="minMax"/>
        </c:scaling>
        <c:delete val="0"/>
        <c:axPos val="l"/>
        <c:title>
          <c:tx>
            <c:rich>
              <a:bodyPr rot="-5400000" spcFirstLastPara="1" vertOverflow="ellipsis" vert="horz" wrap="square" anchor="ctr" anchorCtr="1"/>
              <a:lstStyle/>
              <a:p>
                <a:pPr>
                  <a:defRPr sz="15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IN" sz="1500">
                    <a:solidFill>
                      <a:schemeClr val="tx1"/>
                    </a:solidFill>
                    <a:latin typeface="Times New Roman" panose="02020603050405020304" pitchFamily="18" charset="0"/>
                    <a:cs typeface="Times New Roman" panose="02020603050405020304" pitchFamily="18" charset="0"/>
                  </a:rPr>
                  <a:t>Grades</a:t>
                </a:r>
              </a:p>
            </c:rich>
          </c:tx>
          <c:overlay val="0"/>
          <c:spPr>
            <a:noFill/>
            <a:ln>
              <a:noFill/>
            </a:ln>
            <a:effectLst/>
          </c:spPr>
          <c:txPr>
            <a:bodyPr rot="-5400000" spcFirstLastPara="1" vertOverflow="ellipsis" vert="horz" wrap="square" anchor="ctr" anchorCtr="1"/>
            <a:lstStyle/>
            <a:p>
              <a:pPr>
                <a:defRPr sz="15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95327423"/>
        <c:crosses val="autoZero"/>
        <c:auto val="1"/>
        <c:lblAlgn val="ctr"/>
        <c:lblOffset val="100"/>
        <c:noMultiLvlLbl val="0"/>
      </c:cat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[School_Performance_Attendance_Dataset_2000.xlsx]Pivot!PivotTable3</c:name>
    <c:fmtId val="1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600" b="1">
                <a:solidFill>
                  <a:schemeClr val="tx1"/>
                </a:solidFill>
                <a:latin typeface="Times New Roman" panose="02020603050405020304" pitchFamily="18" charset="0"/>
                <a:cs typeface="Times New Roman" panose="02020603050405020304" pitchFamily="18" charset="0"/>
              </a:rPr>
              <a:t>Gender Distribution</a:t>
            </a:r>
            <a:endParaRPr lang="en-US" sz="16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lumMod val="75000"/>
            </a:schemeClr>
          </a:solidFill>
          <a:ln>
            <a:noFill/>
          </a:ln>
          <a:effectLst>
            <a:outerShdw blurRad="317500" algn="ctr" rotWithShape="0">
              <a:prstClr val="black">
                <a:alpha val="25000"/>
              </a:prstClr>
            </a:outerShdw>
          </a:effectLst>
        </c:spPr>
      </c:pivotFmt>
      <c:pivotFmt>
        <c:idx val="6"/>
        <c:spPr>
          <a:solidFill>
            <a:schemeClr val="accent6">
              <a:lumMod val="50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Pivot!$E$3</c:f>
              <c:strCache>
                <c:ptCount val="1"/>
                <c:pt idx="0">
                  <c:v>Total</c:v>
                </c:pt>
              </c:strCache>
            </c:strRef>
          </c:tx>
          <c:dPt>
            <c:idx val="0"/>
            <c:bubble3D val="0"/>
            <c:explosion val="7"/>
            <c:spPr>
              <a:solidFill>
                <a:schemeClr val="accent5">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49F-44B4-B6F2-551902F21C0D}"/>
              </c:ext>
            </c:extLst>
          </c:dPt>
          <c:dPt>
            <c:idx val="1"/>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49F-44B4-B6F2-551902F21C0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Pivot!$D$4:$D$6</c:f>
              <c:strCache>
                <c:ptCount val="2"/>
                <c:pt idx="0">
                  <c:v>Female</c:v>
                </c:pt>
                <c:pt idx="1">
                  <c:v>Male</c:v>
                </c:pt>
              </c:strCache>
            </c:strRef>
          </c:cat>
          <c:val>
            <c:numRef>
              <c:f>Pivot!$E$4:$E$6</c:f>
              <c:numCache>
                <c:formatCode>General</c:formatCode>
                <c:ptCount val="2"/>
                <c:pt idx="0">
                  <c:v>988</c:v>
                </c:pt>
                <c:pt idx="1">
                  <c:v>1012</c:v>
                </c:pt>
              </c:numCache>
            </c:numRef>
          </c:val>
          <c:extLst>
            <c:ext xmlns:c16="http://schemas.microsoft.com/office/drawing/2014/chart" uri="{C3380CC4-5D6E-409C-BE32-E72D297353CC}">
              <c16:uniqueId val="{00000004-149F-44B4-B6F2-551902F21C0D}"/>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5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8.png"/><Relationship Id="rId3" Type="http://schemas.openxmlformats.org/officeDocument/2006/relationships/chart" Target="../charts/chart9.xml"/><Relationship Id="rId7" Type="http://schemas.openxmlformats.org/officeDocument/2006/relationships/image" Target="../media/image3.png"/><Relationship Id="rId12" Type="http://schemas.openxmlformats.org/officeDocument/2006/relationships/image" Target="../media/image7.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2.png"/><Relationship Id="rId11"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10.xml"/><Relationship Id="rId9" Type="http://schemas.openxmlformats.org/officeDocument/2006/relationships/image" Target="../media/image5.png"/><Relationship Id="rId1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144780</xdr:rowOff>
    </xdr:from>
    <xdr:to>
      <xdr:col>3</xdr:col>
      <xdr:colOff>274820</xdr:colOff>
      <xdr:row>29</xdr:row>
      <xdr:rowOff>83820</xdr:rowOff>
    </xdr:to>
    <xdr:grpSp>
      <xdr:nvGrpSpPr>
        <xdr:cNvPr id="5" name="Group 4">
          <a:extLst>
            <a:ext uri="{FF2B5EF4-FFF2-40B4-BE49-F238E27FC236}">
              <a16:creationId xmlns:a16="http://schemas.microsoft.com/office/drawing/2014/main" id="{D869E386-D2D9-BD1B-1E5C-2CACAE0F698E}"/>
            </a:ext>
          </a:extLst>
        </xdr:cNvPr>
        <xdr:cNvGrpSpPr/>
      </xdr:nvGrpSpPr>
      <xdr:grpSpPr>
        <a:xfrm>
          <a:off x="0" y="3142813"/>
          <a:ext cx="3772525" cy="2374941"/>
          <a:chOff x="7678125" y="1661160"/>
          <a:chExt cx="3125859" cy="2247216"/>
        </a:xfrm>
      </xdr:grpSpPr>
      <xdr:sp macro="" textlink="">
        <xdr:nvSpPr>
          <xdr:cNvPr id="4" name="Rectangle: Rounded Corners 3">
            <a:extLst>
              <a:ext uri="{FF2B5EF4-FFF2-40B4-BE49-F238E27FC236}">
                <a16:creationId xmlns:a16="http://schemas.microsoft.com/office/drawing/2014/main" id="{7DB5B627-2868-B875-169C-6B8B466B419B}"/>
              </a:ext>
            </a:extLst>
          </xdr:cNvPr>
          <xdr:cNvSpPr/>
        </xdr:nvSpPr>
        <xdr:spPr>
          <a:xfrm>
            <a:off x="7848601" y="1691640"/>
            <a:ext cx="2887980" cy="2148840"/>
          </a:xfrm>
          <a:prstGeom prst="roundRect">
            <a:avLst/>
          </a:prstGeom>
          <a:solidFill>
            <a:schemeClr val="accent2">
              <a:lumMod val="20000"/>
              <a:lumOff val="80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 name="Chart 2">
            <a:extLst>
              <a:ext uri="{FF2B5EF4-FFF2-40B4-BE49-F238E27FC236}">
                <a16:creationId xmlns:a16="http://schemas.microsoft.com/office/drawing/2014/main" id="{B2A97B52-4B07-41E0-AA87-F65FAAF31805}"/>
              </a:ext>
            </a:extLst>
          </xdr:cNvPr>
          <xdr:cNvGraphicFramePr/>
        </xdr:nvGraphicFramePr>
        <xdr:xfrm>
          <a:off x="7678125" y="1661160"/>
          <a:ext cx="3125859" cy="2247216"/>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3</xdr:col>
      <xdr:colOff>373379</xdr:colOff>
      <xdr:row>17</xdr:row>
      <xdr:rowOff>53340</xdr:rowOff>
    </xdr:from>
    <xdr:to>
      <xdr:col>7</xdr:col>
      <xdr:colOff>121919</xdr:colOff>
      <xdr:row>29</xdr:row>
      <xdr:rowOff>144780</xdr:rowOff>
    </xdr:to>
    <xdr:grpSp>
      <xdr:nvGrpSpPr>
        <xdr:cNvPr id="8" name="Group 7">
          <a:extLst>
            <a:ext uri="{FF2B5EF4-FFF2-40B4-BE49-F238E27FC236}">
              <a16:creationId xmlns:a16="http://schemas.microsoft.com/office/drawing/2014/main" id="{FE99E8AD-38F0-4E66-808E-AA40F5D33088}"/>
            </a:ext>
          </a:extLst>
        </xdr:cNvPr>
        <xdr:cNvGrpSpPr/>
      </xdr:nvGrpSpPr>
      <xdr:grpSpPr>
        <a:xfrm>
          <a:off x="3871084" y="3238750"/>
          <a:ext cx="4382999" cy="2339964"/>
          <a:chOff x="8176260" y="2179320"/>
          <a:chExt cx="3290298" cy="2286000"/>
        </a:xfrm>
      </xdr:grpSpPr>
      <xdr:sp macro="" textlink="">
        <xdr:nvSpPr>
          <xdr:cNvPr id="7" name="Rectangle: Rounded Corners 6">
            <a:extLst>
              <a:ext uri="{FF2B5EF4-FFF2-40B4-BE49-F238E27FC236}">
                <a16:creationId xmlns:a16="http://schemas.microsoft.com/office/drawing/2014/main" id="{5F287930-BCB6-6DA0-8882-FE468F242331}"/>
              </a:ext>
            </a:extLst>
          </xdr:cNvPr>
          <xdr:cNvSpPr/>
        </xdr:nvSpPr>
        <xdr:spPr>
          <a:xfrm>
            <a:off x="8290560" y="2179320"/>
            <a:ext cx="3017520" cy="222504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 name="Chart 5">
            <a:extLst>
              <a:ext uri="{FF2B5EF4-FFF2-40B4-BE49-F238E27FC236}">
                <a16:creationId xmlns:a16="http://schemas.microsoft.com/office/drawing/2014/main" id="{C18E994A-A295-7A5F-9E09-278225FB67DC}"/>
              </a:ext>
            </a:extLst>
          </xdr:cNvPr>
          <xdr:cNvGraphicFramePr/>
        </xdr:nvGraphicFramePr>
        <xdr:xfrm>
          <a:off x="8176260" y="2186940"/>
          <a:ext cx="3290298" cy="227838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7</xdr:col>
      <xdr:colOff>273538</xdr:colOff>
      <xdr:row>17</xdr:row>
      <xdr:rowOff>136769</xdr:rowOff>
    </xdr:from>
    <xdr:to>
      <xdr:col>11</xdr:col>
      <xdr:colOff>886914</xdr:colOff>
      <xdr:row>30</xdr:row>
      <xdr:rowOff>29307</xdr:rowOff>
    </xdr:to>
    <xdr:grpSp>
      <xdr:nvGrpSpPr>
        <xdr:cNvPr id="18" name="Group 17">
          <a:extLst>
            <a:ext uri="{FF2B5EF4-FFF2-40B4-BE49-F238E27FC236}">
              <a16:creationId xmlns:a16="http://schemas.microsoft.com/office/drawing/2014/main" id="{B3CDF03A-E8F4-87E7-5F1B-B5AB3D3593AB}"/>
            </a:ext>
          </a:extLst>
        </xdr:cNvPr>
        <xdr:cNvGrpSpPr/>
      </xdr:nvGrpSpPr>
      <xdr:grpSpPr>
        <a:xfrm>
          <a:off x="8405702" y="3322179"/>
          <a:ext cx="3523966" cy="2328439"/>
          <a:chOff x="9920785" y="2524335"/>
          <a:chExt cx="2955207" cy="2351017"/>
        </a:xfrm>
      </xdr:grpSpPr>
      <xdr:sp macro="" textlink="">
        <xdr:nvSpPr>
          <xdr:cNvPr id="17" name="Rectangle: Rounded Corners 16">
            <a:extLst>
              <a:ext uri="{FF2B5EF4-FFF2-40B4-BE49-F238E27FC236}">
                <a16:creationId xmlns:a16="http://schemas.microsoft.com/office/drawing/2014/main" id="{B7E66AE9-9AA4-8B24-5BBF-2A66ACCFB3BA}"/>
              </a:ext>
            </a:extLst>
          </xdr:cNvPr>
          <xdr:cNvSpPr/>
        </xdr:nvSpPr>
        <xdr:spPr>
          <a:xfrm>
            <a:off x="10023231" y="2549769"/>
            <a:ext cx="2842846" cy="2246923"/>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6" name="Chart 15">
            <a:extLst>
              <a:ext uri="{FF2B5EF4-FFF2-40B4-BE49-F238E27FC236}">
                <a16:creationId xmlns:a16="http://schemas.microsoft.com/office/drawing/2014/main" id="{05A0044B-AF7B-7F1E-2F65-60D870B8CF61}"/>
              </a:ext>
            </a:extLst>
          </xdr:cNvPr>
          <xdr:cNvGraphicFramePr/>
        </xdr:nvGraphicFramePr>
        <xdr:xfrm>
          <a:off x="9920785" y="2524335"/>
          <a:ext cx="2955207" cy="2351017"/>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11</xdr:col>
      <xdr:colOff>908538</xdr:colOff>
      <xdr:row>17</xdr:row>
      <xdr:rowOff>156306</xdr:rowOff>
    </xdr:from>
    <xdr:to>
      <xdr:col>24</xdr:col>
      <xdr:colOff>9772</xdr:colOff>
      <xdr:row>28</xdr:row>
      <xdr:rowOff>78154</xdr:rowOff>
    </xdr:to>
    <xdr:grpSp>
      <xdr:nvGrpSpPr>
        <xdr:cNvPr id="21" name="Group 20">
          <a:extLst>
            <a:ext uri="{FF2B5EF4-FFF2-40B4-BE49-F238E27FC236}">
              <a16:creationId xmlns:a16="http://schemas.microsoft.com/office/drawing/2014/main" id="{D74281E7-B70D-A728-3D28-B4CF2A752C84}"/>
            </a:ext>
          </a:extLst>
        </xdr:cNvPr>
        <xdr:cNvGrpSpPr/>
      </xdr:nvGrpSpPr>
      <xdr:grpSpPr>
        <a:xfrm>
          <a:off x="11951292" y="3341716"/>
          <a:ext cx="2973693" cy="1982995"/>
          <a:chOff x="11088075" y="3477845"/>
          <a:chExt cx="2319686" cy="1558679"/>
        </a:xfrm>
      </xdr:grpSpPr>
      <xdr:sp macro="" textlink="">
        <xdr:nvSpPr>
          <xdr:cNvPr id="20" name="Rectangle: Rounded Corners 19">
            <a:extLst>
              <a:ext uri="{FF2B5EF4-FFF2-40B4-BE49-F238E27FC236}">
                <a16:creationId xmlns:a16="http://schemas.microsoft.com/office/drawing/2014/main" id="{B07273AB-D34B-D418-405D-8B0DA643FBE4}"/>
              </a:ext>
            </a:extLst>
          </xdr:cNvPr>
          <xdr:cNvSpPr/>
        </xdr:nvSpPr>
        <xdr:spPr>
          <a:xfrm>
            <a:off x="11273692" y="3526692"/>
            <a:ext cx="2110154" cy="145561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9" name="Chart 18">
            <a:extLst>
              <a:ext uri="{FF2B5EF4-FFF2-40B4-BE49-F238E27FC236}">
                <a16:creationId xmlns:a16="http://schemas.microsoft.com/office/drawing/2014/main" id="{9A98AAF0-76B0-6194-896C-C4446D00668C}"/>
              </a:ext>
            </a:extLst>
          </xdr:cNvPr>
          <xdr:cNvGraphicFramePr/>
        </xdr:nvGraphicFramePr>
        <xdr:xfrm>
          <a:off x="11088075" y="3477845"/>
          <a:ext cx="2319686" cy="155867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8</xdr:col>
      <xdr:colOff>61335</xdr:colOff>
      <xdr:row>31</xdr:row>
      <xdr:rowOff>124277</xdr:rowOff>
    </xdr:from>
    <xdr:to>
      <xdr:col>12</xdr:col>
      <xdr:colOff>175248</xdr:colOff>
      <xdr:row>43</xdr:row>
      <xdr:rowOff>36355</xdr:rowOff>
    </xdr:to>
    <xdr:grpSp>
      <xdr:nvGrpSpPr>
        <xdr:cNvPr id="24" name="Group 23">
          <a:extLst>
            <a:ext uri="{FF2B5EF4-FFF2-40B4-BE49-F238E27FC236}">
              <a16:creationId xmlns:a16="http://schemas.microsoft.com/office/drawing/2014/main" id="{A680085E-BE45-4B9B-2C6F-EA7FA2F09469}"/>
            </a:ext>
          </a:extLst>
        </xdr:cNvPr>
        <xdr:cNvGrpSpPr/>
      </xdr:nvGrpSpPr>
      <xdr:grpSpPr>
        <a:xfrm>
          <a:off x="9567597" y="5932966"/>
          <a:ext cx="3124438" cy="2160602"/>
          <a:chOff x="12715265" y="1572846"/>
          <a:chExt cx="2231658" cy="1856153"/>
        </a:xfrm>
      </xdr:grpSpPr>
      <xdr:sp macro="" textlink="">
        <xdr:nvSpPr>
          <xdr:cNvPr id="23" name="Rectangle: Rounded Corners 22">
            <a:extLst>
              <a:ext uri="{FF2B5EF4-FFF2-40B4-BE49-F238E27FC236}">
                <a16:creationId xmlns:a16="http://schemas.microsoft.com/office/drawing/2014/main" id="{F3EE0636-B706-B22A-A4F8-AB7079162CDC}"/>
              </a:ext>
            </a:extLst>
          </xdr:cNvPr>
          <xdr:cNvSpPr/>
        </xdr:nvSpPr>
        <xdr:spPr>
          <a:xfrm>
            <a:off x="12797692" y="1572846"/>
            <a:ext cx="2149231" cy="1797539"/>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2" name="Chart 21">
            <a:extLst>
              <a:ext uri="{FF2B5EF4-FFF2-40B4-BE49-F238E27FC236}">
                <a16:creationId xmlns:a16="http://schemas.microsoft.com/office/drawing/2014/main" id="{B3A366E3-8041-7374-1D47-87771A39064D}"/>
              </a:ext>
            </a:extLst>
          </xdr:cNvPr>
          <xdr:cNvGraphicFramePr/>
        </xdr:nvGraphicFramePr>
        <xdr:xfrm>
          <a:off x="12715265" y="1582614"/>
          <a:ext cx="2183243" cy="184638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492052</xdr:colOff>
      <xdr:row>30</xdr:row>
      <xdr:rowOff>131914</xdr:rowOff>
    </xdr:from>
    <xdr:to>
      <xdr:col>1</xdr:col>
      <xdr:colOff>1184098</xdr:colOff>
      <xdr:row>43</xdr:row>
      <xdr:rowOff>162987</xdr:rowOff>
    </xdr:to>
    <mc:AlternateContent xmlns:mc="http://schemas.openxmlformats.org/markup-compatibility/2006" xmlns:a14="http://schemas.microsoft.com/office/drawing/2010/main">
      <mc:Choice Requires="a14">
        <xdr:graphicFrame macro="">
          <xdr:nvGraphicFramePr>
            <xdr:cNvPr id="25" name="Class">
              <a:extLst>
                <a:ext uri="{FF2B5EF4-FFF2-40B4-BE49-F238E27FC236}">
                  <a16:creationId xmlns:a16="http://schemas.microsoft.com/office/drawing/2014/main" id="{D94DD1D0-FFEB-7007-5234-F5E0DD36ED0D}"/>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mlns="">
        <xdr:sp macro="" textlink="">
          <xdr:nvSpPr>
            <xdr:cNvPr id="0" name=""/>
            <xdr:cNvSpPr>
              <a:spLocks noTextEdit="1"/>
            </xdr:cNvSpPr>
          </xdr:nvSpPr>
          <xdr:spPr>
            <a:xfrm>
              <a:off x="492052" y="575322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1478904</xdr:colOff>
      <xdr:row>31</xdr:row>
      <xdr:rowOff>69455</xdr:rowOff>
    </xdr:from>
    <xdr:to>
      <xdr:col>3</xdr:col>
      <xdr:colOff>946753</xdr:colOff>
      <xdr:row>39</xdr:row>
      <xdr:rowOff>0</xdr:rowOff>
    </xdr:to>
    <mc:AlternateContent xmlns:mc="http://schemas.openxmlformats.org/markup-compatibility/2006" xmlns:a14="http://schemas.microsoft.com/office/drawing/2010/main">
      <mc:Choice Requires="a14">
        <xdr:graphicFrame macro="">
          <xdr:nvGraphicFramePr>
            <xdr:cNvPr id="26" name="Section">
              <a:extLst>
                <a:ext uri="{FF2B5EF4-FFF2-40B4-BE49-F238E27FC236}">
                  <a16:creationId xmlns:a16="http://schemas.microsoft.com/office/drawing/2014/main" id="{7A0662A4-8101-5ABD-0668-F50A30427066}"/>
                </a:ext>
              </a:extLst>
            </xdr:cNvPr>
            <xdr:cNvGraphicFramePr/>
          </xdr:nvGraphicFramePr>
          <xdr:xfrm>
            <a:off x="0" y="0"/>
            <a:ext cx="0" cy="0"/>
          </xdr:xfrm>
          <a:graphic>
            <a:graphicData uri="http://schemas.microsoft.com/office/drawing/2010/slicer">
              <sle:slicer xmlns:sle="http://schemas.microsoft.com/office/drawing/2010/slicer" name="Section"/>
            </a:graphicData>
          </a:graphic>
        </xdr:graphicFrame>
      </mc:Choice>
      <mc:Fallback xmlns="">
        <xdr:sp macro="" textlink="">
          <xdr:nvSpPr>
            <xdr:cNvPr id="0" name=""/>
            <xdr:cNvSpPr>
              <a:spLocks noTextEdit="1"/>
            </xdr:cNvSpPr>
          </xdr:nvSpPr>
          <xdr:spPr>
            <a:xfrm>
              <a:off x="2615658" y="5878144"/>
              <a:ext cx="1828800" cy="1429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404609</xdr:colOff>
      <xdr:row>31</xdr:row>
      <xdr:rowOff>119423</xdr:rowOff>
    </xdr:from>
    <xdr:to>
      <xdr:col>5</xdr:col>
      <xdr:colOff>484557</xdr:colOff>
      <xdr:row>36</xdr:row>
      <xdr:rowOff>62460</xdr:rowOff>
    </xdr:to>
    <mc:AlternateContent xmlns:mc="http://schemas.openxmlformats.org/markup-compatibility/2006" xmlns:a14="http://schemas.microsoft.com/office/drawing/2010/main">
      <mc:Choice Requires="a14">
        <xdr:graphicFrame macro="">
          <xdr:nvGraphicFramePr>
            <xdr:cNvPr id="27" name="Gender">
              <a:extLst>
                <a:ext uri="{FF2B5EF4-FFF2-40B4-BE49-F238E27FC236}">
                  <a16:creationId xmlns:a16="http://schemas.microsoft.com/office/drawing/2014/main" id="{1B5BD197-8D5D-F153-6527-99050A9455A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039068" y="5928112"/>
              <a:ext cx="1828800" cy="879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616970</xdr:colOff>
      <xdr:row>30</xdr:row>
      <xdr:rowOff>181882</xdr:rowOff>
    </xdr:from>
    <xdr:to>
      <xdr:col>7</xdr:col>
      <xdr:colOff>1309016</xdr:colOff>
      <xdr:row>41</xdr:row>
      <xdr:rowOff>74951</xdr:rowOff>
    </xdr:to>
    <mc:AlternateContent xmlns:mc="http://schemas.openxmlformats.org/markup-compatibility/2006" xmlns:a14="http://schemas.microsoft.com/office/drawing/2010/main">
      <mc:Choice Requires="a14">
        <xdr:graphicFrame macro="">
          <xdr:nvGraphicFramePr>
            <xdr:cNvPr id="28" name="Grade">
              <a:extLst>
                <a:ext uri="{FF2B5EF4-FFF2-40B4-BE49-F238E27FC236}">
                  <a16:creationId xmlns:a16="http://schemas.microsoft.com/office/drawing/2014/main" id="{0D57E4BA-FD61-D41F-9AAF-78D8410A3561}"/>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7612380" y="5803193"/>
              <a:ext cx="1828800" cy="1954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367135</xdr:colOff>
      <xdr:row>36</xdr:row>
      <xdr:rowOff>156897</xdr:rowOff>
    </xdr:from>
    <xdr:to>
      <xdr:col>5</xdr:col>
      <xdr:colOff>447083</xdr:colOff>
      <xdr:row>41</xdr:row>
      <xdr:rowOff>112426</xdr:rowOff>
    </xdr:to>
    <mc:AlternateContent xmlns:mc="http://schemas.openxmlformats.org/markup-compatibility/2006" xmlns:a14="http://schemas.microsoft.com/office/drawing/2010/main">
      <mc:Choice Requires="a14">
        <xdr:graphicFrame macro="">
          <xdr:nvGraphicFramePr>
            <xdr:cNvPr id="29" name="Fee_Status">
              <a:extLst>
                <a:ext uri="{FF2B5EF4-FFF2-40B4-BE49-F238E27FC236}">
                  <a16:creationId xmlns:a16="http://schemas.microsoft.com/office/drawing/2014/main" id="{F99BB72D-36B8-0D0C-1C8E-AA13567F08DC}"/>
                </a:ext>
              </a:extLst>
            </xdr:cNvPr>
            <xdr:cNvGraphicFramePr/>
          </xdr:nvGraphicFramePr>
          <xdr:xfrm>
            <a:off x="0" y="0"/>
            <a:ext cx="0" cy="0"/>
          </xdr:xfrm>
          <a:graphic>
            <a:graphicData uri="http://schemas.microsoft.com/office/drawing/2010/slicer">
              <sle:slicer xmlns:sle="http://schemas.microsoft.com/office/drawing/2010/slicer" name="Fee_Status"/>
            </a:graphicData>
          </a:graphic>
        </xdr:graphicFrame>
      </mc:Choice>
      <mc:Fallback xmlns="">
        <xdr:sp macro="" textlink="">
          <xdr:nvSpPr>
            <xdr:cNvPr id="0" name=""/>
            <xdr:cNvSpPr>
              <a:spLocks noTextEdit="1"/>
            </xdr:cNvSpPr>
          </xdr:nvSpPr>
          <xdr:spPr>
            <a:xfrm>
              <a:off x="5001594" y="6902471"/>
              <a:ext cx="1828800" cy="892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1466414</xdr:colOff>
      <xdr:row>39</xdr:row>
      <xdr:rowOff>69455</xdr:rowOff>
    </xdr:from>
    <xdr:to>
      <xdr:col>3</xdr:col>
      <xdr:colOff>934263</xdr:colOff>
      <xdr:row>44</xdr:row>
      <xdr:rowOff>37475</xdr:rowOff>
    </xdr:to>
    <mc:AlternateContent xmlns:mc="http://schemas.openxmlformats.org/markup-compatibility/2006" xmlns:a14="http://schemas.microsoft.com/office/drawing/2010/main">
      <mc:Choice Requires="a14">
        <xdr:graphicFrame macro="">
          <xdr:nvGraphicFramePr>
            <xdr:cNvPr id="30" name="Pass/Fail">
              <a:extLst>
                <a:ext uri="{FF2B5EF4-FFF2-40B4-BE49-F238E27FC236}">
                  <a16:creationId xmlns:a16="http://schemas.microsoft.com/office/drawing/2014/main" id="{29E6E0E5-7E09-FB0C-B184-3BB80B54558B}"/>
                </a:ext>
              </a:extLst>
            </xdr:cNvPr>
            <xdr:cNvGraphicFramePr/>
          </xdr:nvGraphicFramePr>
          <xdr:xfrm>
            <a:off x="0" y="0"/>
            <a:ext cx="0" cy="0"/>
          </xdr:xfrm>
          <a:graphic>
            <a:graphicData uri="http://schemas.microsoft.com/office/drawing/2010/slicer">
              <sle:slicer xmlns:sle="http://schemas.microsoft.com/office/drawing/2010/slicer" name="Pass/Fail"/>
            </a:graphicData>
          </a:graphic>
        </xdr:graphicFrame>
      </mc:Choice>
      <mc:Fallback xmlns="">
        <xdr:sp macro="" textlink="">
          <xdr:nvSpPr>
            <xdr:cNvPr id="0" name=""/>
            <xdr:cNvSpPr>
              <a:spLocks noTextEdit="1"/>
            </xdr:cNvSpPr>
          </xdr:nvSpPr>
          <xdr:spPr>
            <a:xfrm>
              <a:off x="2603168" y="7377160"/>
              <a:ext cx="1828800" cy="904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99934</xdr:colOff>
      <xdr:row>32</xdr:row>
      <xdr:rowOff>174885</xdr:rowOff>
    </xdr:from>
    <xdr:to>
      <xdr:col>28</xdr:col>
      <xdr:colOff>6856</xdr:colOff>
      <xdr:row>42</xdr:row>
      <xdr:rowOff>152989</xdr:rowOff>
    </xdr:to>
    <xdr:grpSp>
      <xdr:nvGrpSpPr>
        <xdr:cNvPr id="10" name="Group 9">
          <a:extLst>
            <a:ext uri="{FF2B5EF4-FFF2-40B4-BE49-F238E27FC236}">
              <a16:creationId xmlns:a16="http://schemas.microsoft.com/office/drawing/2014/main" id="{7B461CB1-DF7E-721D-8205-B9F0E55DA144}"/>
            </a:ext>
          </a:extLst>
        </xdr:cNvPr>
        <xdr:cNvGrpSpPr/>
      </xdr:nvGrpSpPr>
      <xdr:grpSpPr>
        <a:xfrm>
          <a:off x="13016459" y="6170951"/>
          <a:ext cx="2705086" cy="1851874"/>
          <a:chOff x="12516787" y="5996066"/>
          <a:chExt cx="2705086" cy="1851874"/>
        </a:xfrm>
      </xdr:grpSpPr>
      <xdr:sp macro="" textlink="">
        <xdr:nvSpPr>
          <xdr:cNvPr id="2" name="Rectangle: Rounded Corners 1">
            <a:extLst>
              <a:ext uri="{FF2B5EF4-FFF2-40B4-BE49-F238E27FC236}">
                <a16:creationId xmlns:a16="http://schemas.microsoft.com/office/drawing/2014/main" id="{253C2DBD-1CC2-46E5-95ED-3AD8402B0D6A}"/>
              </a:ext>
            </a:extLst>
          </xdr:cNvPr>
          <xdr:cNvSpPr/>
        </xdr:nvSpPr>
        <xdr:spPr>
          <a:xfrm>
            <a:off x="12516787" y="5996066"/>
            <a:ext cx="2705086" cy="1851874"/>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9" name="Chart 8">
            <a:extLst>
              <a:ext uri="{FF2B5EF4-FFF2-40B4-BE49-F238E27FC236}">
                <a16:creationId xmlns:a16="http://schemas.microsoft.com/office/drawing/2014/main" id="{38020326-5FC5-0C37-18D0-ACB8F7AB1468}"/>
              </a:ext>
            </a:extLst>
          </xdr:cNvPr>
          <xdr:cNvGraphicFramePr/>
        </xdr:nvGraphicFramePr>
        <xdr:xfrm>
          <a:off x="12566754" y="6008557"/>
          <a:ext cx="2573312" cy="1811311"/>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30</xdr:col>
      <xdr:colOff>0</xdr:colOff>
      <xdr:row>60</xdr:row>
      <xdr:rowOff>67733</xdr:rowOff>
    </xdr:to>
    <xdr:sp macro="" textlink="">
      <xdr:nvSpPr>
        <xdr:cNvPr id="4105" name="Rectangle: Rounded Corners 4104">
          <a:extLst>
            <a:ext uri="{FF2B5EF4-FFF2-40B4-BE49-F238E27FC236}">
              <a16:creationId xmlns:a16="http://schemas.microsoft.com/office/drawing/2014/main" id="{B638F25A-A877-526D-C5F2-B4F6F2C4545F}"/>
            </a:ext>
          </a:extLst>
        </xdr:cNvPr>
        <xdr:cNvSpPr/>
      </xdr:nvSpPr>
      <xdr:spPr>
        <a:xfrm>
          <a:off x="0" y="1"/>
          <a:ext cx="18288000" cy="11243732"/>
        </a:xfrm>
        <a:prstGeom prst="roundRect">
          <a:avLst>
            <a:gd name="adj" fmla="val 1957"/>
          </a:avLst>
        </a:prstGeom>
        <a:solidFill>
          <a:srgbClr val="F5F7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512884</xdr:colOff>
      <xdr:row>16</xdr:row>
      <xdr:rowOff>162269</xdr:rowOff>
    </xdr:from>
    <xdr:to>
      <xdr:col>12</xdr:col>
      <xdr:colOff>213018</xdr:colOff>
      <xdr:row>37</xdr:row>
      <xdr:rowOff>69499</xdr:rowOff>
    </xdr:to>
    <xdr:grpSp>
      <xdr:nvGrpSpPr>
        <xdr:cNvPr id="2" name="Group 1">
          <a:extLst>
            <a:ext uri="{FF2B5EF4-FFF2-40B4-BE49-F238E27FC236}">
              <a16:creationId xmlns:a16="http://schemas.microsoft.com/office/drawing/2014/main" id="{5AC82C14-CC54-46E9-9AE2-93E250223946}"/>
            </a:ext>
          </a:extLst>
        </xdr:cNvPr>
        <xdr:cNvGrpSpPr/>
      </xdr:nvGrpSpPr>
      <xdr:grpSpPr>
        <a:xfrm>
          <a:off x="2341684" y="3142536"/>
          <a:ext cx="5186534" cy="3818830"/>
          <a:chOff x="7771155" y="1661160"/>
          <a:chExt cx="3032828" cy="2247216"/>
        </a:xfrm>
      </xdr:grpSpPr>
      <xdr:sp macro="" textlink="">
        <xdr:nvSpPr>
          <xdr:cNvPr id="3" name="Rectangle: Rounded Corners 2">
            <a:extLst>
              <a:ext uri="{FF2B5EF4-FFF2-40B4-BE49-F238E27FC236}">
                <a16:creationId xmlns:a16="http://schemas.microsoft.com/office/drawing/2014/main" id="{87881AF3-E344-FAB9-5990-E64DF7A6B2CC}"/>
              </a:ext>
            </a:extLst>
          </xdr:cNvPr>
          <xdr:cNvSpPr/>
        </xdr:nvSpPr>
        <xdr:spPr>
          <a:xfrm>
            <a:off x="7810715" y="1691640"/>
            <a:ext cx="2925864" cy="214884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 name="Chart 3">
            <a:extLst>
              <a:ext uri="{FF2B5EF4-FFF2-40B4-BE49-F238E27FC236}">
                <a16:creationId xmlns:a16="http://schemas.microsoft.com/office/drawing/2014/main" id="{673DA47B-A42D-FDB3-AC6C-78437DD85F4E}"/>
              </a:ext>
            </a:extLst>
          </xdr:cNvPr>
          <xdr:cNvGraphicFramePr/>
        </xdr:nvGraphicFramePr>
        <xdr:xfrm>
          <a:off x="7771155" y="1661160"/>
          <a:ext cx="3032828" cy="2247216"/>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21</xdr:col>
      <xdr:colOff>219927</xdr:colOff>
      <xdr:row>16</xdr:row>
      <xdr:rowOff>160824</xdr:rowOff>
    </xdr:from>
    <xdr:to>
      <xdr:col>29</xdr:col>
      <xdr:colOff>516234</xdr:colOff>
      <xdr:row>37</xdr:row>
      <xdr:rowOff>68054</xdr:rowOff>
    </xdr:to>
    <xdr:grpSp>
      <xdr:nvGrpSpPr>
        <xdr:cNvPr id="5" name="Group 4">
          <a:extLst>
            <a:ext uri="{FF2B5EF4-FFF2-40B4-BE49-F238E27FC236}">
              <a16:creationId xmlns:a16="http://schemas.microsoft.com/office/drawing/2014/main" id="{87555F34-FE08-4252-83BB-E57101397499}"/>
            </a:ext>
          </a:extLst>
        </xdr:cNvPr>
        <xdr:cNvGrpSpPr/>
      </xdr:nvGrpSpPr>
      <xdr:grpSpPr>
        <a:xfrm>
          <a:off x="13021527" y="3141091"/>
          <a:ext cx="5173107" cy="3818830"/>
          <a:chOff x="8176260" y="2179320"/>
          <a:chExt cx="3290298" cy="2225040"/>
        </a:xfrm>
      </xdr:grpSpPr>
      <xdr:sp macro="" textlink="">
        <xdr:nvSpPr>
          <xdr:cNvPr id="6" name="Rectangle: Rounded Corners 5">
            <a:extLst>
              <a:ext uri="{FF2B5EF4-FFF2-40B4-BE49-F238E27FC236}">
                <a16:creationId xmlns:a16="http://schemas.microsoft.com/office/drawing/2014/main" id="{207D9883-30F7-D3AC-3921-807E282F970B}"/>
              </a:ext>
            </a:extLst>
          </xdr:cNvPr>
          <xdr:cNvSpPr/>
        </xdr:nvSpPr>
        <xdr:spPr>
          <a:xfrm>
            <a:off x="8290560" y="2179320"/>
            <a:ext cx="3017520" cy="222504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 name="Chart 6">
            <a:extLst>
              <a:ext uri="{FF2B5EF4-FFF2-40B4-BE49-F238E27FC236}">
                <a16:creationId xmlns:a16="http://schemas.microsoft.com/office/drawing/2014/main" id="{0D747830-F6E2-C3B4-15BA-41A8524710B1}"/>
              </a:ext>
            </a:extLst>
          </xdr:cNvPr>
          <xdr:cNvGraphicFramePr/>
        </xdr:nvGraphicFramePr>
        <xdr:xfrm>
          <a:off x="8176260" y="2186940"/>
          <a:ext cx="3290298" cy="2195883"/>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3</xdr:col>
      <xdr:colOff>527535</xdr:colOff>
      <xdr:row>39</xdr:row>
      <xdr:rowOff>14517</xdr:rowOff>
    </xdr:from>
    <xdr:to>
      <xdr:col>12</xdr:col>
      <xdr:colOff>237516</xdr:colOff>
      <xdr:row>59</xdr:row>
      <xdr:rowOff>69901</xdr:rowOff>
    </xdr:to>
    <xdr:grpSp>
      <xdr:nvGrpSpPr>
        <xdr:cNvPr id="8" name="Group 7">
          <a:extLst>
            <a:ext uri="{FF2B5EF4-FFF2-40B4-BE49-F238E27FC236}">
              <a16:creationId xmlns:a16="http://schemas.microsoft.com/office/drawing/2014/main" id="{78EE4213-3AD8-4E6B-8AB9-69EA7D980378}"/>
            </a:ext>
          </a:extLst>
        </xdr:cNvPr>
        <xdr:cNvGrpSpPr/>
      </xdr:nvGrpSpPr>
      <xdr:grpSpPr>
        <a:xfrm>
          <a:off x="2356335" y="7278917"/>
          <a:ext cx="5196381" cy="3780717"/>
          <a:chOff x="10004284" y="2503519"/>
          <a:chExt cx="2905196" cy="2254876"/>
        </a:xfrm>
      </xdr:grpSpPr>
      <xdr:sp macro="" textlink="">
        <xdr:nvSpPr>
          <xdr:cNvPr id="9" name="Rectangle: Rounded Corners 8">
            <a:extLst>
              <a:ext uri="{FF2B5EF4-FFF2-40B4-BE49-F238E27FC236}">
                <a16:creationId xmlns:a16="http://schemas.microsoft.com/office/drawing/2014/main" id="{BB09A1B3-6BBC-9FFA-88B7-98427FCD163D}"/>
              </a:ext>
            </a:extLst>
          </xdr:cNvPr>
          <xdr:cNvSpPr/>
        </xdr:nvSpPr>
        <xdr:spPr>
          <a:xfrm>
            <a:off x="10023232" y="2503519"/>
            <a:ext cx="2886248" cy="2246923"/>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0" name="Chart 9">
            <a:extLst>
              <a:ext uri="{FF2B5EF4-FFF2-40B4-BE49-F238E27FC236}">
                <a16:creationId xmlns:a16="http://schemas.microsoft.com/office/drawing/2014/main" id="{74B545B7-9E81-5157-090B-B21744797B22}"/>
              </a:ext>
            </a:extLst>
          </xdr:cNvPr>
          <xdr:cNvGraphicFramePr/>
        </xdr:nvGraphicFramePr>
        <xdr:xfrm>
          <a:off x="10004284" y="2524335"/>
          <a:ext cx="2871708" cy="223406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20</xdr:col>
      <xdr:colOff>574975</xdr:colOff>
      <xdr:row>40</xdr:row>
      <xdr:rowOff>52050</xdr:rowOff>
    </xdr:from>
    <xdr:to>
      <xdr:col>29</xdr:col>
      <xdr:colOff>255821</xdr:colOff>
      <xdr:row>59</xdr:row>
      <xdr:rowOff>112984</xdr:rowOff>
    </xdr:to>
    <xdr:grpSp>
      <xdr:nvGrpSpPr>
        <xdr:cNvPr id="11" name="Group 10">
          <a:extLst>
            <a:ext uri="{FF2B5EF4-FFF2-40B4-BE49-F238E27FC236}">
              <a16:creationId xmlns:a16="http://schemas.microsoft.com/office/drawing/2014/main" id="{68C3385D-0C58-4473-82DD-FBC62A93DB80}"/>
            </a:ext>
          </a:extLst>
        </xdr:cNvPr>
        <xdr:cNvGrpSpPr/>
      </xdr:nvGrpSpPr>
      <xdr:grpSpPr>
        <a:xfrm>
          <a:off x="12766975" y="7502717"/>
          <a:ext cx="5167246" cy="3600000"/>
          <a:chOff x="11088075" y="3526692"/>
          <a:chExt cx="2319686" cy="1509832"/>
        </a:xfrm>
      </xdr:grpSpPr>
      <xdr:sp macro="" textlink="">
        <xdr:nvSpPr>
          <xdr:cNvPr id="12" name="Rectangle: Rounded Corners 11">
            <a:extLst>
              <a:ext uri="{FF2B5EF4-FFF2-40B4-BE49-F238E27FC236}">
                <a16:creationId xmlns:a16="http://schemas.microsoft.com/office/drawing/2014/main" id="{91F8B985-21EB-F883-4B69-2F1D6F7183FD}"/>
              </a:ext>
            </a:extLst>
          </xdr:cNvPr>
          <xdr:cNvSpPr/>
        </xdr:nvSpPr>
        <xdr:spPr>
          <a:xfrm>
            <a:off x="11273692" y="3526692"/>
            <a:ext cx="2110154" cy="1455615"/>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3" name="Chart 12">
            <a:extLst>
              <a:ext uri="{FF2B5EF4-FFF2-40B4-BE49-F238E27FC236}">
                <a16:creationId xmlns:a16="http://schemas.microsoft.com/office/drawing/2014/main" id="{830080C4-0F16-AD96-3536-DFADCA8D8481}"/>
              </a:ext>
            </a:extLst>
          </xdr:cNvPr>
          <xdr:cNvGraphicFramePr/>
        </xdr:nvGraphicFramePr>
        <xdr:xfrm>
          <a:off x="11088075" y="3560739"/>
          <a:ext cx="2319686" cy="147578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12</xdr:col>
      <xdr:colOff>512885</xdr:colOff>
      <xdr:row>39</xdr:row>
      <xdr:rowOff>52843</xdr:rowOff>
    </xdr:from>
    <xdr:to>
      <xdr:col>21</xdr:col>
      <xdr:colOff>14518</xdr:colOff>
      <xdr:row>59</xdr:row>
      <xdr:rowOff>24750</xdr:rowOff>
    </xdr:to>
    <xdr:grpSp>
      <xdr:nvGrpSpPr>
        <xdr:cNvPr id="14" name="Group 13">
          <a:extLst>
            <a:ext uri="{FF2B5EF4-FFF2-40B4-BE49-F238E27FC236}">
              <a16:creationId xmlns:a16="http://schemas.microsoft.com/office/drawing/2014/main" id="{E07C7F77-A587-422B-AD17-5D464F00F429}"/>
            </a:ext>
          </a:extLst>
        </xdr:cNvPr>
        <xdr:cNvGrpSpPr/>
      </xdr:nvGrpSpPr>
      <xdr:grpSpPr>
        <a:xfrm>
          <a:off x="7828085" y="7317243"/>
          <a:ext cx="4988033" cy="3697240"/>
          <a:chOff x="12791882" y="1572846"/>
          <a:chExt cx="2155041" cy="1798834"/>
        </a:xfrm>
      </xdr:grpSpPr>
      <xdr:sp macro="" textlink="">
        <xdr:nvSpPr>
          <xdr:cNvPr id="15" name="Rectangle: Rounded Corners 14">
            <a:extLst>
              <a:ext uri="{FF2B5EF4-FFF2-40B4-BE49-F238E27FC236}">
                <a16:creationId xmlns:a16="http://schemas.microsoft.com/office/drawing/2014/main" id="{39008339-0FDE-666B-DABA-A9A589FF96D7}"/>
              </a:ext>
            </a:extLst>
          </xdr:cNvPr>
          <xdr:cNvSpPr/>
        </xdr:nvSpPr>
        <xdr:spPr>
          <a:xfrm>
            <a:off x="12797692" y="1572846"/>
            <a:ext cx="2149231" cy="1797539"/>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6" name="Chart 15">
            <a:extLst>
              <a:ext uri="{FF2B5EF4-FFF2-40B4-BE49-F238E27FC236}">
                <a16:creationId xmlns:a16="http://schemas.microsoft.com/office/drawing/2014/main" id="{D0D8D26F-10D8-B015-D693-A5026A5469A5}"/>
              </a:ext>
            </a:extLst>
          </xdr:cNvPr>
          <xdr:cNvGraphicFramePr/>
        </xdr:nvGraphicFramePr>
        <xdr:xfrm>
          <a:off x="12791882" y="1582615"/>
          <a:ext cx="2106627" cy="178906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404744</xdr:colOff>
      <xdr:row>8</xdr:row>
      <xdr:rowOff>40408</xdr:rowOff>
    </xdr:from>
    <xdr:to>
      <xdr:col>3</xdr:col>
      <xdr:colOff>404744</xdr:colOff>
      <xdr:row>21</xdr:row>
      <xdr:rowOff>129942</xdr:rowOff>
    </xdr:to>
    <mc:AlternateContent xmlns:mc="http://schemas.openxmlformats.org/markup-compatibility/2006">
      <mc:Choice xmlns:a14="http://schemas.microsoft.com/office/drawing/2010/main" Requires="a14">
        <xdr:graphicFrame macro="">
          <xdr:nvGraphicFramePr>
            <xdr:cNvPr id="17" name="Class 1">
              <a:extLst>
                <a:ext uri="{FF2B5EF4-FFF2-40B4-BE49-F238E27FC236}">
                  <a16:creationId xmlns:a16="http://schemas.microsoft.com/office/drawing/2014/main" id="{475F3546-7411-4530-AEC6-C7A4DA20C61C}"/>
                </a:ext>
              </a:extLst>
            </xdr:cNvPr>
            <xdr:cNvGraphicFramePr/>
          </xdr:nvGraphicFramePr>
          <xdr:xfrm>
            <a:off x="0" y="0"/>
            <a:ext cx="0" cy="0"/>
          </xdr:xfrm>
          <a:graphic>
            <a:graphicData uri="http://schemas.microsoft.com/office/drawing/2010/slicer">
              <sle:slicer xmlns:sle="http://schemas.microsoft.com/office/drawing/2010/slicer" name="Class 1"/>
            </a:graphicData>
          </a:graphic>
        </xdr:graphicFrame>
      </mc:Choice>
      <mc:Fallback>
        <xdr:sp macro="" textlink="">
          <xdr:nvSpPr>
            <xdr:cNvPr id="0" name=""/>
            <xdr:cNvSpPr>
              <a:spLocks noTextEdit="1"/>
            </xdr:cNvSpPr>
          </xdr:nvSpPr>
          <xdr:spPr>
            <a:xfrm>
              <a:off x="404744" y="1530541"/>
              <a:ext cx="1828800" cy="2511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385506</xdr:colOff>
      <xdr:row>22</xdr:row>
      <xdr:rowOff>56384</xdr:rowOff>
    </xdr:from>
    <xdr:to>
      <xdr:col>3</xdr:col>
      <xdr:colOff>424961</xdr:colOff>
      <xdr:row>30</xdr:row>
      <xdr:rowOff>73273</xdr:rowOff>
    </xdr:to>
    <mc:AlternateContent xmlns:mc="http://schemas.openxmlformats.org/markup-compatibility/2006">
      <mc:Choice xmlns:a14="http://schemas.microsoft.com/office/drawing/2010/main" Requires="a14">
        <xdr:graphicFrame macro="">
          <xdr:nvGraphicFramePr>
            <xdr:cNvPr id="18" name="Section 1">
              <a:extLst>
                <a:ext uri="{FF2B5EF4-FFF2-40B4-BE49-F238E27FC236}">
                  <a16:creationId xmlns:a16="http://schemas.microsoft.com/office/drawing/2014/main" id="{8CF7D453-A805-42A9-9653-CA9960730393}"/>
                </a:ext>
              </a:extLst>
            </xdr:cNvPr>
            <xdr:cNvGraphicFramePr/>
          </xdr:nvGraphicFramePr>
          <xdr:xfrm>
            <a:off x="0" y="0"/>
            <a:ext cx="0" cy="0"/>
          </xdr:xfrm>
          <a:graphic>
            <a:graphicData uri="http://schemas.microsoft.com/office/drawing/2010/slicer">
              <sle:slicer xmlns:sle="http://schemas.microsoft.com/office/drawing/2010/slicer" name="Section 1"/>
            </a:graphicData>
          </a:graphic>
        </xdr:graphicFrame>
      </mc:Choice>
      <mc:Fallback>
        <xdr:sp macro="" textlink="">
          <xdr:nvSpPr>
            <xdr:cNvPr id="0" name=""/>
            <xdr:cNvSpPr>
              <a:spLocks noTextEdit="1"/>
            </xdr:cNvSpPr>
          </xdr:nvSpPr>
          <xdr:spPr>
            <a:xfrm>
              <a:off x="385506" y="4154251"/>
              <a:ext cx="1868255" cy="15070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405308</xdr:colOff>
      <xdr:row>48</xdr:row>
      <xdr:rowOff>102254</xdr:rowOff>
    </xdr:from>
    <xdr:to>
      <xdr:col>3</xdr:col>
      <xdr:colOff>405307</xdr:colOff>
      <xdr:row>53</xdr:row>
      <xdr:rowOff>117234</xdr:rowOff>
    </xdr:to>
    <mc:AlternateContent xmlns:mc="http://schemas.openxmlformats.org/markup-compatibility/2006">
      <mc:Choice xmlns:a14="http://schemas.microsoft.com/office/drawing/2010/main" Requires="a14">
        <xdr:graphicFrame macro="">
          <xdr:nvGraphicFramePr>
            <xdr:cNvPr id="19" name="Gender 1">
              <a:extLst>
                <a:ext uri="{FF2B5EF4-FFF2-40B4-BE49-F238E27FC236}">
                  <a16:creationId xmlns:a16="http://schemas.microsoft.com/office/drawing/2014/main" id="{A614F7F2-133E-412C-AB71-7D9230C4F55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405308" y="9043054"/>
              <a:ext cx="1828799" cy="946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402461</xdr:colOff>
      <xdr:row>36</xdr:row>
      <xdr:rowOff>113502</xdr:rowOff>
    </xdr:from>
    <xdr:to>
      <xdr:col>3</xdr:col>
      <xdr:colOff>402461</xdr:colOff>
      <xdr:row>47</xdr:row>
      <xdr:rowOff>117235</xdr:rowOff>
    </xdr:to>
    <mc:AlternateContent xmlns:mc="http://schemas.openxmlformats.org/markup-compatibility/2006">
      <mc:Choice xmlns:a14="http://schemas.microsoft.com/office/drawing/2010/main" Requires="a14">
        <xdr:graphicFrame macro="">
          <xdr:nvGraphicFramePr>
            <xdr:cNvPr id="20" name="Grade 1">
              <a:extLst>
                <a:ext uri="{FF2B5EF4-FFF2-40B4-BE49-F238E27FC236}">
                  <a16:creationId xmlns:a16="http://schemas.microsoft.com/office/drawing/2014/main" id="{CA8137A6-392A-4AC7-8B72-11C9E902A9B7}"/>
                </a:ext>
              </a:extLst>
            </xdr:cNvPr>
            <xdr:cNvGraphicFramePr/>
          </xdr:nvGraphicFramePr>
          <xdr:xfrm>
            <a:off x="0" y="0"/>
            <a:ext cx="0" cy="0"/>
          </xdr:xfrm>
          <a:graphic>
            <a:graphicData uri="http://schemas.microsoft.com/office/drawing/2010/slicer">
              <sle:slicer xmlns:sle="http://schemas.microsoft.com/office/drawing/2010/slicer" name="Grade 1"/>
            </a:graphicData>
          </a:graphic>
        </xdr:graphicFrame>
      </mc:Choice>
      <mc:Fallback>
        <xdr:sp macro="" textlink="">
          <xdr:nvSpPr>
            <xdr:cNvPr id="0" name=""/>
            <xdr:cNvSpPr>
              <a:spLocks noTextEdit="1"/>
            </xdr:cNvSpPr>
          </xdr:nvSpPr>
          <xdr:spPr>
            <a:xfrm>
              <a:off x="402461" y="6819102"/>
              <a:ext cx="1828800" cy="2052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407491</xdr:colOff>
      <xdr:row>54</xdr:row>
      <xdr:rowOff>55485</xdr:rowOff>
    </xdr:from>
    <xdr:to>
      <xdr:col>3</xdr:col>
      <xdr:colOff>407492</xdr:colOff>
      <xdr:row>59</xdr:row>
      <xdr:rowOff>58618</xdr:rowOff>
    </xdr:to>
    <mc:AlternateContent xmlns:mc="http://schemas.openxmlformats.org/markup-compatibility/2006">
      <mc:Choice xmlns:a14="http://schemas.microsoft.com/office/drawing/2010/main" Requires="a14">
        <xdr:graphicFrame macro="">
          <xdr:nvGraphicFramePr>
            <xdr:cNvPr id="21" name="Fee_Status 1">
              <a:extLst>
                <a:ext uri="{FF2B5EF4-FFF2-40B4-BE49-F238E27FC236}">
                  <a16:creationId xmlns:a16="http://schemas.microsoft.com/office/drawing/2014/main" id="{052FD165-6763-4BA6-8A6F-D1C9B2AC13E1}"/>
                </a:ext>
              </a:extLst>
            </xdr:cNvPr>
            <xdr:cNvGraphicFramePr/>
          </xdr:nvGraphicFramePr>
          <xdr:xfrm>
            <a:off x="0" y="0"/>
            <a:ext cx="0" cy="0"/>
          </xdr:xfrm>
          <a:graphic>
            <a:graphicData uri="http://schemas.microsoft.com/office/drawing/2010/slicer">
              <sle:slicer xmlns:sle="http://schemas.microsoft.com/office/drawing/2010/slicer" name="Fee_Status 1"/>
            </a:graphicData>
          </a:graphic>
        </xdr:graphicFrame>
      </mc:Choice>
      <mc:Fallback>
        <xdr:sp macro="" textlink="">
          <xdr:nvSpPr>
            <xdr:cNvPr id="0" name=""/>
            <xdr:cNvSpPr>
              <a:spLocks noTextEdit="1"/>
            </xdr:cNvSpPr>
          </xdr:nvSpPr>
          <xdr:spPr>
            <a:xfrm>
              <a:off x="407491" y="10113885"/>
              <a:ext cx="1828801" cy="934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409868</xdr:colOff>
      <xdr:row>31</xdr:row>
      <xdr:rowOff>5873</xdr:rowOff>
    </xdr:from>
    <xdr:to>
      <xdr:col>3</xdr:col>
      <xdr:colOff>409868</xdr:colOff>
      <xdr:row>36</xdr:row>
      <xdr:rowOff>14654</xdr:rowOff>
    </xdr:to>
    <mc:AlternateContent xmlns:mc="http://schemas.openxmlformats.org/markup-compatibility/2006">
      <mc:Choice xmlns:a14="http://schemas.microsoft.com/office/drawing/2010/main" Requires="a14">
        <xdr:graphicFrame macro="">
          <xdr:nvGraphicFramePr>
            <xdr:cNvPr id="22" name="Pass/Fail 1">
              <a:extLst>
                <a:ext uri="{FF2B5EF4-FFF2-40B4-BE49-F238E27FC236}">
                  <a16:creationId xmlns:a16="http://schemas.microsoft.com/office/drawing/2014/main" id="{9ADF2900-9ECF-4761-987D-A2205C2A9E85}"/>
                </a:ext>
              </a:extLst>
            </xdr:cNvPr>
            <xdr:cNvGraphicFramePr/>
          </xdr:nvGraphicFramePr>
          <xdr:xfrm>
            <a:off x="0" y="0"/>
            <a:ext cx="0" cy="0"/>
          </xdr:xfrm>
          <a:graphic>
            <a:graphicData uri="http://schemas.microsoft.com/office/drawing/2010/slicer">
              <sle:slicer xmlns:sle="http://schemas.microsoft.com/office/drawing/2010/slicer" name="Pass/Fail 1"/>
            </a:graphicData>
          </a:graphic>
        </xdr:graphicFrame>
      </mc:Choice>
      <mc:Fallback>
        <xdr:sp macro="" textlink="">
          <xdr:nvSpPr>
            <xdr:cNvPr id="0" name=""/>
            <xdr:cNvSpPr>
              <a:spLocks noTextEdit="1"/>
            </xdr:cNvSpPr>
          </xdr:nvSpPr>
          <xdr:spPr>
            <a:xfrm>
              <a:off x="409868" y="5780140"/>
              <a:ext cx="1828800" cy="940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108540</xdr:colOff>
      <xdr:row>8</xdr:row>
      <xdr:rowOff>16138</xdr:rowOff>
    </xdr:from>
    <xdr:to>
      <xdr:col>13</xdr:col>
      <xdr:colOff>462314</xdr:colOff>
      <xdr:row>15</xdr:row>
      <xdr:rowOff>43966</xdr:rowOff>
    </xdr:to>
    <xdr:grpSp>
      <xdr:nvGrpSpPr>
        <xdr:cNvPr id="37" name="Group 36">
          <a:extLst>
            <a:ext uri="{FF2B5EF4-FFF2-40B4-BE49-F238E27FC236}">
              <a16:creationId xmlns:a16="http://schemas.microsoft.com/office/drawing/2014/main" id="{EBBAA47C-DD6F-26EF-CB26-81723AB103CD}"/>
            </a:ext>
          </a:extLst>
        </xdr:cNvPr>
        <xdr:cNvGrpSpPr/>
      </xdr:nvGrpSpPr>
      <xdr:grpSpPr>
        <a:xfrm>
          <a:off x="5594940" y="1506271"/>
          <a:ext cx="2792174" cy="1331695"/>
          <a:chOff x="3916947" y="909052"/>
          <a:chExt cx="2224906" cy="975895"/>
        </a:xfrm>
      </xdr:grpSpPr>
      <xdr:sp macro="" textlink="">
        <xdr:nvSpPr>
          <xdr:cNvPr id="29" name="Rectangle: Rounded Corners 28">
            <a:extLst>
              <a:ext uri="{FF2B5EF4-FFF2-40B4-BE49-F238E27FC236}">
                <a16:creationId xmlns:a16="http://schemas.microsoft.com/office/drawing/2014/main" id="{2C94EE6B-B22D-49F9-B641-9CFA7BF1BABA}"/>
              </a:ext>
            </a:extLst>
          </xdr:cNvPr>
          <xdr:cNvSpPr/>
        </xdr:nvSpPr>
        <xdr:spPr>
          <a:xfrm>
            <a:off x="3916947" y="909052"/>
            <a:ext cx="2224906" cy="975895"/>
          </a:xfrm>
          <a:prstGeom prst="roundRect">
            <a:avLst/>
          </a:prstGeom>
          <a:solidFill>
            <a:srgbClr val="70AD4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800" b="1">
                <a:latin typeface="Times New Roman" panose="02020603050405020304" pitchFamily="18" charset="0"/>
                <a:cs typeface="Times New Roman" panose="02020603050405020304" pitchFamily="18" charset="0"/>
              </a:rPr>
              <a:t>Pass Percentage</a:t>
            </a:r>
          </a:p>
        </xdr:txBody>
      </xdr:sp>
      <xdr:sp macro="" textlink="'School Dataset'!X6">
        <xdr:nvSpPr>
          <xdr:cNvPr id="30" name="TextBox 29">
            <a:extLst>
              <a:ext uri="{FF2B5EF4-FFF2-40B4-BE49-F238E27FC236}">
                <a16:creationId xmlns:a16="http://schemas.microsoft.com/office/drawing/2014/main" id="{C96FB969-8205-4D31-85C0-DE9DA4B77C42}"/>
              </a:ext>
            </a:extLst>
          </xdr:cNvPr>
          <xdr:cNvSpPr txBox="1"/>
        </xdr:nvSpPr>
        <xdr:spPr>
          <a:xfrm>
            <a:off x="4958937" y="1256632"/>
            <a:ext cx="949459" cy="447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698BF7-5C2D-4906-B3F9-397B3B916FDD}" type="TxLink">
              <a:rPr lang="en-US" sz="2800" b="1" i="0" u="none" strike="noStrike">
                <a:solidFill>
                  <a:schemeClr val="bg1"/>
                </a:solidFill>
                <a:latin typeface="Times New Roman" panose="02020603050405020304" pitchFamily="18" charset="0"/>
                <a:ea typeface="Calibri"/>
                <a:cs typeface="Times New Roman" panose="02020603050405020304" pitchFamily="18" charset="0"/>
              </a:rPr>
              <a:t>92.1%</a:t>
            </a:fld>
            <a:endParaRPr lang="en-US" sz="2800" b="1">
              <a:solidFill>
                <a:schemeClr val="bg1"/>
              </a:solidFill>
              <a:latin typeface="Times New Roman" panose="02020603050405020304" pitchFamily="18" charset="0"/>
              <a:cs typeface="Times New Roman" panose="02020603050405020304" pitchFamily="18" charset="0"/>
            </a:endParaRPr>
          </a:p>
        </xdr:txBody>
      </xdr:sp>
      <xdr:sp macro="" textlink="">
        <xdr:nvSpPr>
          <xdr:cNvPr id="31" name="Rectangle: Rounded Corners 30">
            <a:extLst>
              <a:ext uri="{FF2B5EF4-FFF2-40B4-BE49-F238E27FC236}">
                <a16:creationId xmlns:a16="http://schemas.microsoft.com/office/drawing/2014/main" id="{A60B61CA-B21A-40CC-B6E0-A04A58F55783}"/>
              </a:ext>
            </a:extLst>
          </xdr:cNvPr>
          <xdr:cNvSpPr/>
        </xdr:nvSpPr>
        <xdr:spPr>
          <a:xfrm>
            <a:off x="4037262" y="1109578"/>
            <a:ext cx="601579" cy="567223"/>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3" name="Picture 32">
            <a:extLst>
              <a:ext uri="{FF2B5EF4-FFF2-40B4-BE49-F238E27FC236}">
                <a16:creationId xmlns:a16="http://schemas.microsoft.com/office/drawing/2014/main" id="{0874874D-45D5-6824-62BA-3DB88DABA95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077368" y="1136316"/>
            <a:ext cx="555841" cy="548105"/>
          </a:xfrm>
          <a:prstGeom prst="rect">
            <a:avLst/>
          </a:prstGeom>
        </xdr:spPr>
      </xdr:pic>
    </xdr:grpSp>
    <xdr:clientData/>
  </xdr:twoCellAnchor>
  <xdr:twoCellAnchor>
    <xdr:from>
      <xdr:col>3</xdr:col>
      <xdr:colOff>601198</xdr:colOff>
      <xdr:row>8</xdr:row>
      <xdr:rowOff>27528</xdr:rowOff>
    </xdr:from>
    <xdr:to>
      <xdr:col>8</xdr:col>
      <xdr:colOff>331891</xdr:colOff>
      <xdr:row>15</xdr:row>
      <xdr:rowOff>56605</xdr:rowOff>
    </xdr:to>
    <xdr:grpSp>
      <xdr:nvGrpSpPr>
        <xdr:cNvPr id="36" name="Group 35">
          <a:extLst>
            <a:ext uri="{FF2B5EF4-FFF2-40B4-BE49-F238E27FC236}">
              <a16:creationId xmlns:a16="http://schemas.microsoft.com/office/drawing/2014/main" id="{DA12925A-9749-82B6-C53B-5EC65344C66F}"/>
            </a:ext>
          </a:extLst>
        </xdr:cNvPr>
        <xdr:cNvGrpSpPr/>
      </xdr:nvGrpSpPr>
      <xdr:grpSpPr>
        <a:xfrm>
          <a:off x="2429998" y="1517661"/>
          <a:ext cx="2778693" cy="1332944"/>
          <a:chOff x="1109578" y="895684"/>
          <a:chExt cx="2224906" cy="975895"/>
        </a:xfrm>
      </xdr:grpSpPr>
      <xdr:grpSp>
        <xdr:nvGrpSpPr>
          <xdr:cNvPr id="28" name="Group 27">
            <a:extLst>
              <a:ext uri="{FF2B5EF4-FFF2-40B4-BE49-F238E27FC236}">
                <a16:creationId xmlns:a16="http://schemas.microsoft.com/office/drawing/2014/main" id="{E6195A8E-19C8-4A73-F11E-F75D5BA9308E}"/>
              </a:ext>
            </a:extLst>
          </xdr:cNvPr>
          <xdr:cNvGrpSpPr/>
        </xdr:nvGrpSpPr>
        <xdr:grpSpPr>
          <a:xfrm>
            <a:off x="1109578" y="895684"/>
            <a:ext cx="2224906" cy="975895"/>
            <a:chOff x="2687051" y="1229895"/>
            <a:chExt cx="2224906" cy="975895"/>
          </a:xfrm>
        </xdr:grpSpPr>
        <xdr:sp macro="" textlink="">
          <xdr:nvSpPr>
            <xdr:cNvPr id="23" name="Rectangle: Rounded Corners 22">
              <a:extLst>
                <a:ext uri="{FF2B5EF4-FFF2-40B4-BE49-F238E27FC236}">
                  <a16:creationId xmlns:a16="http://schemas.microsoft.com/office/drawing/2014/main" id="{847F3915-4BD5-64C0-11EE-C3794D4E695B}"/>
                </a:ext>
              </a:extLst>
            </xdr:cNvPr>
            <xdr:cNvSpPr/>
          </xdr:nvSpPr>
          <xdr:spPr>
            <a:xfrm>
              <a:off x="2687051" y="1229895"/>
              <a:ext cx="2224906" cy="975895"/>
            </a:xfrm>
            <a:prstGeom prst="roundRect">
              <a:avLst/>
            </a:prstGeom>
            <a:solidFill>
              <a:srgbClr val="4472C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800" b="1">
                  <a:latin typeface="Times New Roman" panose="02020603050405020304" pitchFamily="18" charset="0"/>
                  <a:cs typeface="Times New Roman" panose="02020603050405020304" pitchFamily="18" charset="0"/>
                </a:rPr>
                <a:t>Total Students</a:t>
              </a:r>
            </a:p>
          </xdr:txBody>
        </xdr:sp>
        <xdr:sp macro="" textlink="'School Dataset'!X3">
          <xdr:nvSpPr>
            <xdr:cNvPr id="24" name="TextBox 23">
              <a:extLst>
                <a:ext uri="{FF2B5EF4-FFF2-40B4-BE49-F238E27FC236}">
                  <a16:creationId xmlns:a16="http://schemas.microsoft.com/office/drawing/2014/main" id="{5AADAAD5-1CC3-F836-81F9-72E0FCB230C7}"/>
                </a:ext>
              </a:extLst>
            </xdr:cNvPr>
            <xdr:cNvSpPr txBox="1"/>
          </xdr:nvSpPr>
          <xdr:spPr>
            <a:xfrm>
              <a:off x="3756527" y="1590839"/>
              <a:ext cx="815474" cy="353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4DEB2D-8F00-4A64-B6F7-193A01988540}" type="TxLink">
                <a:rPr lang="en-US" sz="2800" b="1" i="0" u="none" strike="noStrike">
                  <a:solidFill>
                    <a:schemeClr val="bg1"/>
                  </a:solidFill>
                  <a:latin typeface="Times New Roman" panose="02020603050405020304" pitchFamily="18" charset="0"/>
                  <a:ea typeface="Calibri"/>
                  <a:cs typeface="Times New Roman" panose="02020603050405020304" pitchFamily="18" charset="0"/>
                </a:rPr>
                <a:t>2000</a:t>
              </a:fld>
              <a:endParaRPr lang="en-US" sz="2800" b="1">
                <a:solidFill>
                  <a:schemeClr val="bg1"/>
                </a:solidFill>
                <a:latin typeface="Times New Roman" panose="02020603050405020304" pitchFamily="18" charset="0"/>
                <a:cs typeface="Times New Roman" panose="02020603050405020304" pitchFamily="18" charset="0"/>
              </a:endParaRPr>
            </a:p>
          </xdr:txBody>
        </xdr:sp>
        <xdr:sp macro="" textlink="">
          <xdr:nvSpPr>
            <xdr:cNvPr id="25" name="Rectangle: Rounded Corners 24">
              <a:extLst>
                <a:ext uri="{FF2B5EF4-FFF2-40B4-BE49-F238E27FC236}">
                  <a16:creationId xmlns:a16="http://schemas.microsoft.com/office/drawing/2014/main" id="{CFB1EE26-398E-B1EB-0FB7-122EDC8625ED}"/>
                </a:ext>
              </a:extLst>
            </xdr:cNvPr>
            <xdr:cNvSpPr/>
          </xdr:nvSpPr>
          <xdr:spPr>
            <a:xfrm>
              <a:off x="2807368" y="1443788"/>
              <a:ext cx="601579" cy="574843"/>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pic>
        <xdr:nvPicPr>
          <xdr:cNvPr id="35" name="Picture 34">
            <a:extLst>
              <a:ext uri="{FF2B5EF4-FFF2-40B4-BE49-F238E27FC236}">
                <a16:creationId xmlns:a16="http://schemas.microsoft.com/office/drawing/2014/main" id="{F2F00D49-E0E3-DD36-9956-79F013D5D24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flipH="1">
            <a:off x="1237229" y="1149685"/>
            <a:ext cx="581619" cy="467894"/>
          </a:xfrm>
          <a:prstGeom prst="rect">
            <a:avLst/>
          </a:prstGeom>
        </xdr:spPr>
      </xdr:pic>
    </xdr:grpSp>
    <xdr:clientData/>
  </xdr:twoCellAnchor>
  <xdr:twoCellAnchor>
    <xdr:from>
      <xdr:col>14</xdr:col>
      <xdr:colOff>270714</xdr:colOff>
      <xdr:row>7</xdr:row>
      <xdr:rowOff>170249</xdr:rowOff>
    </xdr:from>
    <xdr:to>
      <xdr:col>19</xdr:col>
      <xdr:colOff>1407</xdr:colOff>
      <xdr:row>15</xdr:row>
      <xdr:rowOff>23480</xdr:rowOff>
    </xdr:to>
    <xdr:grpSp>
      <xdr:nvGrpSpPr>
        <xdr:cNvPr id="50" name="Group 49">
          <a:extLst>
            <a:ext uri="{FF2B5EF4-FFF2-40B4-BE49-F238E27FC236}">
              <a16:creationId xmlns:a16="http://schemas.microsoft.com/office/drawing/2014/main" id="{EE776E2C-9125-BBC2-1BC1-89F3A70E1BD5}"/>
            </a:ext>
          </a:extLst>
        </xdr:cNvPr>
        <xdr:cNvGrpSpPr/>
      </xdr:nvGrpSpPr>
      <xdr:grpSpPr>
        <a:xfrm>
          <a:off x="8805114" y="1474116"/>
          <a:ext cx="2778693" cy="1343364"/>
          <a:chOff x="6510421" y="868947"/>
          <a:chExt cx="2224906" cy="975895"/>
        </a:xfrm>
      </xdr:grpSpPr>
      <xdr:sp macro="" textlink="">
        <xdr:nvSpPr>
          <xdr:cNvPr id="43" name="Rectangle: Rounded Corners 42">
            <a:extLst>
              <a:ext uri="{FF2B5EF4-FFF2-40B4-BE49-F238E27FC236}">
                <a16:creationId xmlns:a16="http://schemas.microsoft.com/office/drawing/2014/main" id="{64EA15F6-B958-49D0-8375-B79EF287FE20}"/>
              </a:ext>
            </a:extLst>
          </xdr:cNvPr>
          <xdr:cNvSpPr/>
        </xdr:nvSpPr>
        <xdr:spPr>
          <a:xfrm>
            <a:off x="6510421" y="868947"/>
            <a:ext cx="2224906" cy="975895"/>
          </a:xfrm>
          <a:prstGeom prst="roundRect">
            <a:avLst/>
          </a:prstGeom>
          <a:solidFill>
            <a:srgbClr val="ED7D3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800" b="1">
                <a:latin typeface="Times New Roman" panose="02020603050405020304" pitchFamily="18" charset="0"/>
                <a:cs typeface="Times New Roman" panose="02020603050405020304" pitchFamily="18" charset="0"/>
              </a:rPr>
              <a:t>Avg Attendance</a:t>
            </a:r>
          </a:p>
        </xdr:txBody>
      </xdr:sp>
      <xdr:sp macro="" textlink="'School Dataset'!X4">
        <xdr:nvSpPr>
          <xdr:cNvPr id="44" name="TextBox 43">
            <a:extLst>
              <a:ext uri="{FF2B5EF4-FFF2-40B4-BE49-F238E27FC236}">
                <a16:creationId xmlns:a16="http://schemas.microsoft.com/office/drawing/2014/main" id="{FC38212A-3207-4E46-9DB6-0251792E4A66}"/>
              </a:ext>
            </a:extLst>
          </xdr:cNvPr>
          <xdr:cNvSpPr txBox="1"/>
        </xdr:nvSpPr>
        <xdr:spPr>
          <a:xfrm>
            <a:off x="7459578" y="1243262"/>
            <a:ext cx="1111919" cy="414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62A041-995F-4286-84E4-A67ED785A9E2}" type="TxLink">
              <a:rPr lang="en-US" sz="2800" b="1" i="0" u="none" strike="noStrike">
                <a:solidFill>
                  <a:schemeClr val="bg1"/>
                </a:solidFill>
                <a:latin typeface="Times New Roman" panose="02020603050405020304" pitchFamily="18" charset="0"/>
                <a:ea typeface="Calibri"/>
                <a:cs typeface="Times New Roman" panose="02020603050405020304" pitchFamily="18" charset="0"/>
              </a:rPr>
              <a:t>79.89%</a:t>
            </a:fld>
            <a:endParaRPr lang="en-US" sz="2800" b="1">
              <a:solidFill>
                <a:schemeClr val="bg1"/>
              </a:solidFill>
              <a:latin typeface="Times New Roman" panose="02020603050405020304" pitchFamily="18" charset="0"/>
              <a:cs typeface="Times New Roman" panose="02020603050405020304" pitchFamily="18" charset="0"/>
            </a:endParaRPr>
          </a:p>
        </xdr:txBody>
      </xdr:sp>
      <xdr:sp macro="" textlink="">
        <xdr:nvSpPr>
          <xdr:cNvPr id="47" name="Rectangle: Rounded Corners 46">
            <a:extLst>
              <a:ext uri="{FF2B5EF4-FFF2-40B4-BE49-F238E27FC236}">
                <a16:creationId xmlns:a16="http://schemas.microsoft.com/office/drawing/2014/main" id="{771BCAAB-136F-4173-9CE2-B0C3D99D09D1}"/>
              </a:ext>
            </a:extLst>
          </xdr:cNvPr>
          <xdr:cNvSpPr/>
        </xdr:nvSpPr>
        <xdr:spPr>
          <a:xfrm>
            <a:off x="6617368" y="1082841"/>
            <a:ext cx="601579" cy="582463"/>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49" name="Picture 48">
            <a:extLst>
              <a:ext uri="{FF2B5EF4-FFF2-40B4-BE49-F238E27FC236}">
                <a16:creationId xmlns:a16="http://schemas.microsoft.com/office/drawing/2014/main" id="{A0D31069-8D2C-91F1-EC78-FF975B918EB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653701" y="1109579"/>
            <a:ext cx="565597" cy="494632"/>
          </a:xfrm>
          <a:prstGeom prst="rect">
            <a:avLst/>
          </a:prstGeom>
        </xdr:spPr>
      </xdr:pic>
    </xdr:grpSp>
    <xdr:clientData/>
  </xdr:twoCellAnchor>
  <xdr:twoCellAnchor>
    <xdr:from>
      <xdr:col>19</xdr:col>
      <xdr:colOff>339910</xdr:colOff>
      <xdr:row>8</xdr:row>
      <xdr:rowOff>17799</xdr:rowOff>
    </xdr:from>
    <xdr:to>
      <xdr:col>24</xdr:col>
      <xdr:colOff>70602</xdr:colOff>
      <xdr:row>15</xdr:row>
      <xdr:rowOff>46876</xdr:rowOff>
    </xdr:to>
    <xdr:grpSp>
      <xdr:nvGrpSpPr>
        <xdr:cNvPr id="57" name="Group 56">
          <a:extLst>
            <a:ext uri="{FF2B5EF4-FFF2-40B4-BE49-F238E27FC236}">
              <a16:creationId xmlns:a16="http://schemas.microsoft.com/office/drawing/2014/main" id="{B49AFC2F-3A6E-231C-75EB-2EE2E1195EC5}"/>
            </a:ext>
          </a:extLst>
        </xdr:cNvPr>
        <xdr:cNvGrpSpPr/>
      </xdr:nvGrpSpPr>
      <xdr:grpSpPr>
        <a:xfrm>
          <a:off x="11922310" y="1507932"/>
          <a:ext cx="2778692" cy="1332944"/>
          <a:chOff x="9015664" y="931613"/>
          <a:chExt cx="2203516" cy="944980"/>
        </a:xfrm>
      </xdr:grpSpPr>
      <xdr:sp macro="" textlink="">
        <xdr:nvSpPr>
          <xdr:cNvPr id="51" name="Rectangle: Rounded Corners 50">
            <a:extLst>
              <a:ext uri="{FF2B5EF4-FFF2-40B4-BE49-F238E27FC236}">
                <a16:creationId xmlns:a16="http://schemas.microsoft.com/office/drawing/2014/main" id="{37886F6D-0804-4260-9DAF-3E17F7CA3FD0}"/>
              </a:ext>
            </a:extLst>
          </xdr:cNvPr>
          <xdr:cNvSpPr/>
        </xdr:nvSpPr>
        <xdr:spPr>
          <a:xfrm>
            <a:off x="9015664" y="931613"/>
            <a:ext cx="2203516" cy="944980"/>
          </a:xfrm>
          <a:prstGeom prst="roundRect">
            <a:avLst/>
          </a:prstGeom>
          <a:solidFill>
            <a:srgbClr val="8064A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600" b="1">
                <a:latin typeface="Times New Roman" panose="02020603050405020304" pitchFamily="18" charset="0"/>
                <a:cs typeface="Times New Roman" panose="02020603050405020304" pitchFamily="18" charset="0"/>
              </a:rPr>
              <a:t>Avg Subject Marks</a:t>
            </a:r>
          </a:p>
        </xdr:txBody>
      </xdr:sp>
      <xdr:sp macro="" textlink="'School Dataset'!X5">
        <xdr:nvSpPr>
          <xdr:cNvPr id="52" name="TextBox 51">
            <a:extLst>
              <a:ext uri="{FF2B5EF4-FFF2-40B4-BE49-F238E27FC236}">
                <a16:creationId xmlns:a16="http://schemas.microsoft.com/office/drawing/2014/main" id="{72B7834C-E08D-48AB-BDF4-25E1F0A09A1D}"/>
              </a:ext>
            </a:extLst>
          </xdr:cNvPr>
          <xdr:cNvSpPr txBox="1"/>
        </xdr:nvSpPr>
        <xdr:spPr>
          <a:xfrm>
            <a:off x="10061612" y="1266825"/>
            <a:ext cx="967297" cy="388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100194-2BD2-4A04-8BA4-7234D6CBE70F}" type="TxLink">
              <a:rPr lang="en-US" sz="2800" b="1" i="0" u="none" strike="noStrike">
                <a:solidFill>
                  <a:schemeClr val="bg1"/>
                </a:solidFill>
                <a:latin typeface="Times New Roman" panose="02020603050405020304" pitchFamily="18" charset="0"/>
                <a:ea typeface="Calibri"/>
                <a:cs typeface="Times New Roman" panose="02020603050405020304" pitchFamily="18" charset="0"/>
              </a:rPr>
              <a:t>67.62</a:t>
            </a:fld>
            <a:endParaRPr lang="en-US" sz="2800" b="1">
              <a:solidFill>
                <a:schemeClr val="bg1"/>
              </a:solidFill>
              <a:latin typeface="Times New Roman" panose="02020603050405020304" pitchFamily="18" charset="0"/>
              <a:cs typeface="Times New Roman" panose="02020603050405020304" pitchFamily="18" charset="0"/>
            </a:endParaRPr>
          </a:p>
        </xdr:txBody>
      </xdr:sp>
      <xdr:sp macro="" textlink="">
        <xdr:nvSpPr>
          <xdr:cNvPr id="54" name="Rectangle: Rounded Corners 53">
            <a:extLst>
              <a:ext uri="{FF2B5EF4-FFF2-40B4-BE49-F238E27FC236}">
                <a16:creationId xmlns:a16="http://schemas.microsoft.com/office/drawing/2014/main" id="{8B4E57C5-CCC8-41B3-A504-D6E4BF8ADAE2}"/>
              </a:ext>
            </a:extLst>
          </xdr:cNvPr>
          <xdr:cNvSpPr/>
        </xdr:nvSpPr>
        <xdr:spPr>
          <a:xfrm>
            <a:off x="9144000" y="1112587"/>
            <a:ext cx="601579" cy="563914"/>
          </a:xfrm>
          <a:prstGeom prst="roundRect">
            <a:avLst>
              <a:gd name="adj" fmla="val 28143"/>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56" name="Picture 55">
            <a:extLst>
              <a:ext uri="{FF2B5EF4-FFF2-40B4-BE49-F238E27FC236}">
                <a16:creationId xmlns:a16="http://schemas.microsoft.com/office/drawing/2014/main" id="{453DF3D9-B828-D7ED-1AC1-927910DDDEF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204960" y="1162050"/>
            <a:ext cx="493776" cy="457200"/>
          </a:xfrm>
          <a:prstGeom prst="rect">
            <a:avLst/>
          </a:prstGeom>
        </xdr:spPr>
      </xdr:pic>
    </xdr:grpSp>
    <xdr:clientData/>
  </xdr:twoCellAnchor>
  <xdr:twoCellAnchor>
    <xdr:from>
      <xdr:col>24</xdr:col>
      <xdr:colOff>430038</xdr:colOff>
      <xdr:row>8</xdr:row>
      <xdr:rowOff>26331</xdr:rowOff>
    </xdr:from>
    <xdr:to>
      <xdr:col>29</xdr:col>
      <xdr:colOff>153110</xdr:colOff>
      <xdr:row>15</xdr:row>
      <xdr:rowOff>55408</xdr:rowOff>
    </xdr:to>
    <xdr:grpSp>
      <xdr:nvGrpSpPr>
        <xdr:cNvPr id="63" name="Group 62">
          <a:extLst>
            <a:ext uri="{FF2B5EF4-FFF2-40B4-BE49-F238E27FC236}">
              <a16:creationId xmlns:a16="http://schemas.microsoft.com/office/drawing/2014/main" id="{B1AA5047-38A2-1154-ECD1-D61A6719EDCA}"/>
            </a:ext>
          </a:extLst>
        </xdr:cNvPr>
        <xdr:cNvGrpSpPr/>
      </xdr:nvGrpSpPr>
      <xdr:grpSpPr>
        <a:xfrm>
          <a:off x="15060438" y="1516464"/>
          <a:ext cx="2771072" cy="1332944"/>
          <a:chOff x="10877550" y="981075"/>
          <a:chExt cx="2203516" cy="944980"/>
        </a:xfrm>
      </xdr:grpSpPr>
      <xdr:sp macro="" textlink="">
        <xdr:nvSpPr>
          <xdr:cNvPr id="58" name="Rectangle: Rounded Corners 57">
            <a:extLst>
              <a:ext uri="{FF2B5EF4-FFF2-40B4-BE49-F238E27FC236}">
                <a16:creationId xmlns:a16="http://schemas.microsoft.com/office/drawing/2014/main" id="{00EF6E8B-09E6-48C1-80AF-925DCB9C51B2}"/>
              </a:ext>
            </a:extLst>
          </xdr:cNvPr>
          <xdr:cNvSpPr/>
        </xdr:nvSpPr>
        <xdr:spPr>
          <a:xfrm>
            <a:off x="10877550" y="981075"/>
            <a:ext cx="2203516" cy="944980"/>
          </a:xfrm>
          <a:prstGeom prst="roundRect">
            <a:avLst/>
          </a:prstGeom>
          <a:solidFill>
            <a:srgbClr val="C0504D"/>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600" b="1">
                <a:latin typeface="Times New Roman" panose="02020603050405020304" pitchFamily="18" charset="0"/>
                <a:cs typeface="Times New Roman" panose="02020603050405020304" pitchFamily="18" charset="0"/>
              </a:rPr>
              <a:t>Fees Collected</a:t>
            </a:r>
          </a:p>
        </xdr:txBody>
      </xdr:sp>
      <xdr:sp macro="" textlink="'School Dataset'!X7">
        <xdr:nvSpPr>
          <xdr:cNvPr id="59" name="TextBox 58">
            <a:extLst>
              <a:ext uri="{FF2B5EF4-FFF2-40B4-BE49-F238E27FC236}">
                <a16:creationId xmlns:a16="http://schemas.microsoft.com/office/drawing/2014/main" id="{CBF4711C-E086-47B8-9090-3506C3E000E9}"/>
              </a:ext>
            </a:extLst>
          </xdr:cNvPr>
          <xdr:cNvSpPr txBox="1"/>
        </xdr:nvSpPr>
        <xdr:spPr>
          <a:xfrm>
            <a:off x="11717444" y="1295400"/>
            <a:ext cx="1291222" cy="388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B1332E-9AF5-49FE-9530-64AED3A0E8DF}" type="TxLink">
              <a:rPr lang="en-US" sz="2400" b="1" i="0" u="none" strike="noStrike">
                <a:solidFill>
                  <a:schemeClr val="bg1"/>
                </a:solidFill>
                <a:latin typeface="Times New Roman" panose="02020603050405020304" pitchFamily="18" charset="0"/>
                <a:ea typeface="Calibri"/>
                <a:cs typeface="Times New Roman" panose="02020603050405020304" pitchFamily="18" charset="0"/>
              </a:rPr>
              <a:t>₹3.31 L</a:t>
            </a:fld>
            <a:endParaRPr lang="en-US" sz="2400" b="1">
              <a:solidFill>
                <a:schemeClr val="bg1"/>
              </a:solidFill>
              <a:latin typeface="Times New Roman" panose="02020603050405020304" pitchFamily="18" charset="0"/>
              <a:cs typeface="Times New Roman" panose="02020603050405020304" pitchFamily="18" charset="0"/>
            </a:endParaRPr>
          </a:p>
        </xdr:txBody>
      </xdr:sp>
      <xdr:sp macro="" textlink="">
        <xdr:nvSpPr>
          <xdr:cNvPr id="60" name="Rectangle: Rounded Corners 59">
            <a:extLst>
              <a:ext uri="{FF2B5EF4-FFF2-40B4-BE49-F238E27FC236}">
                <a16:creationId xmlns:a16="http://schemas.microsoft.com/office/drawing/2014/main" id="{F6A3D950-DBD3-470A-8177-5400866FE9A1}"/>
              </a:ext>
            </a:extLst>
          </xdr:cNvPr>
          <xdr:cNvSpPr/>
        </xdr:nvSpPr>
        <xdr:spPr>
          <a:xfrm>
            <a:off x="10972800" y="1162050"/>
            <a:ext cx="601579" cy="563914"/>
          </a:xfrm>
          <a:prstGeom prst="roundRect">
            <a:avLst>
              <a:gd name="adj" fmla="val 28143"/>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62" name="Picture 61">
            <a:extLst>
              <a:ext uri="{FF2B5EF4-FFF2-40B4-BE49-F238E27FC236}">
                <a16:creationId xmlns:a16="http://schemas.microsoft.com/office/drawing/2014/main" id="{C0921407-34DD-B0F9-4553-45B0382FB7B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014588" y="1228726"/>
            <a:ext cx="520188" cy="428624"/>
          </a:xfrm>
          <a:prstGeom prst="rect">
            <a:avLst/>
          </a:prstGeom>
        </xdr:spPr>
      </xdr:pic>
    </xdr:grpSp>
    <xdr:clientData/>
  </xdr:twoCellAnchor>
  <xdr:twoCellAnchor>
    <xdr:from>
      <xdr:col>12</xdr:col>
      <xdr:colOff>430019</xdr:colOff>
      <xdr:row>16</xdr:row>
      <xdr:rowOff>127337</xdr:rowOff>
    </xdr:from>
    <xdr:to>
      <xdr:col>21</xdr:col>
      <xdr:colOff>110865</xdr:colOff>
      <xdr:row>37</xdr:row>
      <xdr:rowOff>34567</xdr:rowOff>
    </xdr:to>
    <xdr:grpSp>
      <xdr:nvGrpSpPr>
        <xdr:cNvPr id="4096" name="Group 4095">
          <a:extLst>
            <a:ext uri="{FF2B5EF4-FFF2-40B4-BE49-F238E27FC236}">
              <a16:creationId xmlns:a16="http://schemas.microsoft.com/office/drawing/2014/main" id="{C1972958-E0A4-4469-878F-F132D3E93239}"/>
            </a:ext>
          </a:extLst>
        </xdr:cNvPr>
        <xdr:cNvGrpSpPr/>
      </xdr:nvGrpSpPr>
      <xdr:grpSpPr>
        <a:xfrm>
          <a:off x="7745219" y="3107604"/>
          <a:ext cx="5167246" cy="3818830"/>
          <a:chOff x="12516787" y="5996066"/>
          <a:chExt cx="2705086" cy="1851874"/>
        </a:xfrm>
      </xdr:grpSpPr>
      <xdr:sp macro="" textlink="">
        <xdr:nvSpPr>
          <xdr:cNvPr id="4098" name="Rectangle: Rounded Corners 4097">
            <a:extLst>
              <a:ext uri="{FF2B5EF4-FFF2-40B4-BE49-F238E27FC236}">
                <a16:creationId xmlns:a16="http://schemas.microsoft.com/office/drawing/2014/main" id="{472CA221-5D26-2EFE-6C05-F7E8A2B81543}"/>
              </a:ext>
            </a:extLst>
          </xdr:cNvPr>
          <xdr:cNvSpPr/>
        </xdr:nvSpPr>
        <xdr:spPr>
          <a:xfrm>
            <a:off x="12516787" y="5996066"/>
            <a:ext cx="2705086" cy="1851874"/>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099" name="Chart 4098">
            <a:extLst>
              <a:ext uri="{FF2B5EF4-FFF2-40B4-BE49-F238E27FC236}">
                <a16:creationId xmlns:a16="http://schemas.microsoft.com/office/drawing/2014/main" id="{7B177850-E969-C24D-0EF8-526833B450F2}"/>
              </a:ext>
            </a:extLst>
          </xdr:cNvPr>
          <xdr:cNvGraphicFramePr/>
        </xdr:nvGraphicFramePr>
        <xdr:xfrm>
          <a:off x="12566753" y="6008556"/>
          <a:ext cx="2573312" cy="1811311"/>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0</xdr:col>
      <xdr:colOff>372533</xdr:colOff>
      <xdr:row>1</xdr:row>
      <xdr:rowOff>50800</xdr:rowOff>
    </xdr:from>
    <xdr:to>
      <xdr:col>29</xdr:col>
      <xdr:colOff>118533</xdr:colOff>
      <xdr:row>6</xdr:row>
      <xdr:rowOff>135467</xdr:rowOff>
    </xdr:to>
    <xdr:sp macro="" textlink="">
      <xdr:nvSpPr>
        <xdr:cNvPr id="4100" name="Rectangle: Rounded Corners 4099">
          <a:extLst>
            <a:ext uri="{FF2B5EF4-FFF2-40B4-BE49-F238E27FC236}">
              <a16:creationId xmlns:a16="http://schemas.microsoft.com/office/drawing/2014/main" id="{1E08901A-4442-80EB-4E8C-65A4F650D2C3}"/>
            </a:ext>
          </a:extLst>
        </xdr:cNvPr>
        <xdr:cNvSpPr/>
      </xdr:nvSpPr>
      <xdr:spPr>
        <a:xfrm>
          <a:off x="372533" y="237067"/>
          <a:ext cx="17424400" cy="1016000"/>
        </a:xfrm>
        <a:prstGeom prst="roundRect">
          <a:avLst/>
        </a:prstGeom>
        <a:solidFill>
          <a:srgbClr val="1F4E78"/>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000" b="1">
              <a:latin typeface="Times New Roman" panose="02020603050405020304" pitchFamily="18" charset="0"/>
              <a:cs typeface="Times New Roman" panose="02020603050405020304" pitchFamily="18" charset="0"/>
            </a:rPr>
            <a:t>SCHOOL PERFORMANCE &amp; ATTENDANCE DASHBOARD </a:t>
          </a:r>
        </a:p>
      </xdr:txBody>
    </xdr:sp>
    <xdr:clientData/>
  </xdr:twoCellAnchor>
  <xdr:twoCellAnchor editAs="oneCell">
    <xdr:from>
      <xdr:col>0</xdr:col>
      <xdr:colOff>507999</xdr:colOff>
      <xdr:row>1</xdr:row>
      <xdr:rowOff>101600</xdr:rowOff>
    </xdr:from>
    <xdr:to>
      <xdr:col>6</xdr:col>
      <xdr:colOff>173816</xdr:colOff>
      <xdr:row>6</xdr:row>
      <xdr:rowOff>50801</xdr:rowOff>
    </xdr:to>
    <xdr:pic>
      <xdr:nvPicPr>
        <xdr:cNvPr id="4102" name="Picture 4101">
          <a:extLst>
            <a:ext uri="{FF2B5EF4-FFF2-40B4-BE49-F238E27FC236}">
              <a16:creationId xmlns:a16="http://schemas.microsoft.com/office/drawing/2014/main" id="{A44C5570-FEDD-D14F-A560-CAE52FAFBB7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07999" y="287867"/>
          <a:ext cx="3323417" cy="880534"/>
        </a:xfrm>
        <a:prstGeom prst="rect">
          <a:avLst/>
        </a:prstGeom>
      </xdr:spPr>
    </xdr:pic>
    <xdr:clientData/>
  </xdr:twoCellAnchor>
  <xdr:twoCellAnchor editAs="oneCell">
    <xdr:from>
      <xdr:col>24</xdr:col>
      <xdr:colOff>203202</xdr:colOff>
      <xdr:row>1</xdr:row>
      <xdr:rowOff>152399</xdr:rowOff>
    </xdr:from>
    <xdr:to>
      <xdr:col>27</xdr:col>
      <xdr:colOff>508001</xdr:colOff>
      <xdr:row>6</xdr:row>
      <xdr:rowOff>27030</xdr:rowOff>
    </xdr:to>
    <xdr:pic>
      <xdr:nvPicPr>
        <xdr:cNvPr id="4104" name="Picture 4103">
          <a:extLst>
            <a:ext uri="{FF2B5EF4-FFF2-40B4-BE49-F238E27FC236}">
              <a16:creationId xmlns:a16="http://schemas.microsoft.com/office/drawing/2014/main" id="{05F534CC-F587-797D-D067-1982E69737BF}"/>
            </a:ext>
          </a:extLst>
        </xdr:cNvPr>
        <xdr:cNvPicPr>
          <a:picLocks noChangeAspect="1"/>
        </xdr:cNvPicPr>
      </xdr:nvPicPr>
      <xdr:blipFill>
        <a:blip xmlns:r="http://schemas.openxmlformats.org/officeDocument/2006/relationships" r:embed="rId13">
          <a:extLst>
            <a:ext uri="{BEBA8EAE-BF5A-486C-A8C5-ECC9F3942E4B}">
              <a14:imgProps xmlns:a14="http://schemas.microsoft.com/office/drawing/2010/main">
                <a14:imgLayer r:embed="rId14">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14833602" y="338666"/>
          <a:ext cx="2133599" cy="80596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HESH P" refreshedDate="46185.897593981485" createdVersion="8" refreshedVersion="8" minRefreshableVersion="3" recordCount="2000" xr:uid="{7CF89AB6-93F5-49FA-91DD-DB8307F0F5FD}">
  <cacheSource type="worksheet">
    <worksheetSource ref="A1:U2001" sheet="School Dataset"/>
  </cacheSource>
  <cacheFields count="21">
    <cacheField name="Student_ID" numFmtId="0">
      <sharedItems count="2000">
        <s v="STU0001"/>
        <s v="STU0002"/>
        <s v="STU0003"/>
        <s v="STU0004"/>
        <s v="STU0005"/>
        <s v="STU0006"/>
        <s v="STU0007"/>
        <s v="STU0008"/>
        <s v="STU0009"/>
        <s v="STU0010"/>
        <s v="STU0011"/>
        <s v="STU0012"/>
        <s v="STU0013"/>
        <s v="STU0014"/>
        <s v="STU0015"/>
        <s v="STU0016"/>
        <s v="STU0017"/>
        <s v="STU0018"/>
        <s v="STU0019"/>
        <s v="STU0020"/>
        <s v="STU0021"/>
        <s v="STU0022"/>
        <s v="STU0023"/>
        <s v="STU0024"/>
        <s v="STU0025"/>
        <s v="STU0026"/>
        <s v="STU0027"/>
        <s v="STU0028"/>
        <s v="STU0029"/>
        <s v="STU0030"/>
        <s v="STU0031"/>
        <s v="STU0032"/>
        <s v="STU0033"/>
        <s v="STU0034"/>
        <s v="STU0035"/>
        <s v="STU0036"/>
        <s v="STU0037"/>
        <s v="STU0038"/>
        <s v="STU0039"/>
        <s v="STU0040"/>
        <s v="STU0041"/>
        <s v="STU0042"/>
        <s v="STU0043"/>
        <s v="STU0044"/>
        <s v="STU0045"/>
        <s v="STU0046"/>
        <s v="STU0047"/>
        <s v="STU0048"/>
        <s v="STU0049"/>
        <s v="STU0050"/>
        <s v="STU0051"/>
        <s v="STU0052"/>
        <s v="STU0053"/>
        <s v="STU0054"/>
        <s v="STU0055"/>
        <s v="STU0056"/>
        <s v="STU0057"/>
        <s v="STU0058"/>
        <s v="STU0059"/>
        <s v="STU0060"/>
        <s v="STU0061"/>
        <s v="STU0062"/>
        <s v="STU0063"/>
        <s v="STU0064"/>
        <s v="STU0065"/>
        <s v="STU0066"/>
        <s v="STU0067"/>
        <s v="STU0068"/>
        <s v="STU0069"/>
        <s v="STU0070"/>
        <s v="STU0071"/>
        <s v="STU0072"/>
        <s v="STU0073"/>
        <s v="STU0074"/>
        <s v="STU0075"/>
        <s v="STU0076"/>
        <s v="STU0077"/>
        <s v="STU0078"/>
        <s v="STU0079"/>
        <s v="STU0080"/>
        <s v="STU0081"/>
        <s v="STU0082"/>
        <s v="STU0083"/>
        <s v="STU0084"/>
        <s v="STU0085"/>
        <s v="STU0086"/>
        <s v="STU0087"/>
        <s v="STU0088"/>
        <s v="STU0089"/>
        <s v="STU0090"/>
        <s v="STU0091"/>
        <s v="STU0092"/>
        <s v="STU0093"/>
        <s v="STU0094"/>
        <s v="STU0095"/>
        <s v="STU0096"/>
        <s v="STU0097"/>
        <s v="STU0098"/>
        <s v="STU0099"/>
        <s v="STU0100"/>
        <s v="STU0101"/>
        <s v="STU0102"/>
        <s v="STU0103"/>
        <s v="STU0104"/>
        <s v="STU0105"/>
        <s v="STU0106"/>
        <s v="STU0107"/>
        <s v="STU0108"/>
        <s v="STU0109"/>
        <s v="STU0110"/>
        <s v="STU0111"/>
        <s v="STU0112"/>
        <s v="STU0113"/>
        <s v="STU0114"/>
        <s v="STU0115"/>
        <s v="STU0116"/>
        <s v="STU0117"/>
        <s v="STU0118"/>
        <s v="STU0119"/>
        <s v="STU0120"/>
        <s v="STU0121"/>
        <s v="STU0122"/>
        <s v="STU0123"/>
        <s v="STU0124"/>
        <s v="STU0125"/>
        <s v="STU0126"/>
        <s v="STU0127"/>
        <s v="STU0128"/>
        <s v="STU0129"/>
        <s v="STU0130"/>
        <s v="STU0131"/>
        <s v="STU0132"/>
        <s v="STU0133"/>
        <s v="STU0134"/>
        <s v="STU0135"/>
        <s v="STU0136"/>
        <s v="STU0137"/>
        <s v="STU0138"/>
        <s v="STU0139"/>
        <s v="STU0140"/>
        <s v="STU0141"/>
        <s v="STU0142"/>
        <s v="STU0143"/>
        <s v="STU0144"/>
        <s v="STU0145"/>
        <s v="STU0146"/>
        <s v="STU0147"/>
        <s v="STU0148"/>
        <s v="STU0149"/>
        <s v="STU0150"/>
        <s v="STU0151"/>
        <s v="STU0152"/>
        <s v="STU0153"/>
        <s v="STU0154"/>
        <s v="STU0155"/>
        <s v="STU0156"/>
        <s v="STU0157"/>
        <s v="STU0158"/>
        <s v="STU0159"/>
        <s v="STU0160"/>
        <s v="STU0161"/>
        <s v="STU0162"/>
        <s v="STU0163"/>
        <s v="STU0164"/>
        <s v="STU0165"/>
        <s v="STU0166"/>
        <s v="STU0167"/>
        <s v="STU0168"/>
        <s v="STU0169"/>
        <s v="STU0170"/>
        <s v="STU0171"/>
        <s v="STU0172"/>
        <s v="STU0173"/>
        <s v="STU0174"/>
        <s v="STU0175"/>
        <s v="STU0176"/>
        <s v="STU0177"/>
        <s v="STU0178"/>
        <s v="STU0179"/>
        <s v="STU0180"/>
        <s v="STU0181"/>
        <s v="STU0182"/>
        <s v="STU0183"/>
        <s v="STU0184"/>
        <s v="STU0185"/>
        <s v="STU0186"/>
        <s v="STU0187"/>
        <s v="STU0188"/>
        <s v="STU0189"/>
        <s v="STU0190"/>
        <s v="STU0191"/>
        <s v="STU0192"/>
        <s v="STU0193"/>
        <s v="STU0194"/>
        <s v="STU0195"/>
        <s v="STU0196"/>
        <s v="STU0197"/>
        <s v="STU0198"/>
        <s v="STU0199"/>
        <s v="STU0200"/>
        <s v="STU0201"/>
        <s v="STU0202"/>
        <s v="STU0203"/>
        <s v="STU0204"/>
        <s v="STU0205"/>
        <s v="STU0206"/>
        <s v="STU0207"/>
        <s v="STU0208"/>
        <s v="STU0209"/>
        <s v="STU0210"/>
        <s v="STU0211"/>
        <s v="STU0212"/>
        <s v="STU0213"/>
        <s v="STU0214"/>
        <s v="STU0215"/>
        <s v="STU0216"/>
        <s v="STU0217"/>
        <s v="STU0218"/>
        <s v="STU0219"/>
        <s v="STU0220"/>
        <s v="STU0221"/>
        <s v="STU0222"/>
        <s v="STU0223"/>
        <s v="STU0224"/>
        <s v="STU0225"/>
        <s v="STU0226"/>
        <s v="STU0227"/>
        <s v="STU0228"/>
        <s v="STU0229"/>
        <s v="STU0230"/>
        <s v="STU0231"/>
        <s v="STU0232"/>
        <s v="STU0233"/>
        <s v="STU0234"/>
        <s v="STU0235"/>
        <s v="STU0236"/>
        <s v="STU0237"/>
        <s v="STU0238"/>
        <s v="STU0239"/>
        <s v="STU0240"/>
        <s v="STU0241"/>
        <s v="STU0242"/>
        <s v="STU0243"/>
        <s v="STU0244"/>
        <s v="STU0245"/>
        <s v="STU0246"/>
        <s v="STU0247"/>
        <s v="STU0248"/>
        <s v="STU0249"/>
        <s v="STU0250"/>
        <s v="STU0251"/>
        <s v="STU0252"/>
        <s v="STU0253"/>
        <s v="STU0254"/>
        <s v="STU0255"/>
        <s v="STU0256"/>
        <s v="STU0257"/>
        <s v="STU0258"/>
        <s v="STU0259"/>
        <s v="STU0260"/>
        <s v="STU0261"/>
        <s v="STU0262"/>
        <s v="STU0263"/>
        <s v="STU0264"/>
        <s v="STU0265"/>
        <s v="STU0266"/>
        <s v="STU0267"/>
        <s v="STU0268"/>
        <s v="STU0269"/>
        <s v="STU0270"/>
        <s v="STU0271"/>
        <s v="STU0272"/>
        <s v="STU0273"/>
        <s v="STU0274"/>
        <s v="STU0275"/>
        <s v="STU0276"/>
        <s v="STU0277"/>
        <s v="STU0278"/>
        <s v="STU0279"/>
        <s v="STU0280"/>
        <s v="STU0281"/>
        <s v="STU0282"/>
        <s v="STU0283"/>
        <s v="STU0284"/>
        <s v="STU0285"/>
        <s v="STU0286"/>
        <s v="STU0287"/>
        <s v="STU0288"/>
        <s v="STU0289"/>
        <s v="STU0290"/>
        <s v="STU0291"/>
        <s v="STU0292"/>
        <s v="STU0293"/>
        <s v="STU0294"/>
        <s v="STU0295"/>
        <s v="STU0296"/>
        <s v="STU0297"/>
        <s v="STU0298"/>
        <s v="STU0299"/>
        <s v="STU0300"/>
        <s v="STU0301"/>
        <s v="STU0302"/>
        <s v="STU0303"/>
        <s v="STU0304"/>
        <s v="STU0305"/>
        <s v="STU0306"/>
        <s v="STU0307"/>
        <s v="STU0308"/>
        <s v="STU0309"/>
        <s v="STU0310"/>
        <s v="STU0311"/>
        <s v="STU0312"/>
        <s v="STU0313"/>
        <s v="STU0314"/>
        <s v="STU0315"/>
        <s v="STU0316"/>
        <s v="STU0317"/>
        <s v="STU0318"/>
        <s v="STU0319"/>
        <s v="STU0320"/>
        <s v="STU0321"/>
        <s v="STU0322"/>
        <s v="STU0323"/>
        <s v="STU0324"/>
        <s v="STU0325"/>
        <s v="STU0326"/>
        <s v="STU0327"/>
        <s v="STU0328"/>
        <s v="STU0329"/>
        <s v="STU0330"/>
        <s v="STU0331"/>
        <s v="STU0332"/>
        <s v="STU0333"/>
        <s v="STU0334"/>
        <s v="STU0335"/>
        <s v="STU0336"/>
        <s v="STU0337"/>
        <s v="STU0338"/>
        <s v="STU0339"/>
        <s v="STU0340"/>
        <s v="STU0341"/>
        <s v="STU0342"/>
        <s v="STU0343"/>
        <s v="STU0344"/>
        <s v="STU0345"/>
        <s v="STU0346"/>
        <s v="STU0347"/>
        <s v="STU0348"/>
        <s v="STU0349"/>
        <s v="STU0350"/>
        <s v="STU0351"/>
        <s v="STU0352"/>
        <s v="STU0353"/>
        <s v="STU0354"/>
        <s v="STU0355"/>
        <s v="STU0356"/>
        <s v="STU0357"/>
        <s v="STU0358"/>
        <s v="STU0359"/>
        <s v="STU0360"/>
        <s v="STU0361"/>
        <s v="STU0362"/>
        <s v="STU0363"/>
        <s v="STU0364"/>
        <s v="STU0365"/>
        <s v="STU0366"/>
        <s v="STU0367"/>
        <s v="STU0368"/>
        <s v="STU0369"/>
        <s v="STU0370"/>
        <s v="STU0371"/>
        <s v="STU0372"/>
        <s v="STU0373"/>
        <s v="STU0374"/>
        <s v="STU0375"/>
        <s v="STU0376"/>
        <s v="STU0377"/>
        <s v="STU0378"/>
        <s v="STU0379"/>
        <s v="STU0380"/>
        <s v="STU0381"/>
        <s v="STU0382"/>
        <s v="STU0383"/>
        <s v="STU0384"/>
        <s v="STU0385"/>
        <s v="STU0386"/>
        <s v="STU0387"/>
        <s v="STU0388"/>
        <s v="STU0389"/>
        <s v="STU0390"/>
        <s v="STU0391"/>
        <s v="STU0392"/>
        <s v="STU0393"/>
        <s v="STU0394"/>
        <s v="STU0395"/>
        <s v="STU0396"/>
        <s v="STU0397"/>
        <s v="STU0398"/>
        <s v="STU0399"/>
        <s v="STU0400"/>
        <s v="STU0401"/>
        <s v="STU0402"/>
        <s v="STU0403"/>
        <s v="STU0404"/>
        <s v="STU0405"/>
        <s v="STU0406"/>
        <s v="STU0407"/>
        <s v="STU0408"/>
        <s v="STU0409"/>
        <s v="STU0410"/>
        <s v="STU0411"/>
        <s v="STU0412"/>
        <s v="STU0413"/>
        <s v="STU0414"/>
        <s v="STU0415"/>
        <s v="STU0416"/>
        <s v="STU0417"/>
        <s v="STU0418"/>
        <s v="STU0419"/>
        <s v="STU0420"/>
        <s v="STU0421"/>
        <s v="STU0422"/>
        <s v="STU0423"/>
        <s v="STU0424"/>
        <s v="STU0425"/>
        <s v="STU0426"/>
        <s v="STU0427"/>
        <s v="STU0428"/>
        <s v="STU0429"/>
        <s v="STU0430"/>
        <s v="STU0431"/>
        <s v="STU0432"/>
        <s v="STU0433"/>
        <s v="STU0434"/>
        <s v="STU0435"/>
        <s v="STU0436"/>
        <s v="STU0437"/>
        <s v="STU0438"/>
        <s v="STU0439"/>
        <s v="STU0440"/>
        <s v="STU0441"/>
        <s v="STU0442"/>
        <s v="STU0443"/>
        <s v="STU0444"/>
        <s v="STU0445"/>
        <s v="STU0446"/>
        <s v="STU0447"/>
        <s v="STU0448"/>
        <s v="STU0449"/>
        <s v="STU0450"/>
        <s v="STU0451"/>
        <s v="STU0452"/>
        <s v="STU0453"/>
        <s v="STU0454"/>
        <s v="STU0455"/>
        <s v="STU0456"/>
        <s v="STU0457"/>
        <s v="STU0458"/>
        <s v="STU0459"/>
        <s v="STU0460"/>
        <s v="STU0461"/>
        <s v="STU0462"/>
        <s v="STU0463"/>
        <s v="STU0464"/>
        <s v="STU0465"/>
        <s v="STU0466"/>
        <s v="STU0467"/>
        <s v="STU0468"/>
        <s v="STU0469"/>
        <s v="STU0470"/>
        <s v="STU0471"/>
        <s v="STU0472"/>
        <s v="STU0473"/>
        <s v="STU0474"/>
        <s v="STU0475"/>
        <s v="STU0476"/>
        <s v="STU0477"/>
        <s v="STU0478"/>
        <s v="STU0479"/>
        <s v="STU0480"/>
        <s v="STU0481"/>
        <s v="STU0482"/>
        <s v="STU0483"/>
        <s v="STU0484"/>
        <s v="STU0485"/>
        <s v="STU0486"/>
        <s v="STU0487"/>
        <s v="STU0488"/>
        <s v="STU0489"/>
        <s v="STU0490"/>
        <s v="STU0491"/>
        <s v="STU0492"/>
        <s v="STU0493"/>
        <s v="STU0494"/>
        <s v="STU0495"/>
        <s v="STU0496"/>
        <s v="STU0497"/>
        <s v="STU0498"/>
        <s v="STU0499"/>
        <s v="STU0500"/>
        <s v="STU0501"/>
        <s v="STU0502"/>
        <s v="STU0503"/>
        <s v="STU0504"/>
        <s v="STU0505"/>
        <s v="STU0506"/>
        <s v="STU0507"/>
        <s v="STU0508"/>
        <s v="STU0509"/>
        <s v="STU0510"/>
        <s v="STU0511"/>
        <s v="STU0512"/>
        <s v="STU0513"/>
        <s v="STU0514"/>
        <s v="STU0515"/>
        <s v="STU0516"/>
        <s v="STU0517"/>
        <s v="STU0518"/>
        <s v="STU0519"/>
        <s v="STU0520"/>
        <s v="STU0521"/>
        <s v="STU0522"/>
        <s v="STU0523"/>
        <s v="STU0524"/>
        <s v="STU0525"/>
        <s v="STU0526"/>
        <s v="STU0527"/>
        <s v="STU0528"/>
        <s v="STU0529"/>
        <s v="STU0530"/>
        <s v="STU0531"/>
        <s v="STU0532"/>
        <s v="STU0533"/>
        <s v="STU0534"/>
        <s v="STU0535"/>
        <s v="STU0536"/>
        <s v="STU0537"/>
        <s v="STU0538"/>
        <s v="STU0539"/>
        <s v="STU0540"/>
        <s v="STU0541"/>
        <s v="STU0542"/>
        <s v="STU0543"/>
        <s v="STU0544"/>
        <s v="STU0545"/>
        <s v="STU0546"/>
        <s v="STU0547"/>
        <s v="STU0548"/>
        <s v="STU0549"/>
        <s v="STU0550"/>
        <s v="STU0551"/>
        <s v="STU0552"/>
        <s v="STU0553"/>
        <s v="STU0554"/>
        <s v="STU0555"/>
        <s v="STU0556"/>
        <s v="STU0557"/>
        <s v="STU0558"/>
        <s v="STU0559"/>
        <s v="STU0560"/>
        <s v="STU0561"/>
        <s v="STU0562"/>
        <s v="STU0563"/>
        <s v="STU0564"/>
        <s v="STU0565"/>
        <s v="STU0566"/>
        <s v="STU0567"/>
        <s v="STU0568"/>
        <s v="STU0569"/>
        <s v="STU0570"/>
        <s v="STU0571"/>
        <s v="STU0572"/>
        <s v="STU0573"/>
        <s v="STU0574"/>
        <s v="STU0575"/>
        <s v="STU0576"/>
        <s v="STU0577"/>
        <s v="STU0578"/>
        <s v="STU0579"/>
        <s v="STU0580"/>
        <s v="STU0581"/>
        <s v="STU0582"/>
        <s v="STU0583"/>
        <s v="STU0584"/>
        <s v="STU0585"/>
        <s v="STU0586"/>
        <s v="STU0587"/>
        <s v="STU0588"/>
        <s v="STU0589"/>
        <s v="STU0590"/>
        <s v="STU0591"/>
        <s v="STU0592"/>
        <s v="STU0593"/>
        <s v="STU0594"/>
        <s v="STU0595"/>
        <s v="STU0596"/>
        <s v="STU0597"/>
        <s v="STU0598"/>
        <s v="STU0599"/>
        <s v="STU0600"/>
        <s v="STU0601"/>
        <s v="STU0602"/>
        <s v="STU0603"/>
        <s v="STU0604"/>
        <s v="STU0605"/>
        <s v="STU0606"/>
        <s v="STU0607"/>
        <s v="STU0608"/>
        <s v="STU0609"/>
        <s v="STU0610"/>
        <s v="STU0611"/>
        <s v="STU0612"/>
        <s v="STU0613"/>
        <s v="STU0614"/>
        <s v="STU0615"/>
        <s v="STU0616"/>
        <s v="STU0617"/>
        <s v="STU0618"/>
        <s v="STU0619"/>
        <s v="STU0620"/>
        <s v="STU0621"/>
        <s v="STU0622"/>
        <s v="STU0623"/>
        <s v="STU0624"/>
        <s v="STU0625"/>
        <s v="STU0626"/>
        <s v="STU0627"/>
        <s v="STU0628"/>
        <s v="STU0629"/>
        <s v="STU0630"/>
        <s v="STU0631"/>
        <s v="STU0632"/>
        <s v="STU0633"/>
        <s v="STU0634"/>
        <s v="STU0635"/>
        <s v="STU0636"/>
        <s v="STU0637"/>
        <s v="STU0638"/>
        <s v="STU0639"/>
        <s v="STU0640"/>
        <s v="STU0641"/>
        <s v="STU0642"/>
        <s v="STU0643"/>
        <s v="STU0644"/>
        <s v="STU0645"/>
        <s v="STU0646"/>
        <s v="STU0647"/>
        <s v="STU0648"/>
        <s v="STU0649"/>
        <s v="STU0650"/>
        <s v="STU0651"/>
        <s v="STU0652"/>
        <s v="STU0653"/>
        <s v="STU0654"/>
        <s v="STU0655"/>
        <s v="STU0656"/>
        <s v="STU0657"/>
        <s v="STU0658"/>
        <s v="STU0659"/>
        <s v="STU0660"/>
        <s v="STU0661"/>
        <s v="STU0662"/>
        <s v="STU0663"/>
        <s v="STU0664"/>
        <s v="STU0665"/>
        <s v="STU0666"/>
        <s v="STU0667"/>
        <s v="STU0668"/>
        <s v="STU0669"/>
        <s v="STU0670"/>
        <s v="STU0671"/>
        <s v="STU0672"/>
        <s v="STU0673"/>
        <s v="STU0674"/>
        <s v="STU0675"/>
        <s v="STU0676"/>
        <s v="STU0677"/>
        <s v="STU0678"/>
        <s v="STU0679"/>
        <s v="STU0680"/>
        <s v="STU0681"/>
        <s v="STU0682"/>
        <s v="STU0683"/>
        <s v="STU0684"/>
        <s v="STU0685"/>
        <s v="STU0686"/>
        <s v="STU0687"/>
        <s v="STU0688"/>
        <s v="STU0689"/>
        <s v="STU0690"/>
        <s v="STU0691"/>
        <s v="STU0692"/>
        <s v="STU0693"/>
        <s v="STU0694"/>
        <s v="STU0695"/>
        <s v="STU0696"/>
        <s v="STU0697"/>
        <s v="STU0698"/>
        <s v="STU0699"/>
        <s v="STU0700"/>
        <s v="STU0701"/>
        <s v="STU0702"/>
        <s v="STU0703"/>
        <s v="STU0704"/>
        <s v="STU0705"/>
        <s v="STU0706"/>
        <s v="STU0707"/>
        <s v="STU0708"/>
        <s v="STU0709"/>
        <s v="STU0710"/>
        <s v="STU0711"/>
        <s v="STU0712"/>
        <s v="STU0713"/>
        <s v="STU0714"/>
        <s v="STU0715"/>
        <s v="STU0716"/>
        <s v="STU0717"/>
        <s v="STU0718"/>
        <s v="STU0719"/>
        <s v="STU0720"/>
        <s v="STU0721"/>
        <s v="STU0722"/>
        <s v="STU0723"/>
        <s v="STU0724"/>
        <s v="STU0725"/>
        <s v="STU0726"/>
        <s v="STU0727"/>
        <s v="STU0728"/>
        <s v="STU0729"/>
        <s v="STU0730"/>
        <s v="STU0731"/>
        <s v="STU0732"/>
        <s v="STU0733"/>
        <s v="STU0734"/>
        <s v="STU0735"/>
        <s v="STU0736"/>
        <s v="STU0737"/>
        <s v="STU0738"/>
        <s v="STU0739"/>
        <s v="STU0740"/>
        <s v="STU0741"/>
        <s v="STU0742"/>
        <s v="STU0743"/>
        <s v="STU0744"/>
        <s v="STU0745"/>
        <s v="STU0746"/>
        <s v="STU0747"/>
        <s v="STU0748"/>
        <s v="STU0749"/>
        <s v="STU0750"/>
        <s v="STU0751"/>
        <s v="STU0752"/>
        <s v="STU0753"/>
        <s v="STU0754"/>
        <s v="STU0755"/>
        <s v="STU0756"/>
        <s v="STU0757"/>
        <s v="STU0758"/>
        <s v="STU0759"/>
        <s v="STU0760"/>
        <s v="STU0761"/>
        <s v="STU0762"/>
        <s v="STU0763"/>
        <s v="STU0764"/>
        <s v="STU0765"/>
        <s v="STU0766"/>
        <s v="STU0767"/>
        <s v="STU0768"/>
        <s v="STU0769"/>
        <s v="STU0770"/>
        <s v="STU0771"/>
        <s v="STU0772"/>
        <s v="STU0773"/>
        <s v="STU0774"/>
        <s v="STU0775"/>
        <s v="STU0776"/>
        <s v="STU0777"/>
        <s v="STU0778"/>
        <s v="STU0779"/>
        <s v="STU0780"/>
        <s v="STU0781"/>
        <s v="STU0782"/>
        <s v="STU0783"/>
        <s v="STU0784"/>
        <s v="STU0785"/>
        <s v="STU0786"/>
        <s v="STU0787"/>
        <s v="STU0788"/>
        <s v="STU0789"/>
        <s v="STU0790"/>
        <s v="STU0791"/>
        <s v="STU0792"/>
        <s v="STU0793"/>
        <s v="STU0794"/>
        <s v="STU0795"/>
        <s v="STU0796"/>
        <s v="STU0797"/>
        <s v="STU0798"/>
        <s v="STU0799"/>
        <s v="STU0800"/>
        <s v="STU0801"/>
        <s v="STU0802"/>
        <s v="STU0803"/>
        <s v="STU0804"/>
        <s v="STU0805"/>
        <s v="STU0806"/>
        <s v="STU0807"/>
        <s v="STU0808"/>
        <s v="STU0809"/>
        <s v="STU0810"/>
        <s v="STU0811"/>
        <s v="STU0812"/>
        <s v="STU0813"/>
        <s v="STU0814"/>
        <s v="STU0815"/>
        <s v="STU0816"/>
        <s v="STU0817"/>
        <s v="STU0818"/>
        <s v="STU0819"/>
        <s v="STU0820"/>
        <s v="STU0821"/>
        <s v="STU0822"/>
        <s v="STU0823"/>
        <s v="STU0824"/>
        <s v="STU0825"/>
        <s v="STU0826"/>
        <s v="STU0827"/>
        <s v="STU0828"/>
        <s v="STU0829"/>
        <s v="STU0830"/>
        <s v="STU0831"/>
        <s v="STU0832"/>
        <s v="STU0833"/>
        <s v="STU0834"/>
        <s v="STU0835"/>
        <s v="STU0836"/>
        <s v="STU0837"/>
        <s v="STU0838"/>
        <s v="STU0839"/>
        <s v="STU0840"/>
        <s v="STU0841"/>
        <s v="STU0842"/>
        <s v="STU0843"/>
        <s v="STU0844"/>
        <s v="STU0845"/>
        <s v="STU0846"/>
        <s v="STU0847"/>
        <s v="STU0848"/>
        <s v="STU0849"/>
        <s v="STU0850"/>
        <s v="STU0851"/>
        <s v="STU0852"/>
        <s v="STU0853"/>
        <s v="STU0854"/>
        <s v="STU0855"/>
        <s v="STU0856"/>
        <s v="STU0857"/>
        <s v="STU0858"/>
        <s v="STU0859"/>
        <s v="STU0860"/>
        <s v="STU0861"/>
        <s v="STU0862"/>
        <s v="STU0863"/>
        <s v="STU0864"/>
        <s v="STU0865"/>
        <s v="STU0866"/>
        <s v="STU0867"/>
        <s v="STU0868"/>
        <s v="STU0869"/>
        <s v="STU0870"/>
        <s v="STU0871"/>
        <s v="STU0872"/>
        <s v="STU0873"/>
        <s v="STU0874"/>
        <s v="STU0875"/>
        <s v="STU0876"/>
        <s v="STU0877"/>
        <s v="STU0878"/>
        <s v="STU0879"/>
        <s v="STU0880"/>
        <s v="STU0881"/>
        <s v="STU0882"/>
        <s v="STU0883"/>
        <s v="STU0884"/>
        <s v="STU0885"/>
        <s v="STU0886"/>
        <s v="STU0887"/>
        <s v="STU0888"/>
        <s v="STU0889"/>
        <s v="STU0890"/>
        <s v="STU0891"/>
        <s v="STU0892"/>
        <s v="STU0893"/>
        <s v="STU0894"/>
        <s v="STU0895"/>
        <s v="STU0896"/>
        <s v="STU0897"/>
        <s v="STU0898"/>
        <s v="STU0899"/>
        <s v="STU0900"/>
        <s v="STU0901"/>
        <s v="STU0902"/>
        <s v="STU0903"/>
        <s v="STU0904"/>
        <s v="STU0905"/>
        <s v="STU0906"/>
        <s v="STU0907"/>
        <s v="STU0908"/>
        <s v="STU0909"/>
        <s v="STU0910"/>
        <s v="STU0911"/>
        <s v="STU0912"/>
        <s v="STU0913"/>
        <s v="STU0914"/>
        <s v="STU0915"/>
        <s v="STU0916"/>
        <s v="STU0917"/>
        <s v="STU0918"/>
        <s v="STU0919"/>
        <s v="STU0920"/>
        <s v="STU0921"/>
        <s v="STU0922"/>
        <s v="STU0923"/>
        <s v="STU0924"/>
        <s v="STU0925"/>
        <s v="STU0926"/>
        <s v="STU0927"/>
        <s v="STU0928"/>
        <s v="STU0929"/>
        <s v="STU0930"/>
        <s v="STU0931"/>
        <s v="STU0932"/>
        <s v="STU0933"/>
        <s v="STU0934"/>
        <s v="STU0935"/>
        <s v="STU0936"/>
        <s v="STU0937"/>
        <s v="STU0938"/>
        <s v="STU0939"/>
        <s v="STU0940"/>
        <s v="STU0941"/>
        <s v="STU0942"/>
        <s v="STU0943"/>
        <s v="STU0944"/>
        <s v="STU0945"/>
        <s v="STU0946"/>
        <s v="STU0947"/>
        <s v="STU0948"/>
        <s v="STU0949"/>
        <s v="STU0950"/>
        <s v="STU0951"/>
        <s v="STU0952"/>
        <s v="STU0953"/>
        <s v="STU0954"/>
        <s v="STU0955"/>
        <s v="STU0956"/>
        <s v="STU0957"/>
        <s v="STU0958"/>
        <s v="STU0959"/>
        <s v="STU0960"/>
        <s v="STU0961"/>
        <s v="STU0962"/>
        <s v="STU0963"/>
        <s v="STU0964"/>
        <s v="STU0965"/>
        <s v="STU0966"/>
        <s v="STU0967"/>
        <s v="STU0968"/>
        <s v="STU0969"/>
        <s v="STU0970"/>
        <s v="STU0971"/>
        <s v="STU0972"/>
        <s v="STU0973"/>
        <s v="STU0974"/>
        <s v="STU0975"/>
        <s v="STU0976"/>
        <s v="STU0977"/>
        <s v="STU0978"/>
        <s v="STU0979"/>
        <s v="STU0980"/>
        <s v="STU0981"/>
        <s v="STU0982"/>
        <s v="STU0983"/>
        <s v="STU0984"/>
        <s v="STU0985"/>
        <s v="STU0986"/>
        <s v="STU0987"/>
        <s v="STU0988"/>
        <s v="STU0989"/>
        <s v="STU0990"/>
        <s v="STU0991"/>
        <s v="STU0992"/>
        <s v="STU0993"/>
        <s v="STU0994"/>
        <s v="STU0995"/>
        <s v="STU0996"/>
        <s v="STU0997"/>
        <s v="STU0998"/>
        <s v="STU0999"/>
        <s v="STU1000"/>
        <s v="STU1001"/>
        <s v="STU1002"/>
        <s v="STU1003"/>
        <s v="STU1004"/>
        <s v="STU1005"/>
        <s v="STU1006"/>
        <s v="STU1007"/>
        <s v="STU1008"/>
        <s v="STU1009"/>
        <s v="STU1010"/>
        <s v="STU1011"/>
        <s v="STU1012"/>
        <s v="STU1013"/>
        <s v="STU1014"/>
        <s v="STU1015"/>
        <s v="STU1016"/>
        <s v="STU1017"/>
        <s v="STU1018"/>
        <s v="STU1019"/>
        <s v="STU1020"/>
        <s v="STU1021"/>
        <s v="STU1022"/>
        <s v="STU1023"/>
        <s v="STU1024"/>
        <s v="STU1025"/>
        <s v="STU1026"/>
        <s v="STU1027"/>
        <s v="STU1028"/>
        <s v="STU1029"/>
        <s v="STU1030"/>
        <s v="STU1031"/>
        <s v="STU1032"/>
        <s v="STU1033"/>
        <s v="STU1034"/>
        <s v="STU1035"/>
        <s v="STU1036"/>
        <s v="STU1037"/>
        <s v="STU1038"/>
        <s v="STU1039"/>
        <s v="STU1040"/>
        <s v="STU1041"/>
        <s v="STU1042"/>
        <s v="STU1043"/>
        <s v="STU1044"/>
        <s v="STU1045"/>
        <s v="STU1046"/>
        <s v="STU1047"/>
        <s v="STU1048"/>
        <s v="STU1049"/>
        <s v="STU1050"/>
        <s v="STU1051"/>
        <s v="STU1052"/>
        <s v="STU1053"/>
        <s v="STU1054"/>
        <s v="STU1055"/>
        <s v="STU1056"/>
        <s v="STU1057"/>
        <s v="STU1058"/>
        <s v="STU1059"/>
        <s v="STU1060"/>
        <s v="STU1061"/>
        <s v="STU1062"/>
        <s v="STU1063"/>
        <s v="STU1064"/>
        <s v="STU1065"/>
        <s v="STU1066"/>
        <s v="STU1067"/>
        <s v="STU1068"/>
        <s v="STU1069"/>
        <s v="STU1070"/>
        <s v="STU1071"/>
        <s v="STU1072"/>
        <s v="STU1073"/>
        <s v="STU1074"/>
        <s v="STU1075"/>
        <s v="STU1076"/>
        <s v="STU1077"/>
        <s v="STU1078"/>
        <s v="STU1079"/>
        <s v="STU1080"/>
        <s v="STU1081"/>
        <s v="STU1082"/>
        <s v="STU1083"/>
        <s v="STU1084"/>
        <s v="STU1085"/>
        <s v="STU1086"/>
        <s v="STU1087"/>
        <s v="STU1088"/>
        <s v="STU1089"/>
        <s v="STU1090"/>
        <s v="STU1091"/>
        <s v="STU1092"/>
        <s v="STU1093"/>
        <s v="STU1094"/>
        <s v="STU1095"/>
        <s v="STU1096"/>
        <s v="STU1097"/>
        <s v="STU1098"/>
        <s v="STU1099"/>
        <s v="STU1100"/>
        <s v="STU1101"/>
        <s v="STU1102"/>
        <s v="STU1103"/>
        <s v="STU1104"/>
        <s v="STU1105"/>
        <s v="STU1106"/>
        <s v="STU1107"/>
        <s v="STU1108"/>
        <s v="STU1109"/>
        <s v="STU1110"/>
        <s v="STU1111"/>
        <s v="STU1112"/>
        <s v="STU1113"/>
        <s v="STU1114"/>
        <s v="STU1115"/>
        <s v="STU1116"/>
        <s v="STU1117"/>
        <s v="STU1118"/>
        <s v="STU1119"/>
        <s v="STU1120"/>
        <s v="STU1121"/>
        <s v="STU1122"/>
        <s v="STU1123"/>
        <s v="STU1124"/>
        <s v="STU1125"/>
        <s v="STU1126"/>
        <s v="STU1127"/>
        <s v="STU1128"/>
        <s v="STU1129"/>
        <s v="STU1130"/>
        <s v="STU1131"/>
        <s v="STU1132"/>
        <s v="STU1133"/>
        <s v="STU1134"/>
        <s v="STU1135"/>
        <s v="STU1136"/>
        <s v="STU1137"/>
        <s v="STU1138"/>
        <s v="STU1139"/>
        <s v="STU1140"/>
        <s v="STU1141"/>
        <s v="STU1142"/>
        <s v="STU1143"/>
        <s v="STU1144"/>
        <s v="STU1145"/>
        <s v="STU1146"/>
        <s v="STU1147"/>
        <s v="STU1148"/>
        <s v="STU1149"/>
        <s v="STU1150"/>
        <s v="STU1151"/>
        <s v="STU1152"/>
        <s v="STU1153"/>
        <s v="STU1154"/>
        <s v="STU1155"/>
        <s v="STU1156"/>
        <s v="STU1157"/>
        <s v="STU1158"/>
        <s v="STU1159"/>
        <s v="STU1160"/>
        <s v="STU1161"/>
        <s v="STU1162"/>
        <s v="STU1163"/>
        <s v="STU1164"/>
        <s v="STU1165"/>
        <s v="STU1166"/>
        <s v="STU1167"/>
        <s v="STU1168"/>
        <s v="STU1169"/>
        <s v="STU1170"/>
        <s v="STU1171"/>
        <s v="STU1172"/>
        <s v="STU1173"/>
        <s v="STU1174"/>
        <s v="STU1175"/>
        <s v="STU1176"/>
        <s v="STU1177"/>
        <s v="STU1178"/>
        <s v="STU1179"/>
        <s v="STU1180"/>
        <s v="STU1181"/>
        <s v="STU1182"/>
        <s v="STU1183"/>
        <s v="STU1184"/>
        <s v="STU1185"/>
        <s v="STU1186"/>
        <s v="STU1187"/>
        <s v="STU1188"/>
        <s v="STU1189"/>
        <s v="STU1190"/>
        <s v="STU1191"/>
        <s v="STU1192"/>
        <s v="STU1193"/>
        <s v="STU1194"/>
        <s v="STU1195"/>
        <s v="STU1196"/>
        <s v="STU1197"/>
        <s v="STU1198"/>
        <s v="STU1199"/>
        <s v="STU1200"/>
        <s v="STU1201"/>
        <s v="STU1202"/>
        <s v="STU1203"/>
        <s v="STU1204"/>
        <s v="STU1205"/>
        <s v="STU1206"/>
        <s v="STU1207"/>
        <s v="STU1208"/>
        <s v="STU1209"/>
        <s v="STU1210"/>
        <s v="STU1211"/>
        <s v="STU1212"/>
        <s v="STU1213"/>
        <s v="STU1214"/>
        <s v="STU1215"/>
        <s v="STU1216"/>
        <s v="STU1217"/>
        <s v="STU1218"/>
        <s v="STU1219"/>
        <s v="STU1220"/>
        <s v="STU1221"/>
        <s v="STU1222"/>
        <s v="STU1223"/>
        <s v="STU1224"/>
        <s v="STU1225"/>
        <s v="STU1226"/>
        <s v="STU1227"/>
        <s v="STU1228"/>
        <s v="STU1229"/>
        <s v="STU1230"/>
        <s v="STU1231"/>
        <s v="STU1232"/>
        <s v="STU1233"/>
        <s v="STU1234"/>
        <s v="STU1235"/>
        <s v="STU1236"/>
        <s v="STU1237"/>
        <s v="STU1238"/>
        <s v="STU1239"/>
        <s v="STU1240"/>
        <s v="STU1241"/>
        <s v="STU1242"/>
        <s v="STU1243"/>
        <s v="STU1244"/>
        <s v="STU1245"/>
        <s v="STU1246"/>
        <s v="STU1247"/>
        <s v="STU1248"/>
        <s v="STU1249"/>
        <s v="STU1250"/>
        <s v="STU1251"/>
        <s v="STU1252"/>
        <s v="STU1253"/>
        <s v="STU1254"/>
        <s v="STU1255"/>
        <s v="STU1256"/>
        <s v="STU1257"/>
        <s v="STU1258"/>
        <s v="STU1259"/>
        <s v="STU1260"/>
        <s v="STU1261"/>
        <s v="STU1262"/>
        <s v="STU1263"/>
        <s v="STU1264"/>
        <s v="STU1265"/>
        <s v="STU1266"/>
        <s v="STU1267"/>
        <s v="STU1268"/>
        <s v="STU1269"/>
        <s v="STU1270"/>
        <s v="STU1271"/>
        <s v="STU1272"/>
        <s v="STU1273"/>
        <s v="STU1274"/>
        <s v="STU1275"/>
        <s v="STU1276"/>
        <s v="STU1277"/>
        <s v="STU1278"/>
        <s v="STU1279"/>
        <s v="STU1280"/>
        <s v="STU1281"/>
        <s v="STU1282"/>
        <s v="STU1283"/>
        <s v="STU1284"/>
        <s v="STU1285"/>
        <s v="STU1286"/>
        <s v="STU1287"/>
        <s v="STU1288"/>
        <s v="STU1289"/>
        <s v="STU1290"/>
        <s v="STU1291"/>
        <s v="STU1292"/>
        <s v="STU1293"/>
        <s v="STU1294"/>
        <s v="STU1295"/>
        <s v="STU1296"/>
        <s v="STU1297"/>
        <s v="STU1298"/>
        <s v="STU1299"/>
        <s v="STU1300"/>
        <s v="STU1301"/>
        <s v="STU1302"/>
        <s v="STU1303"/>
        <s v="STU1304"/>
        <s v="STU1305"/>
        <s v="STU1306"/>
        <s v="STU1307"/>
        <s v="STU1308"/>
        <s v="STU1309"/>
        <s v="STU1310"/>
        <s v="STU1311"/>
        <s v="STU1312"/>
        <s v="STU1313"/>
        <s v="STU1314"/>
        <s v="STU1315"/>
        <s v="STU1316"/>
        <s v="STU1317"/>
        <s v="STU1318"/>
        <s v="STU1319"/>
        <s v="STU1320"/>
        <s v="STU1321"/>
        <s v="STU1322"/>
        <s v="STU1323"/>
        <s v="STU1324"/>
        <s v="STU1325"/>
        <s v="STU1326"/>
        <s v="STU1327"/>
        <s v="STU1328"/>
        <s v="STU1329"/>
        <s v="STU1330"/>
        <s v="STU1331"/>
        <s v="STU1332"/>
        <s v="STU1333"/>
        <s v="STU1334"/>
        <s v="STU1335"/>
        <s v="STU1336"/>
        <s v="STU1337"/>
        <s v="STU1338"/>
        <s v="STU1339"/>
        <s v="STU1340"/>
        <s v="STU1341"/>
        <s v="STU1342"/>
        <s v="STU1343"/>
        <s v="STU1344"/>
        <s v="STU1345"/>
        <s v="STU1346"/>
        <s v="STU1347"/>
        <s v="STU1348"/>
        <s v="STU1349"/>
        <s v="STU1350"/>
        <s v="STU1351"/>
        <s v="STU1352"/>
        <s v="STU1353"/>
        <s v="STU1354"/>
        <s v="STU1355"/>
        <s v="STU1356"/>
        <s v="STU1357"/>
        <s v="STU1358"/>
        <s v="STU1359"/>
        <s v="STU1360"/>
        <s v="STU1361"/>
        <s v="STU1362"/>
        <s v="STU1363"/>
        <s v="STU1364"/>
        <s v="STU1365"/>
        <s v="STU1366"/>
        <s v="STU1367"/>
        <s v="STU1368"/>
        <s v="STU1369"/>
        <s v="STU1370"/>
        <s v="STU1371"/>
        <s v="STU1372"/>
        <s v="STU1373"/>
        <s v="STU1374"/>
        <s v="STU1375"/>
        <s v="STU1376"/>
        <s v="STU1377"/>
        <s v="STU1378"/>
        <s v="STU1379"/>
        <s v="STU1380"/>
        <s v="STU1381"/>
        <s v="STU1382"/>
        <s v="STU1383"/>
        <s v="STU1384"/>
        <s v="STU1385"/>
        <s v="STU1386"/>
        <s v="STU1387"/>
        <s v="STU1388"/>
        <s v="STU1389"/>
        <s v="STU1390"/>
        <s v="STU1391"/>
        <s v="STU1392"/>
        <s v="STU1393"/>
        <s v="STU1394"/>
        <s v="STU1395"/>
        <s v="STU1396"/>
        <s v="STU1397"/>
        <s v="STU1398"/>
        <s v="STU1399"/>
        <s v="STU1400"/>
        <s v="STU1401"/>
        <s v="STU1402"/>
        <s v="STU1403"/>
        <s v="STU1404"/>
        <s v="STU1405"/>
        <s v="STU1406"/>
        <s v="STU1407"/>
        <s v="STU1408"/>
        <s v="STU1409"/>
        <s v="STU1410"/>
        <s v="STU1411"/>
        <s v="STU1412"/>
        <s v="STU1413"/>
        <s v="STU1414"/>
        <s v="STU1415"/>
        <s v="STU1416"/>
        <s v="STU1417"/>
        <s v="STU1418"/>
        <s v="STU1419"/>
        <s v="STU1420"/>
        <s v="STU1421"/>
        <s v="STU1422"/>
        <s v="STU1423"/>
        <s v="STU1424"/>
        <s v="STU1425"/>
        <s v="STU1426"/>
        <s v="STU1427"/>
        <s v="STU1428"/>
        <s v="STU1429"/>
        <s v="STU1430"/>
        <s v="STU1431"/>
        <s v="STU1432"/>
        <s v="STU1433"/>
        <s v="STU1434"/>
        <s v="STU1435"/>
        <s v="STU1436"/>
        <s v="STU1437"/>
        <s v="STU1438"/>
        <s v="STU1439"/>
        <s v="STU1440"/>
        <s v="STU1441"/>
        <s v="STU1442"/>
        <s v="STU1443"/>
        <s v="STU1444"/>
        <s v="STU1445"/>
        <s v="STU1446"/>
        <s v="STU1447"/>
        <s v="STU1448"/>
        <s v="STU1449"/>
        <s v="STU1450"/>
        <s v="STU1451"/>
        <s v="STU1452"/>
        <s v="STU1453"/>
        <s v="STU1454"/>
        <s v="STU1455"/>
        <s v="STU1456"/>
        <s v="STU1457"/>
        <s v="STU1458"/>
        <s v="STU1459"/>
        <s v="STU1460"/>
        <s v="STU1461"/>
        <s v="STU1462"/>
        <s v="STU1463"/>
        <s v="STU1464"/>
        <s v="STU1465"/>
        <s v="STU1466"/>
        <s v="STU1467"/>
        <s v="STU1468"/>
        <s v="STU1469"/>
        <s v="STU1470"/>
        <s v="STU1471"/>
        <s v="STU1472"/>
        <s v="STU1473"/>
        <s v="STU1474"/>
        <s v="STU1475"/>
        <s v="STU1476"/>
        <s v="STU1477"/>
        <s v="STU1478"/>
        <s v="STU1479"/>
        <s v="STU1480"/>
        <s v="STU1481"/>
        <s v="STU1482"/>
        <s v="STU1483"/>
        <s v="STU1484"/>
        <s v="STU1485"/>
        <s v="STU1486"/>
        <s v="STU1487"/>
        <s v="STU1488"/>
        <s v="STU1489"/>
        <s v="STU1490"/>
        <s v="STU1491"/>
        <s v="STU1492"/>
        <s v="STU1493"/>
        <s v="STU1494"/>
        <s v="STU1495"/>
        <s v="STU1496"/>
        <s v="STU1497"/>
        <s v="STU1498"/>
        <s v="STU1499"/>
        <s v="STU1500"/>
        <s v="STU1501"/>
        <s v="STU1502"/>
        <s v="STU1503"/>
        <s v="STU1504"/>
        <s v="STU1505"/>
        <s v="STU1506"/>
        <s v="STU1507"/>
        <s v="STU1508"/>
        <s v="STU1509"/>
        <s v="STU1510"/>
        <s v="STU1511"/>
        <s v="STU1512"/>
        <s v="STU1513"/>
        <s v="STU1514"/>
        <s v="STU1515"/>
        <s v="STU1516"/>
        <s v="STU1517"/>
        <s v="STU1518"/>
        <s v="STU1519"/>
        <s v="STU1520"/>
        <s v="STU1521"/>
        <s v="STU1522"/>
        <s v="STU1523"/>
        <s v="STU1524"/>
        <s v="STU1525"/>
        <s v="STU1526"/>
        <s v="STU1527"/>
        <s v="STU1528"/>
        <s v="STU1529"/>
        <s v="STU1530"/>
        <s v="STU1531"/>
        <s v="STU1532"/>
        <s v="STU1533"/>
        <s v="STU1534"/>
        <s v="STU1535"/>
        <s v="STU1536"/>
        <s v="STU1537"/>
        <s v="STU1538"/>
        <s v="STU1539"/>
        <s v="STU1540"/>
        <s v="STU1541"/>
        <s v="STU1542"/>
        <s v="STU1543"/>
        <s v="STU1544"/>
        <s v="STU1545"/>
        <s v="STU1546"/>
        <s v="STU1547"/>
        <s v="STU1548"/>
        <s v="STU1549"/>
        <s v="STU1550"/>
        <s v="STU1551"/>
        <s v="STU1552"/>
        <s v="STU1553"/>
        <s v="STU1554"/>
        <s v="STU1555"/>
        <s v="STU1556"/>
        <s v="STU1557"/>
        <s v="STU1558"/>
        <s v="STU1559"/>
        <s v="STU1560"/>
        <s v="STU1561"/>
        <s v="STU1562"/>
        <s v="STU1563"/>
        <s v="STU1564"/>
        <s v="STU1565"/>
        <s v="STU1566"/>
        <s v="STU1567"/>
        <s v="STU1568"/>
        <s v="STU1569"/>
        <s v="STU1570"/>
        <s v="STU1571"/>
        <s v="STU1572"/>
        <s v="STU1573"/>
        <s v="STU1574"/>
        <s v="STU1575"/>
        <s v="STU1576"/>
        <s v="STU1577"/>
        <s v="STU1578"/>
        <s v="STU1579"/>
        <s v="STU1580"/>
        <s v="STU1581"/>
        <s v="STU1582"/>
        <s v="STU1583"/>
        <s v="STU1584"/>
        <s v="STU1585"/>
        <s v="STU1586"/>
        <s v="STU1587"/>
        <s v="STU1588"/>
        <s v="STU1589"/>
        <s v="STU1590"/>
        <s v="STU1591"/>
        <s v="STU1592"/>
        <s v="STU1593"/>
        <s v="STU1594"/>
        <s v="STU1595"/>
        <s v="STU1596"/>
        <s v="STU1597"/>
        <s v="STU1598"/>
        <s v="STU1599"/>
        <s v="STU1600"/>
        <s v="STU1601"/>
        <s v="STU1602"/>
        <s v="STU1603"/>
        <s v="STU1604"/>
        <s v="STU1605"/>
        <s v="STU1606"/>
        <s v="STU1607"/>
        <s v="STU1608"/>
        <s v="STU1609"/>
        <s v="STU1610"/>
        <s v="STU1611"/>
        <s v="STU1612"/>
        <s v="STU1613"/>
        <s v="STU1614"/>
        <s v="STU1615"/>
        <s v="STU1616"/>
        <s v="STU1617"/>
        <s v="STU1618"/>
        <s v="STU1619"/>
        <s v="STU1620"/>
        <s v="STU1621"/>
        <s v="STU1622"/>
        <s v="STU1623"/>
        <s v="STU1624"/>
        <s v="STU1625"/>
        <s v="STU1626"/>
        <s v="STU1627"/>
        <s v="STU1628"/>
        <s v="STU1629"/>
        <s v="STU1630"/>
        <s v="STU1631"/>
        <s v="STU1632"/>
        <s v="STU1633"/>
        <s v="STU1634"/>
        <s v="STU1635"/>
        <s v="STU1636"/>
        <s v="STU1637"/>
        <s v="STU1638"/>
        <s v="STU1639"/>
        <s v="STU1640"/>
        <s v="STU1641"/>
        <s v="STU1642"/>
        <s v="STU1643"/>
        <s v="STU1644"/>
        <s v="STU1645"/>
        <s v="STU1646"/>
        <s v="STU1647"/>
        <s v="STU1648"/>
        <s v="STU1649"/>
        <s v="STU1650"/>
        <s v="STU1651"/>
        <s v="STU1652"/>
        <s v="STU1653"/>
        <s v="STU1654"/>
        <s v="STU1655"/>
        <s v="STU1656"/>
        <s v="STU1657"/>
        <s v="STU1658"/>
        <s v="STU1659"/>
        <s v="STU1660"/>
        <s v="STU1661"/>
        <s v="STU1662"/>
        <s v="STU1663"/>
        <s v="STU1664"/>
        <s v="STU1665"/>
        <s v="STU1666"/>
        <s v="STU1667"/>
        <s v="STU1668"/>
        <s v="STU1669"/>
        <s v="STU1670"/>
        <s v="STU1671"/>
        <s v="STU1672"/>
        <s v="STU1673"/>
        <s v="STU1674"/>
        <s v="STU1675"/>
        <s v="STU1676"/>
        <s v="STU1677"/>
        <s v="STU1678"/>
        <s v="STU1679"/>
        <s v="STU1680"/>
        <s v="STU1681"/>
        <s v="STU1682"/>
        <s v="STU1683"/>
        <s v="STU1684"/>
        <s v="STU1685"/>
        <s v="STU1686"/>
        <s v="STU1687"/>
        <s v="STU1688"/>
        <s v="STU1689"/>
        <s v="STU1690"/>
        <s v="STU1691"/>
        <s v="STU1692"/>
        <s v="STU1693"/>
        <s v="STU1694"/>
        <s v="STU1695"/>
        <s v="STU1696"/>
        <s v="STU1697"/>
        <s v="STU1698"/>
        <s v="STU1699"/>
        <s v="STU1700"/>
        <s v="STU1701"/>
        <s v="STU1702"/>
        <s v="STU1703"/>
        <s v="STU1704"/>
        <s v="STU1705"/>
        <s v="STU1706"/>
        <s v="STU1707"/>
        <s v="STU1708"/>
        <s v="STU1709"/>
        <s v="STU1710"/>
        <s v="STU1711"/>
        <s v="STU1712"/>
        <s v="STU1713"/>
        <s v="STU1714"/>
        <s v="STU1715"/>
        <s v="STU1716"/>
        <s v="STU1717"/>
        <s v="STU1718"/>
        <s v="STU1719"/>
        <s v="STU1720"/>
        <s v="STU1721"/>
        <s v="STU1722"/>
        <s v="STU1723"/>
        <s v="STU1724"/>
        <s v="STU1725"/>
        <s v="STU1726"/>
        <s v="STU1727"/>
        <s v="STU1728"/>
        <s v="STU1729"/>
        <s v="STU1730"/>
        <s v="STU1731"/>
        <s v="STU1732"/>
        <s v="STU1733"/>
        <s v="STU1734"/>
        <s v="STU1735"/>
        <s v="STU1736"/>
        <s v="STU1737"/>
        <s v="STU1738"/>
        <s v="STU1739"/>
        <s v="STU1740"/>
        <s v="STU1741"/>
        <s v="STU1742"/>
        <s v="STU1743"/>
        <s v="STU1744"/>
        <s v="STU1745"/>
        <s v="STU1746"/>
        <s v="STU1747"/>
        <s v="STU1748"/>
        <s v="STU1749"/>
        <s v="STU1750"/>
        <s v="STU1751"/>
        <s v="STU1752"/>
        <s v="STU1753"/>
        <s v="STU1754"/>
        <s v="STU1755"/>
        <s v="STU1756"/>
        <s v="STU1757"/>
        <s v="STU1758"/>
        <s v="STU1759"/>
        <s v="STU1760"/>
        <s v="STU1761"/>
        <s v="STU1762"/>
        <s v="STU1763"/>
        <s v="STU1764"/>
        <s v="STU1765"/>
        <s v="STU1766"/>
        <s v="STU1767"/>
        <s v="STU1768"/>
        <s v="STU1769"/>
        <s v="STU1770"/>
        <s v="STU1771"/>
        <s v="STU1772"/>
        <s v="STU1773"/>
        <s v="STU1774"/>
        <s v="STU1775"/>
        <s v="STU1776"/>
        <s v="STU1777"/>
        <s v="STU1778"/>
        <s v="STU1779"/>
        <s v="STU1780"/>
        <s v="STU1781"/>
        <s v="STU1782"/>
        <s v="STU1783"/>
        <s v="STU1784"/>
        <s v="STU1785"/>
        <s v="STU1786"/>
        <s v="STU1787"/>
        <s v="STU1788"/>
        <s v="STU1789"/>
        <s v="STU1790"/>
        <s v="STU1791"/>
        <s v="STU1792"/>
        <s v="STU1793"/>
        <s v="STU1794"/>
        <s v="STU1795"/>
        <s v="STU1796"/>
        <s v="STU1797"/>
        <s v="STU1798"/>
        <s v="STU1799"/>
        <s v="STU1800"/>
        <s v="STU1801"/>
        <s v="STU1802"/>
        <s v="STU1803"/>
        <s v="STU1804"/>
        <s v="STU1805"/>
        <s v="STU1806"/>
        <s v="STU1807"/>
        <s v="STU1808"/>
        <s v="STU1809"/>
        <s v="STU1810"/>
        <s v="STU1811"/>
        <s v="STU1812"/>
        <s v="STU1813"/>
        <s v="STU1814"/>
        <s v="STU1815"/>
        <s v="STU1816"/>
        <s v="STU1817"/>
        <s v="STU1818"/>
        <s v="STU1819"/>
        <s v="STU1820"/>
        <s v="STU1821"/>
        <s v="STU1822"/>
        <s v="STU1823"/>
        <s v="STU1824"/>
        <s v="STU1825"/>
        <s v="STU1826"/>
        <s v="STU1827"/>
        <s v="STU1828"/>
        <s v="STU1829"/>
        <s v="STU1830"/>
        <s v="STU1831"/>
        <s v="STU1832"/>
        <s v="STU1833"/>
        <s v="STU1834"/>
        <s v="STU1835"/>
        <s v="STU1836"/>
        <s v="STU1837"/>
        <s v="STU1838"/>
        <s v="STU1839"/>
        <s v="STU1840"/>
        <s v="STU1841"/>
        <s v="STU1842"/>
        <s v="STU1843"/>
        <s v="STU1844"/>
        <s v="STU1845"/>
        <s v="STU1846"/>
        <s v="STU1847"/>
        <s v="STU1848"/>
        <s v="STU1849"/>
        <s v="STU1850"/>
        <s v="STU1851"/>
        <s v="STU1852"/>
        <s v="STU1853"/>
        <s v="STU1854"/>
        <s v="STU1855"/>
        <s v="STU1856"/>
        <s v="STU1857"/>
        <s v="STU1858"/>
        <s v="STU1859"/>
        <s v="STU1860"/>
        <s v="STU1861"/>
        <s v="STU1862"/>
        <s v="STU1863"/>
        <s v="STU1864"/>
        <s v="STU1865"/>
        <s v="STU1866"/>
        <s v="STU1867"/>
        <s v="STU1868"/>
        <s v="STU1869"/>
        <s v="STU1870"/>
        <s v="STU1871"/>
        <s v="STU1872"/>
        <s v="STU1873"/>
        <s v="STU1874"/>
        <s v="STU1875"/>
        <s v="STU1876"/>
        <s v="STU1877"/>
        <s v="STU1878"/>
        <s v="STU1879"/>
        <s v="STU1880"/>
        <s v="STU1881"/>
        <s v="STU1882"/>
        <s v="STU1883"/>
        <s v="STU1884"/>
        <s v="STU1885"/>
        <s v="STU1886"/>
        <s v="STU1887"/>
        <s v="STU1888"/>
        <s v="STU1889"/>
        <s v="STU1890"/>
        <s v="STU1891"/>
        <s v="STU1892"/>
        <s v="STU1893"/>
        <s v="STU1894"/>
        <s v="STU1895"/>
        <s v="STU1896"/>
        <s v="STU1897"/>
        <s v="STU1898"/>
        <s v="STU1899"/>
        <s v="STU1900"/>
        <s v="STU1901"/>
        <s v="STU1902"/>
        <s v="STU1903"/>
        <s v="STU1904"/>
        <s v="STU1905"/>
        <s v="STU1906"/>
        <s v="STU1907"/>
        <s v="STU1908"/>
        <s v="STU1909"/>
        <s v="STU1910"/>
        <s v="STU1911"/>
        <s v="STU1912"/>
        <s v="STU1913"/>
        <s v="STU1914"/>
        <s v="STU1915"/>
        <s v="STU1916"/>
        <s v="STU1917"/>
        <s v="STU1918"/>
        <s v="STU1919"/>
        <s v="STU1920"/>
        <s v="STU1921"/>
        <s v="STU1922"/>
        <s v="STU1923"/>
        <s v="STU1924"/>
        <s v="STU1925"/>
        <s v="STU1926"/>
        <s v="STU1927"/>
        <s v="STU1928"/>
        <s v="STU1929"/>
        <s v="STU1930"/>
        <s v="STU1931"/>
        <s v="STU1932"/>
        <s v="STU1933"/>
        <s v="STU1934"/>
        <s v="STU1935"/>
        <s v="STU1936"/>
        <s v="STU1937"/>
        <s v="STU1938"/>
        <s v="STU1939"/>
        <s v="STU1940"/>
        <s v="STU1941"/>
        <s v="STU1942"/>
        <s v="STU1943"/>
        <s v="STU1944"/>
        <s v="STU1945"/>
        <s v="STU1946"/>
        <s v="STU1947"/>
        <s v="STU1948"/>
        <s v="STU1949"/>
        <s v="STU1950"/>
        <s v="STU1951"/>
        <s v="STU1952"/>
        <s v="STU1953"/>
        <s v="STU1954"/>
        <s v="STU1955"/>
        <s v="STU1956"/>
        <s v="STU1957"/>
        <s v="STU1958"/>
        <s v="STU1959"/>
        <s v="STU1960"/>
        <s v="STU1961"/>
        <s v="STU1962"/>
        <s v="STU1963"/>
        <s v="STU1964"/>
        <s v="STU1965"/>
        <s v="STU1966"/>
        <s v="STU1967"/>
        <s v="STU1968"/>
        <s v="STU1969"/>
        <s v="STU1970"/>
        <s v="STU1971"/>
        <s v="STU1972"/>
        <s v="STU1973"/>
        <s v="STU1974"/>
        <s v="STU1975"/>
        <s v="STU1976"/>
        <s v="STU1977"/>
        <s v="STU1978"/>
        <s v="STU1979"/>
        <s v="STU1980"/>
        <s v="STU1981"/>
        <s v="STU1982"/>
        <s v="STU1983"/>
        <s v="STU1984"/>
        <s v="STU1985"/>
        <s v="STU1986"/>
        <s v="STU1987"/>
        <s v="STU1988"/>
        <s v="STU1989"/>
        <s v="STU1990"/>
        <s v="STU1991"/>
        <s v="STU1992"/>
        <s v="STU1993"/>
        <s v="STU1994"/>
        <s v="STU1995"/>
        <s v="STU1996"/>
        <s v="STU1997"/>
        <s v="STU1998"/>
        <s v="STU1999"/>
        <s v="STU2000"/>
      </sharedItems>
    </cacheField>
    <cacheField name="Student_Name" numFmtId="0">
      <sharedItems count="150">
        <s v="Rahul Sharma"/>
        <s v="Surya Raj"/>
        <s v="Kavin Nair"/>
        <s v="Vijay Raj"/>
        <s v="Akash Das"/>
        <s v="Meena Singh"/>
        <s v="Nisha Nair"/>
        <s v="Ajay Sharma"/>
        <s v="Anu Das"/>
        <s v="Arun Iyer"/>
        <s v="Ajay Iyer"/>
        <s v="Anu Gupta"/>
        <s v="Divya Nair"/>
        <s v="Ajay Gupta"/>
        <s v="Anu Sharma"/>
        <s v="Nisha Das"/>
        <s v="Nisha Gupta"/>
        <s v="Varun Reddy"/>
        <s v="Sneha Sharma"/>
        <s v="Ajay Raj"/>
        <s v="Arun Reddy"/>
        <s v="Priya Singh"/>
        <s v="Rahul Reddy"/>
        <s v="Sneha Raj"/>
        <s v="Surya Singh"/>
        <s v="Priya Patel"/>
        <s v="Vijay Iyer"/>
        <s v="Anu Reddy"/>
        <s v="Sneha Gupta"/>
        <s v="Meena Reddy"/>
        <s v="Rahul Raj"/>
        <s v="Rahul Patel"/>
        <s v="Ajay Singh"/>
        <s v="Kavin Iyer"/>
        <s v="Vijay Nair"/>
        <s v="Nisha Iyer"/>
        <s v="Divya Singh"/>
        <s v="Kavin Singh"/>
        <s v="Meena Nair"/>
        <s v="Sneha Kumar"/>
        <s v="Divya Reddy"/>
        <s v="Meena Gupta"/>
        <s v="Nisha Sharma"/>
        <s v="Akash Raj"/>
        <s v="Arun Nair"/>
        <s v="Priya Gupta"/>
        <s v="Riya Kumar"/>
        <s v="Arun Sharma"/>
        <s v="Priya Raj"/>
        <s v="Varun Iyer"/>
        <s v="Riya Raj"/>
        <s v="Akash Nair"/>
        <s v="Nisha Reddy"/>
        <s v="Varun Gupta"/>
        <s v="Surya Nair"/>
        <s v="Akash Reddy"/>
        <s v="Vijay Singh"/>
        <s v="Meena Kumar"/>
        <s v="Anu Raj"/>
        <s v="Varun Sharma"/>
        <s v="Surya Iyer"/>
        <s v="Rahul Singh"/>
        <s v="Priya Das"/>
        <s v="Nisha Raj"/>
        <s v="Meena Iyer"/>
        <s v="Akash Patel"/>
        <s v="Surya Patel"/>
        <s v="Vijay Das"/>
        <s v="Priya Nair"/>
        <s v="Nisha Patel"/>
        <s v="Vijay Sharma"/>
        <s v="Varun Das"/>
        <s v="Kavin Sharma"/>
        <s v="Kavin Kumar"/>
        <s v="Anu Kumar"/>
        <s v="Priya Kumar"/>
        <s v="Divya Patel"/>
        <s v="Meena Patel"/>
        <s v="Kavin Reddy"/>
        <s v="Priya Sharma"/>
        <s v="Rahul Nair"/>
        <s v="Akash Kumar"/>
        <s v="Ajay Kumar"/>
        <s v="Riya Singh"/>
        <s v="Varun Patel"/>
        <s v="Rahul Iyer"/>
        <s v="Arun Raj"/>
        <s v="Akash Iyer"/>
        <s v="Anu Iyer"/>
        <s v="Arun Das"/>
        <s v="Vijay Reddy"/>
        <s v="Sneha Das"/>
        <s v="Divya Sharma"/>
        <s v="Varun Nair"/>
        <s v="Riya Iyer"/>
        <s v="Divya Das"/>
        <s v="Riya Reddy"/>
        <s v="Varun Kumar"/>
        <s v="Divya Kumar"/>
        <s v="Anu Nair"/>
        <s v="Divya Raj"/>
        <s v="Meena Sharma"/>
        <s v="Sneha Singh"/>
        <s v="Priya Iyer"/>
        <s v="Priya Reddy"/>
        <s v="Sneha Patel"/>
        <s v="Divya Iyer"/>
        <s v="Akash Gupta"/>
        <s v="Nisha Kumar"/>
        <s v="Meena Das"/>
        <s v="Akash Singh"/>
        <s v="Kavin Das"/>
        <s v="Arun Singh"/>
        <s v="Rahul Das"/>
        <s v="Surya Das"/>
        <s v="Surya Gupta"/>
        <s v="Sneha Reddy"/>
        <s v="Kavin Raj"/>
        <s v="Anu Singh"/>
        <s v="Rahul Kumar"/>
        <s v="Arun Patel"/>
        <s v="Kavin Gupta"/>
        <s v="Ajay Nair"/>
        <s v="Akash Sharma"/>
        <s v="Ajay Reddy"/>
        <s v="Meena Raj"/>
        <s v="Surya Reddy"/>
        <s v="Riya Sharma"/>
        <s v="Nisha Singh"/>
        <s v="Arun Gupta"/>
        <s v="Surya Kumar"/>
        <s v="Vijay Gupta"/>
        <s v="Varun Singh"/>
        <s v="Varun Raj"/>
        <s v="Sneha Nair"/>
        <s v="Surya Sharma"/>
        <s v="Ajay Das"/>
        <s v="Kavin Patel"/>
        <s v="Vijay Kumar"/>
        <s v="Rahul Gupta"/>
        <s v="Riya Das"/>
        <s v="Riya Nair"/>
        <s v="Riya Patel"/>
        <s v="Arun Kumar"/>
        <s v="Riya Gupta"/>
        <s v="Vijay Patel"/>
        <s v="Anu Patel"/>
        <s v="Sneha Iyer"/>
        <s v="Divya Gupta"/>
        <s v="Ajay Patel"/>
      </sharedItems>
    </cacheField>
    <cacheField name="Gender" numFmtId="0">
      <sharedItems count="2">
        <s v="Female"/>
        <s v="Male"/>
      </sharedItems>
    </cacheField>
    <cacheField name="Class" numFmtId="0">
      <sharedItems containsSemiMixedTypes="0" containsString="0" containsNumber="1" containsInteger="1" minValue="1" maxValue="12" count="12">
        <n v="10"/>
        <n v="8"/>
        <n v="4"/>
        <n v="1"/>
        <n v="12"/>
        <n v="2"/>
        <n v="6"/>
        <n v="5"/>
        <n v="3"/>
        <n v="9"/>
        <n v="7"/>
        <n v="11"/>
      </sharedItems>
    </cacheField>
    <cacheField name="Section" numFmtId="0">
      <sharedItems count="4">
        <s v="D"/>
        <s v="C"/>
        <s v="B"/>
        <s v="A"/>
      </sharedItems>
    </cacheField>
    <cacheField name="Age" numFmtId="0">
      <sharedItems containsSemiMixedTypes="0" containsString="0" containsNumber="1" containsInteger="1" minValue="6" maxValue="18"/>
    </cacheField>
    <cacheField name="City" numFmtId="0">
      <sharedItems/>
    </cacheField>
    <cacheField name="Admission_Date" numFmtId="0">
      <sharedItems/>
    </cacheField>
    <cacheField name="Attendance_%" numFmtId="0">
      <sharedItems containsSemiMixedTypes="0" containsString="0" containsNumber="1" containsInteger="1" minValue="60" maxValue="100" count="41">
        <n v="70"/>
        <n v="75"/>
        <n v="79"/>
        <n v="67"/>
        <n v="77"/>
        <n v="88"/>
        <n v="95"/>
        <n v="62"/>
        <n v="64"/>
        <n v="63"/>
        <n v="71"/>
        <n v="83"/>
        <n v="65"/>
        <n v="76"/>
        <n v="69"/>
        <n v="74"/>
        <n v="94"/>
        <n v="98"/>
        <n v="68"/>
        <n v="90"/>
        <n v="78"/>
        <n v="93"/>
        <n v="60"/>
        <n v="92"/>
        <n v="85"/>
        <n v="66"/>
        <n v="80"/>
        <n v="96"/>
        <n v="82"/>
        <n v="81"/>
        <n v="91"/>
        <n v="61"/>
        <n v="72"/>
        <n v="99"/>
        <n v="86"/>
        <n v="73"/>
        <n v="100"/>
        <n v="84"/>
        <n v="89"/>
        <n v="97"/>
        <n v="87"/>
      </sharedItems>
    </cacheField>
    <cacheField name="Math_Marks" numFmtId="0">
      <sharedItems containsSemiMixedTypes="0" containsString="0" containsNumber="1" containsInteger="1" minValue="35" maxValue="100" count="66">
        <n v="50"/>
        <n v="73"/>
        <n v="90"/>
        <n v="97"/>
        <n v="96"/>
        <n v="72"/>
        <n v="86"/>
        <n v="71"/>
        <n v="88"/>
        <n v="75"/>
        <n v="91"/>
        <n v="62"/>
        <n v="100"/>
        <n v="52"/>
        <n v="99"/>
        <n v="66"/>
        <n v="44"/>
        <n v="80"/>
        <n v="38"/>
        <n v="39"/>
        <n v="81"/>
        <n v="68"/>
        <n v="98"/>
        <n v="67"/>
        <n v="89"/>
        <n v="87"/>
        <n v="49"/>
        <n v="40"/>
        <n v="55"/>
        <n v="61"/>
        <n v="60"/>
        <n v="46"/>
        <n v="78"/>
        <n v="57"/>
        <n v="69"/>
        <n v="51"/>
        <n v="36"/>
        <n v="41"/>
        <n v="94"/>
        <n v="48"/>
        <n v="70"/>
        <n v="54"/>
        <n v="83"/>
        <n v="74"/>
        <n v="56"/>
        <n v="63"/>
        <n v="95"/>
        <n v="82"/>
        <n v="58"/>
        <n v="64"/>
        <n v="85"/>
        <n v="43"/>
        <n v="42"/>
        <n v="45"/>
        <n v="79"/>
        <n v="76"/>
        <n v="93"/>
        <n v="59"/>
        <n v="37"/>
        <n v="84"/>
        <n v="47"/>
        <n v="35"/>
        <n v="65"/>
        <n v="77"/>
        <n v="92"/>
        <n v="53"/>
      </sharedItems>
    </cacheField>
    <cacheField name="Science_Marks" numFmtId="0">
      <sharedItems containsSemiMixedTypes="0" containsString="0" containsNumber="1" containsInteger="1" minValue="35" maxValue="100" count="66">
        <n v="81"/>
        <n v="64"/>
        <n v="62"/>
        <n v="94"/>
        <n v="91"/>
        <n v="68"/>
        <n v="61"/>
        <n v="48"/>
        <n v="85"/>
        <n v="41"/>
        <n v="36"/>
        <n v="96"/>
        <n v="89"/>
        <n v="99"/>
        <n v="51"/>
        <n v="37"/>
        <n v="42"/>
        <n v="60"/>
        <n v="95"/>
        <n v="70"/>
        <n v="45"/>
        <n v="88"/>
        <n v="87"/>
        <n v="84"/>
        <n v="49"/>
        <n v="59"/>
        <n v="83"/>
        <n v="69"/>
        <n v="77"/>
        <n v="97"/>
        <n v="65"/>
        <n v="98"/>
        <n v="80"/>
        <n v="44"/>
        <n v="50"/>
        <n v="43"/>
        <n v="82"/>
        <n v="78"/>
        <n v="46"/>
        <n v="66"/>
        <n v="52"/>
        <n v="100"/>
        <n v="74"/>
        <n v="86"/>
        <n v="90"/>
        <n v="73"/>
        <n v="71"/>
        <n v="55"/>
        <n v="35"/>
        <n v="67"/>
        <n v="53"/>
        <n v="38"/>
        <n v="63"/>
        <n v="56"/>
        <n v="40"/>
        <n v="39"/>
        <n v="75"/>
        <n v="57"/>
        <n v="72"/>
        <n v="93"/>
        <n v="47"/>
        <n v="79"/>
        <n v="58"/>
        <n v="92"/>
        <n v="54"/>
        <n v="76"/>
      </sharedItems>
    </cacheField>
    <cacheField name="English_Marks" numFmtId="0">
      <sharedItems containsSemiMixedTypes="0" containsString="0" containsNumber="1" containsInteger="1" minValue="35" maxValue="100" count="66">
        <n v="56"/>
        <n v="40"/>
        <n v="35"/>
        <n v="98"/>
        <n v="92"/>
        <n v="51"/>
        <n v="81"/>
        <n v="70"/>
        <n v="52"/>
        <n v="39"/>
        <n v="94"/>
        <n v="61"/>
        <n v="41"/>
        <n v="75"/>
        <n v="79"/>
        <n v="50"/>
        <n v="63"/>
        <n v="99"/>
        <n v="84"/>
        <n v="77"/>
        <n v="68"/>
        <n v="37"/>
        <n v="43"/>
        <n v="57"/>
        <n v="72"/>
        <n v="93"/>
        <n v="59"/>
        <n v="80"/>
        <n v="53"/>
        <n v="82"/>
        <n v="76"/>
        <n v="87"/>
        <n v="78"/>
        <n v="89"/>
        <n v="36"/>
        <n v="46"/>
        <n v="48"/>
        <n v="47"/>
        <n v="91"/>
        <n v="58"/>
        <n v="45"/>
        <n v="100"/>
        <n v="42"/>
        <n v="90"/>
        <n v="69"/>
        <n v="55"/>
        <n v="97"/>
        <n v="64"/>
        <n v="74"/>
        <n v="67"/>
        <n v="66"/>
        <n v="49"/>
        <n v="96"/>
        <n v="73"/>
        <n v="86"/>
        <n v="85"/>
        <n v="65"/>
        <n v="83"/>
        <n v="38"/>
        <n v="44"/>
        <n v="60"/>
        <n v="62"/>
        <n v="88"/>
        <n v="71"/>
        <n v="95"/>
        <n v="54"/>
      </sharedItems>
    </cacheField>
    <cacheField name="Social_Marks" numFmtId="0">
      <sharedItems containsSemiMixedTypes="0" containsString="0" containsNumber="1" containsInteger="1" minValue="35" maxValue="100" count="66">
        <n v="43"/>
        <n v="89"/>
        <n v="85"/>
        <n v="78"/>
        <n v="47"/>
        <n v="67"/>
        <n v="88"/>
        <n v="95"/>
        <n v="80"/>
        <n v="49"/>
        <n v="83"/>
        <n v="71"/>
        <n v="94"/>
        <n v="35"/>
        <n v="53"/>
        <n v="91"/>
        <n v="72"/>
        <n v="52"/>
        <n v="84"/>
        <n v="62"/>
        <n v="79"/>
        <n v="70"/>
        <n v="100"/>
        <n v="69"/>
        <n v="97"/>
        <n v="56"/>
        <n v="86"/>
        <n v="74"/>
        <n v="93"/>
        <n v="63"/>
        <n v="39"/>
        <n v="68"/>
        <n v="66"/>
        <n v="37"/>
        <n v="48"/>
        <n v="45"/>
        <n v="51"/>
        <n v="38"/>
        <n v="65"/>
        <n v="59"/>
        <n v="40"/>
        <n v="44"/>
        <n v="42"/>
        <n v="81"/>
        <n v="92"/>
        <n v="46"/>
        <n v="55"/>
        <n v="96"/>
        <n v="58"/>
        <n v="57"/>
        <n v="73"/>
        <n v="50"/>
        <n v="60"/>
        <n v="54"/>
        <n v="77"/>
        <n v="64"/>
        <n v="76"/>
        <n v="99"/>
        <n v="36"/>
        <n v="82"/>
        <n v="61"/>
        <n v="98"/>
        <n v="41"/>
        <n v="90"/>
        <n v="75"/>
        <n v="87"/>
      </sharedItems>
    </cacheField>
    <cacheField name="Computer_Marks" numFmtId="0">
      <sharedItems containsSemiMixedTypes="0" containsString="0" containsNumber="1" containsInteger="1" minValue="35" maxValue="100" count="66">
        <n v="84"/>
        <n v="68"/>
        <n v="78"/>
        <n v="67"/>
        <n v="96"/>
        <n v="63"/>
        <n v="83"/>
        <n v="89"/>
        <n v="52"/>
        <n v="90"/>
        <n v="98"/>
        <n v="38"/>
        <n v="77"/>
        <n v="87"/>
        <n v="37"/>
        <n v="75"/>
        <n v="99"/>
        <n v="64"/>
        <n v="72"/>
        <n v="48"/>
        <n v="94"/>
        <n v="45"/>
        <n v="43"/>
        <n v="76"/>
        <n v="70"/>
        <n v="55"/>
        <n v="49"/>
        <n v="81"/>
        <n v="85"/>
        <n v="61"/>
        <n v="60"/>
        <n v="97"/>
        <n v="93"/>
        <n v="88"/>
        <n v="69"/>
        <n v="39"/>
        <n v="35"/>
        <n v="92"/>
        <n v="44"/>
        <n v="42"/>
        <n v="54"/>
        <n v="57"/>
        <n v="79"/>
        <n v="71"/>
        <n v="50"/>
        <n v="51"/>
        <n v="66"/>
        <n v="100"/>
        <n v="46"/>
        <n v="40"/>
        <n v="74"/>
        <n v="58"/>
        <n v="59"/>
        <n v="91"/>
        <n v="53"/>
        <n v="80"/>
        <n v="47"/>
        <n v="86"/>
        <n v="41"/>
        <n v="82"/>
        <n v="62"/>
        <n v="95"/>
        <n v="56"/>
        <n v="36"/>
        <n v="65"/>
        <n v="73"/>
      </sharedItems>
    </cacheField>
    <cacheField name="Total_Marks" numFmtId="0">
      <sharedItems containsSemiMixedTypes="0" containsString="0" containsNumber="1" containsInteger="1" minValue="194" maxValue="469"/>
    </cacheField>
    <cacheField name="Percentage" numFmtId="0">
      <sharedItems containsSemiMixedTypes="0" containsString="0" containsNumber="1" minValue="38.799999999999997" maxValue="93.8"/>
    </cacheField>
    <cacheField name="Grade" numFmtId="0">
      <sharedItems count="6">
        <s v="B"/>
        <s v="B+"/>
        <s v="A"/>
        <s v="C"/>
        <s v="D"/>
        <s v="A+"/>
      </sharedItems>
    </cacheField>
    <cacheField name="Fee_Status" numFmtId="0">
      <sharedItems count="2">
        <s v="Paid"/>
        <s v="Pending"/>
      </sharedItems>
    </cacheField>
    <cacheField name="Monthly_Fee" numFmtId="0">
      <sharedItems containsSemiMixedTypes="0" containsString="0" containsNumber="1" containsInteger="1" minValue="1505" maxValue="4998"/>
    </cacheField>
    <cacheField name="Activity" numFmtId="0">
      <sharedItems/>
    </cacheField>
    <cacheField name="Pass/Fail" numFmtId="0">
      <sharedItems count="2">
        <s v="Pass"/>
        <s v="Fail"/>
      </sharedItems>
    </cacheField>
  </cacheFields>
  <extLst>
    <ext xmlns:x14="http://schemas.microsoft.com/office/spreadsheetml/2009/9/main" uri="{725AE2AE-9491-48be-B2B4-4EB974FC3084}">
      <x14:pivotCacheDefinition pivotCacheId="18888364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HESH P" refreshedDate="46185.920743750001" createdVersion="8" refreshedVersion="8" minRefreshableVersion="3" recordCount="5" xr:uid="{7CD4C5C6-E669-4157-A95D-4CB91AB291D4}">
  <cacheSource type="worksheet">
    <worksheetSource ref="AA3:AB8" sheet="School Dataset"/>
  </cacheSource>
  <cacheFields count="2">
    <cacheField name="Subject" numFmtId="0">
      <sharedItems count="5">
        <s v="Math"/>
        <s v="Science"/>
        <s v="English"/>
        <s v="Social"/>
        <s v="Computer"/>
      </sharedItems>
    </cacheField>
    <cacheField name="Avg Marks" numFmtId="0">
      <sharedItems containsSemiMixedTypes="0" containsString="0" containsNumber="1" minValue="67.45" maxValue="67.79000000000000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n v="15"/>
    <s v="Chennai"/>
    <s v="2024-12-27"/>
    <x v="0"/>
    <x v="0"/>
    <x v="0"/>
    <x v="0"/>
    <x v="0"/>
    <x v="0"/>
    <n v="314"/>
    <n v="62.8"/>
    <x v="0"/>
    <x v="0"/>
    <n v="4516"/>
    <s v="Sports"/>
    <x v="0"/>
  </r>
  <r>
    <x v="1"/>
    <x v="1"/>
    <x v="0"/>
    <x v="0"/>
    <x v="1"/>
    <n v="16"/>
    <s v="Madurai"/>
    <s v="2024-10-01"/>
    <x v="1"/>
    <x v="1"/>
    <x v="1"/>
    <x v="1"/>
    <x v="1"/>
    <x v="1"/>
    <n v="334"/>
    <n v="66.8"/>
    <x v="0"/>
    <x v="0"/>
    <n v="2700"/>
    <s v="Drama"/>
    <x v="0"/>
  </r>
  <r>
    <x v="2"/>
    <x v="2"/>
    <x v="1"/>
    <x v="1"/>
    <x v="0"/>
    <n v="14"/>
    <s v="Hyderabad"/>
    <s v="2023-11-22"/>
    <x v="2"/>
    <x v="2"/>
    <x v="2"/>
    <x v="2"/>
    <x v="2"/>
    <x v="2"/>
    <n v="350"/>
    <n v="70"/>
    <x v="1"/>
    <x v="1"/>
    <n v="3379"/>
    <s v="Music"/>
    <x v="0"/>
  </r>
  <r>
    <x v="3"/>
    <x v="3"/>
    <x v="1"/>
    <x v="2"/>
    <x v="2"/>
    <n v="8"/>
    <s v="Coimbatore"/>
    <s v="2021-12-26"/>
    <x v="3"/>
    <x v="3"/>
    <x v="3"/>
    <x v="3"/>
    <x v="3"/>
    <x v="3"/>
    <n v="434"/>
    <n v="86.8"/>
    <x v="2"/>
    <x v="0"/>
    <n v="1659"/>
    <s v="Dance"/>
    <x v="0"/>
  </r>
  <r>
    <x v="4"/>
    <x v="4"/>
    <x v="0"/>
    <x v="3"/>
    <x v="1"/>
    <n v="6"/>
    <s v="Madurai"/>
    <s v="2025-07-02"/>
    <x v="4"/>
    <x v="4"/>
    <x v="4"/>
    <x v="4"/>
    <x v="4"/>
    <x v="4"/>
    <n v="422"/>
    <n v="84.4"/>
    <x v="2"/>
    <x v="0"/>
    <n v="1980"/>
    <s v="Sports"/>
    <x v="0"/>
  </r>
  <r>
    <x v="5"/>
    <x v="5"/>
    <x v="0"/>
    <x v="4"/>
    <x v="3"/>
    <n v="18"/>
    <s v="Pune"/>
    <s v="2023-08-10"/>
    <x v="5"/>
    <x v="0"/>
    <x v="5"/>
    <x v="5"/>
    <x v="5"/>
    <x v="5"/>
    <n v="299"/>
    <n v="59.8"/>
    <x v="3"/>
    <x v="1"/>
    <n v="4450"/>
    <s v="Sports"/>
    <x v="0"/>
  </r>
  <r>
    <x v="6"/>
    <x v="6"/>
    <x v="0"/>
    <x v="5"/>
    <x v="3"/>
    <n v="8"/>
    <s v="Mumbai"/>
    <s v="2025-10-10"/>
    <x v="6"/>
    <x v="5"/>
    <x v="6"/>
    <x v="6"/>
    <x v="6"/>
    <x v="6"/>
    <n v="385"/>
    <n v="77"/>
    <x v="1"/>
    <x v="1"/>
    <n v="4007"/>
    <s v="Sports"/>
    <x v="0"/>
  </r>
  <r>
    <x v="7"/>
    <x v="7"/>
    <x v="0"/>
    <x v="6"/>
    <x v="1"/>
    <n v="11"/>
    <s v="Chennai"/>
    <s v="2025-11-29"/>
    <x v="7"/>
    <x v="6"/>
    <x v="7"/>
    <x v="7"/>
    <x v="7"/>
    <x v="7"/>
    <n v="388"/>
    <n v="77.599999999999994"/>
    <x v="1"/>
    <x v="0"/>
    <n v="2947"/>
    <s v="Drama"/>
    <x v="0"/>
  </r>
  <r>
    <x v="8"/>
    <x v="4"/>
    <x v="1"/>
    <x v="5"/>
    <x v="0"/>
    <n v="7"/>
    <s v="Bangalore"/>
    <s v="2021-02-21"/>
    <x v="8"/>
    <x v="7"/>
    <x v="8"/>
    <x v="8"/>
    <x v="8"/>
    <x v="8"/>
    <n v="340"/>
    <n v="68"/>
    <x v="0"/>
    <x v="0"/>
    <n v="2819"/>
    <s v="Art"/>
    <x v="0"/>
  </r>
  <r>
    <x v="9"/>
    <x v="8"/>
    <x v="0"/>
    <x v="7"/>
    <x v="2"/>
    <n v="11"/>
    <s v="Hyderabad"/>
    <s v="2025-06-26"/>
    <x v="4"/>
    <x v="8"/>
    <x v="1"/>
    <x v="9"/>
    <x v="6"/>
    <x v="9"/>
    <n v="369"/>
    <n v="73.8"/>
    <x v="1"/>
    <x v="1"/>
    <n v="2234"/>
    <s v="Coding Club"/>
    <x v="0"/>
  </r>
  <r>
    <x v="10"/>
    <x v="9"/>
    <x v="1"/>
    <x v="2"/>
    <x v="2"/>
    <n v="8"/>
    <s v="Bangalore"/>
    <s v="2022-03-01"/>
    <x v="9"/>
    <x v="9"/>
    <x v="9"/>
    <x v="10"/>
    <x v="9"/>
    <x v="10"/>
    <n v="357"/>
    <n v="71.400000000000006"/>
    <x v="1"/>
    <x v="0"/>
    <n v="3937"/>
    <s v="Coding Club"/>
    <x v="0"/>
  </r>
  <r>
    <x v="11"/>
    <x v="10"/>
    <x v="0"/>
    <x v="4"/>
    <x v="2"/>
    <n v="18"/>
    <s v="Mumbai"/>
    <s v="2022-04-24"/>
    <x v="10"/>
    <x v="2"/>
    <x v="10"/>
    <x v="11"/>
    <x v="10"/>
    <x v="9"/>
    <n v="360"/>
    <n v="72"/>
    <x v="1"/>
    <x v="0"/>
    <n v="4769"/>
    <s v="Drama"/>
    <x v="0"/>
  </r>
  <r>
    <x v="12"/>
    <x v="11"/>
    <x v="0"/>
    <x v="5"/>
    <x v="2"/>
    <n v="6"/>
    <s v="Coimbatore"/>
    <s v="2025-08-01"/>
    <x v="2"/>
    <x v="4"/>
    <x v="1"/>
    <x v="12"/>
    <x v="11"/>
    <x v="11"/>
    <n v="310"/>
    <n v="62"/>
    <x v="0"/>
    <x v="1"/>
    <n v="3818"/>
    <s v="Drama"/>
    <x v="0"/>
  </r>
  <r>
    <x v="13"/>
    <x v="12"/>
    <x v="1"/>
    <x v="8"/>
    <x v="1"/>
    <n v="7"/>
    <s v="Mumbai"/>
    <s v="2023-08-21"/>
    <x v="11"/>
    <x v="8"/>
    <x v="2"/>
    <x v="13"/>
    <x v="12"/>
    <x v="12"/>
    <n v="396"/>
    <n v="79.2"/>
    <x v="1"/>
    <x v="0"/>
    <n v="2456"/>
    <s v="Coding Club"/>
    <x v="0"/>
  </r>
  <r>
    <x v="14"/>
    <x v="13"/>
    <x v="0"/>
    <x v="1"/>
    <x v="2"/>
    <n v="13"/>
    <s v="Hyderabad"/>
    <s v="2025-04-07"/>
    <x v="12"/>
    <x v="10"/>
    <x v="11"/>
    <x v="14"/>
    <x v="13"/>
    <x v="11"/>
    <n v="339"/>
    <n v="67.8"/>
    <x v="0"/>
    <x v="1"/>
    <n v="1783"/>
    <s v="Drama"/>
    <x v="0"/>
  </r>
  <r>
    <x v="15"/>
    <x v="14"/>
    <x v="0"/>
    <x v="1"/>
    <x v="1"/>
    <n v="13"/>
    <s v="Chennai"/>
    <s v="2021-12-09"/>
    <x v="13"/>
    <x v="11"/>
    <x v="12"/>
    <x v="15"/>
    <x v="14"/>
    <x v="6"/>
    <n v="337"/>
    <n v="67.400000000000006"/>
    <x v="0"/>
    <x v="1"/>
    <n v="2430"/>
    <s v="Art"/>
    <x v="0"/>
  </r>
  <r>
    <x v="16"/>
    <x v="15"/>
    <x v="0"/>
    <x v="6"/>
    <x v="2"/>
    <n v="12"/>
    <s v="Madurai"/>
    <s v="2024-12-09"/>
    <x v="14"/>
    <x v="12"/>
    <x v="13"/>
    <x v="16"/>
    <x v="15"/>
    <x v="13"/>
    <n v="440"/>
    <n v="88"/>
    <x v="2"/>
    <x v="0"/>
    <n v="2365"/>
    <s v="Coding Club"/>
    <x v="0"/>
  </r>
  <r>
    <x v="17"/>
    <x v="16"/>
    <x v="1"/>
    <x v="3"/>
    <x v="3"/>
    <n v="6"/>
    <s v="Pune"/>
    <s v="2023-07-12"/>
    <x v="15"/>
    <x v="13"/>
    <x v="14"/>
    <x v="17"/>
    <x v="16"/>
    <x v="14"/>
    <n v="311"/>
    <n v="62.2"/>
    <x v="0"/>
    <x v="1"/>
    <n v="3805"/>
    <s v="Coding Club"/>
    <x v="0"/>
  </r>
  <r>
    <x v="18"/>
    <x v="17"/>
    <x v="1"/>
    <x v="1"/>
    <x v="3"/>
    <n v="14"/>
    <s v="Hyderabad"/>
    <s v="2021-02-20"/>
    <x v="16"/>
    <x v="14"/>
    <x v="3"/>
    <x v="7"/>
    <x v="17"/>
    <x v="6"/>
    <n v="398"/>
    <n v="79.599999999999994"/>
    <x v="1"/>
    <x v="1"/>
    <n v="4998"/>
    <s v="Drama"/>
    <x v="0"/>
  </r>
  <r>
    <x v="19"/>
    <x v="18"/>
    <x v="1"/>
    <x v="2"/>
    <x v="2"/>
    <n v="10"/>
    <s v="Mumbai"/>
    <s v="2021-10-14"/>
    <x v="14"/>
    <x v="15"/>
    <x v="15"/>
    <x v="18"/>
    <x v="18"/>
    <x v="15"/>
    <n v="346"/>
    <n v="69.2"/>
    <x v="0"/>
    <x v="0"/>
    <n v="3407"/>
    <s v="Music"/>
    <x v="0"/>
  </r>
  <r>
    <x v="20"/>
    <x v="13"/>
    <x v="1"/>
    <x v="2"/>
    <x v="0"/>
    <n v="10"/>
    <s v="Pune"/>
    <s v="2023-10-18"/>
    <x v="17"/>
    <x v="2"/>
    <x v="16"/>
    <x v="3"/>
    <x v="19"/>
    <x v="16"/>
    <n v="391"/>
    <n v="78.2"/>
    <x v="1"/>
    <x v="1"/>
    <n v="1725"/>
    <s v="Drama"/>
    <x v="0"/>
  </r>
  <r>
    <x v="21"/>
    <x v="19"/>
    <x v="1"/>
    <x v="8"/>
    <x v="0"/>
    <n v="8"/>
    <s v="Madurai"/>
    <s v="2021-05-09"/>
    <x v="18"/>
    <x v="16"/>
    <x v="17"/>
    <x v="17"/>
    <x v="14"/>
    <x v="17"/>
    <n v="320"/>
    <n v="64"/>
    <x v="0"/>
    <x v="1"/>
    <n v="3711"/>
    <s v="Music"/>
    <x v="0"/>
  </r>
  <r>
    <x v="22"/>
    <x v="20"/>
    <x v="1"/>
    <x v="9"/>
    <x v="0"/>
    <n v="14"/>
    <s v="Bangalore"/>
    <s v="2024-12-08"/>
    <x v="19"/>
    <x v="17"/>
    <x v="18"/>
    <x v="19"/>
    <x v="20"/>
    <x v="18"/>
    <n v="403"/>
    <n v="80.599999999999994"/>
    <x v="2"/>
    <x v="1"/>
    <n v="2591"/>
    <s v="Drama"/>
    <x v="0"/>
  </r>
  <r>
    <x v="23"/>
    <x v="21"/>
    <x v="1"/>
    <x v="9"/>
    <x v="2"/>
    <n v="13"/>
    <s v="Coimbatore"/>
    <s v="2025-08-17"/>
    <x v="20"/>
    <x v="18"/>
    <x v="19"/>
    <x v="20"/>
    <x v="21"/>
    <x v="19"/>
    <n v="294"/>
    <n v="58.8"/>
    <x v="3"/>
    <x v="1"/>
    <n v="4255"/>
    <s v="Sports"/>
    <x v="0"/>
  </r>
  <r>
    <x v="24"/>
    <x v="22"/>
    <x v="0"/>
    <x v="3"/>
    <x v="2"/>
    <n v="6"/>
    <s v="Chennai"/>
    <s v="2021-04-30"/>
    <x v="21"/>
    <x v="19"/>
    <x v="20"/>
    <x v="21"/>
    <x v="18"/>
    <x v="17"/>
    <n v="269"/>
    <n v="53.8"/>
    <x v="3"/>
    <x v="1"/>
    <n v="1735"/>
    <s v="Art"/>
    <x v="1"/>
  </r>
  <r>
    <x v="25"/>
    <x v="22"/>
    <x v="0"/>
    <x v="5"/>
    <x v="2"/>
    <n v="7"/>
    <s v="Madurai"/>
    <s v="2021-12-17"/>
    <x v="22"/>
    <x v="10"/>
    <x v="21"/>
    <x v="22"/>
    <x v="22"/>
    <x v="20"/>
    <n v="416"/>
    <n v="83.2"/>
    <x v="2"/>
    <x v="1"/>
    <n v="3837"/>
    <s v="Drama"/>
    <x v="0"/>
  </r>
  <r>
    <x v="26"/>
    <x v="23"/>
    <x v="1"/>
    <x v="3"/>
    <x v="1"/>
    <n v="6"/>
    <s v="Madurai"/>
    <s v="2025-10-29"/>
    <x v="23"/>
    <x v="20"/>
    <x v="22"/>
    <x v="5"/>
    <x v="23"/>
    <x v="21"/>
    <n v="333"/>
    <n v="66.599999999999994"/>
    <x v="0"/>
    <x v="0"/>
    <n v="1938"/>
    <s v="Drama"/>
    <x v="0"/>
  </r>
  <r>
    <x v="27"/>
    <x v="15"/>
    <x v="1"/>
    <x v="7"/>
    <x v="2"/>
    <n v="11"/>
    <s v="Coimbatore"/>
    <s v="2021-03-23"/>
    <x v="24"/>
    <x v="21"/>
    <x v="23"/>
    <x v="16"/>
    <x v="24"/>
    <x v="21"/>
    <n v="357"/>
    <n v="71.400000000000006"/>
    <x v="1"/>
    <x v="0"/>
    <n v="3685"/>
    <s v="Art"/>
    <x v="0"/>
  </r>
  <r>
    <x v="28"/>
    <x v="24"/>
    <x v="0"/>
    <x v="5"/>
    <x v="3"/>
    <n v="8"/>
    <s v="Coimbatore"/>
    <s v="2024-03-01"/>
    <x v="25"/>
    <x v="17"/>
    <x v="24"/>
    <x v="23"/>
    <x v="6"/>
    <x v="9"/>
    <n v="364"/>
    <n v="72.8"/>
    <x v="1"/>
    <x v="1"/>
    <n v="3892"/>
    <s v="Music"/>
    <x v="0"/>
  </r>
  <r>
    <x v="29"/>
    <x v="25"/>
    <x v="1"/>
    <x v="9"/>
    <x v="3"/>
    <n v="13"/>
    <s v="Hyderabad"/>
    <s v="2023-07-09"/>
    <x v="26"/>
    <x v="9"/>
    <x v="25"/>
    <x v="22"/>
    <x v="4"/>
    <x v="13"/>
    <n v="311"/>
    <n v="62.2"/>
    <x v="0"/>
    <x v="0"/>
    <n v="2290"/>
    <s v="Music"/>
    <x v="0"/>
  </r>
  <r>
    <x v="30"/>
    <x v="2"/>
    <x v="1"/>
    <x v="1"/>
    <x v="0"/>
    <n v="12"/>
    <s v="Bangalore"/>
    <s v="2023-06-22"/>
    <x v="27"/>
    <x v="15"/>
    <x v="20"/>
    <x v="24"/>
    <x v="25"/>
    <x v="22"/>
    <n v="282"/>
    <n v="56.4"/>
    <x v="3"/>
    <x v="0"/>
    <n v="3128"/>
    <s v="Drama"/>
    <x v="0"/>
  </r>
  <r>
    <x v="31"/>
    <x v="26"/>
    <x v="1"/>
    <x v="4"/>
    <x v="3"/>
    <n v="16"/>
    <s v="Bangalore"/>
    <s v="2023-07-21"/>
    <x v="24"/>
    <x v="22"/>
    <x v="26"/>
    <x v="25"/>
    <x v="26"/>
    <x v="23"/>
    <n v="436"/>
    <n v="87.2"/>
    <x v="2"/>
    <x v="1"/>
    <n v="4949"/>
    <s v="Drama"/>
    <x v="0"/>
  </r>
  <r>
    <x v="32"/>
    <x v="27"/>
    <x v="1"/>
    <x v="9"/>
    <x v="1"/>
    <n v="15"/>
    <s v="Mumbai"/>
    <s v="2024-09-03"/>
    <x v="28"/>
    <x v="21"/>
    <x v="23"/>
    <x v="15"/>
    <x v="17"/>
    <x v="24"/>
    <n v="324"/>
    <n v="64.8"/>
    <x v="0"/>
    <x v="0"/>
    <n v="3597"/>
    <s v="Sports"/>
    <x v="0"/>
  </r>
  <r>
    <x v="33"/>
    <x v="28"/>
    <x v="0"/>
    <x v="5"/>
    <x v="3"/>
    <n v="6"/>
    <s v="Madurai"/>
    <s v="2023-03-06"/>
    <x v="29"/>
    <x v="23"/>
    <x v="6"/>
    <x v="26"/>
    <x v="4"/>
    <x v="11"/>
    <n v="272"/>
    <n v="54.4"/>
    <x v="3"/>
    <x v="1"/>
    <n v="3807"/>
    <s v="Drama"/>
    <x v="1"/>
  </r>
  <r>
    <x v="34"/>
    <x v="29"/>
    <x v="1"/>
    <x v="3"/>
    <x v="2"/>
    <n v="6"/>
    <s v="Coimbatore"/>
    <s v="2024-07-27"/>
    <x v="30"/>
    <x v="19"/>
    <x v="27"/>
    <x v="27"/>
    <x v="14"/>
    <x v="19"/>
    <n v="289"/>
    <n v="57.8"/>
    <x v="3"/>
    <x v="1"/>
    <n v="2504"/>
    <s v="Coding Club"/>
    <x v="0"/>
  </r>
  <r>
    <x v="35"/>
    <x v="11"/>
    <x v="0"/>
    <x v="2"/>
    <x v="3"/>
    <n v="8"/>
    <s v="Mumbai"/>
    <s v="2022-12-19"/>
    <x v="13"/>
    <x v="22"/>
    <x v="13"/>
    <x v="28"/>
    <x v="27"/>
    <x v="25"/>
    <n v="379"/>
    <n v="75.8"/>
    <x v="1"/>
    <x v="0"/>
    <n v="2635"/>
    <s v="Music"/>
    <x v="0"/>
  </r>
  <r>
    <x v="36"/>
    <x v="30"/>
    <x v="0"/>
    <x v="10"/>
    <x v="1"/>
    <n v="13"/>
    <s v="Madurai"/>
    <s v="2021-08-09"/>
    <x v="24"/>
    <x v="24"/>
    <x v="28"/>
    <x v="19"/>
    <x v="27"/>
    <x v="22"/>
    <n v="360"/>
    <n v="72"/>
    <x v="1"/>
    <x v="0"/>
    <n v="2400"/>
    <s v="Art"/>
    <x v="0"/>
  </r>
  <r>
    <x v="37"/>
    <x v="31"/>
    <x v="0"/>
    <x v="5"/>
    <x v="0"/>
    <n v="6"/>
    <s v="Pune"/>
    <s v="2022-03-22"/>
    <x v="30"/>
    <x v="25"/>
    <x v="29"/>
    <x v="4"/>
    <x v="13"/>
    <x v="11"/>
    <n v="349"/>
    <n v="69.8"/>
    <x v="0"/>
    <x v="0"/>
    <n v="2708"/>
    <s v="Art"/>
    <x v="0"/>
  </r>
  <r>
    <x v="38"/>
    <x v="32"/>
    <x v="0"/>
    <x v="8"/>
    <x v="1"/>
    <n v="7"/>
    <s v="Madurai"/>
    <s v="2023-06-15"/>
    <x v="16"/>
    <x v="26"/>
    <x v="30"/>
    <x v="20"/>
    <x v="1"/>
    <x v="9"/>
    <n v="361"/>
    <n v="72.2"/>
    <x v="1"/>
    <x v="1"/>
    <n v="3360"/>
    <s v="Sports"/>
    <x v="0"/>
  </r>
  <r>
    <x v="39"/>
    <x v="33"/>
    <x v="1"/>
    <x v="5"/>
    <x v="2"/>
    <n v="8"/>
    <s v="Chennai"/>
    <s v="2022-09-28"/>
    <x v="3"/>
    <x v="19"/>
    <x v="31"/>
    <x v="29"/>
    <x v="28"/>
    <x v="26"/>
    <n v="361"/>
    <n v="72.2"/>
    <x v="1"/>
    <x v="0"/>
    <n v="2895"/>
    <s v="Art"/>
    <x v="0"/>
  </r>
  <r>
    <x v="40"/>
    <x v="34"/>
    <x v="1"/>
    <x v="1"/>
    <x v="2"/>
    <n v="12"/>
    <s v="Madurai"/>
    <s v="2024-04-16"/>
    <x v="21"/>
    <x v="27"/>
    <x v="5"/>
    <x v="16"/>
    <x v="29"/>
    <x v="16"/>
    <n v="333"/>
    <n v="66.599999999999994"/>
    <x v="0"/>
    <x v="1"/>
    <n v="4906"/>
    <s v="Dance"/>
    <x v="0"/>
  </r>
  <r>
    <x v="41"/>
    <x v="35"/>
    <x v="1"/>
    <x v="3"/>
    <x v="3"/>
    <n v="7"/>
    <s v="Madurai"/>
    <s v="2023-02-14"/>
    <x v="24"/>
    <x v="19"/>
    <x v="11"/>
    <x v="1"/>
    <x v="30"/>
    <x v="25"/>
    <n v="269"/>
    <n v="53.8"/>
    <x v="3"/>
    <x v="1"/>
    <n v="2999"/>
    <s v="Dance"/>
    <x v="1"/>
  </r>
  <r>
    <x v="42"/>
    <x v="5"/>
    <x v="1"/>
    <x v="3"/>
    <x v="2"/>
    <n v="7"/>
    <s v="Coimbatore"/>
    <s v="2022-04-01"/>
    <x v="31"/>
    <x v="13"/>
    <x v="1"/>
    <x v="30"/>
    <x v="10"/>
    <x v="27"/>
    <n v="356"/>
    <n v="71.2"/>
    <x v="1"/>
    <x v="0"/>
    <n v="3235"/>
    <s v="Coding Club"/>
    <x v="0"/>
  </r>
  <r>
    <x v="43"/>
    <x v="36"/>
    <x v="1"/>
    <x v="3"/>
    <x v="3"/>
    <n v="7"/>
    <s v="Hyderabad"/>
    <s v="2021-07-19"/>
    <x v="25"/>
    <x v="28"/>
    <x v="32"/>
    <x v="31"/>
    <x v="27"/>
    <x v="28"/>
    <n v="381"/>
    <n v="76.2"/>
    <x v="1"/>
    <x v="0"/>
    <n v="3266"/>
    <s v="Art"/>
    <x v="0"/>
  </r>
  <r>
    <x v="44"/>
    <x v="37"/>
    <x v="1"/>
    <x v="7"/>
    <x v="2"/>
    <n v="11"/>
    <s v="Chennai"/>
    <s v="2024-01-17"/>
    <x v="31"/>
    <x v="29"/>
    <x v="33"/>
    <x v="32"/>
    <x v="19"/>
    <x v="26"/>
    <n v="294"/>
    <n v="58.8"/>
    <x v="3"/>
    <x v="1"/>
    <n v="2572"/>
    <s v="Coding Club"/>
    <x v="0"/>
  </r>
  <r>
    <x v="45"/>
    <x v="27"/>
    <x v="1"/>
    <x v="9"/>
    <x v="2"/>
    <n v="15"/>
    <s v="Coimbatore"/>
    <s v="2025-02-09"/>
    <x v="5"/>
    <x v="30"/>
    <x v="34"/>
    <x v="3"/>
    <x v="28"/>
    <x v="29"/>
    <n v="362"/>
    <n v="72.400000000000006"/>
    <x v="1"/>
    <x v="0"/>
    <n v="4795"/>
    <s v="Dance"/>
    <x v="0"/>
  </r>
  <r>
    <x v="46"/>
    <x v="20"/>
    <x v="1"/>
    <x v="7"/>
    <x v="3"/>
    <n v="11"/>
    <s v="Chennai"/>
    <s v="2025-04-30"/>
    <x v="14"/>
    <x v="31"/>
    <x v="3"/>
    <x v="12"/>
    <x v="24"/>
    <x v="30"/>
    <n v="338"/>
    <n v="67.599999999999994"/>
    <x v="0"/>
    <x v="0"/>
    <n v="2064"/>
    <s v="Sports"/>
    <x v="0"/>
  </r>
  <r>
    <x v="47"/>
    <x v="38"/>
    <x v="1"/>
    <x v="7"/>
    <x v="3"/>
    <n v="9"/>
    <s v="Chennai"/>
    <s v="2024-05-28"/>
    <x v="31"/>
    <x v="18"/>
    <x v="30"/>
    <x v="33"/>
    <x v="21"/>
    <x v="31"/>
    <n v="359"/>
    <n v="71.8"/>
    <x v="1"/>
    <x v="0"/>
    <n v="2682"/>
    <s v="Music"/>
    <x v="0"/>
  </r>
  <r>
    <x v="48"/>
    <x v="39"/>
    <x v="1"/>
    <x v="2"/>
    <x v="1"/>
    <n v="9"/>
    <s v="Coimbatore"/>
    <s v="2024-06-18"/>
    <x v="28"/>
    <x v="5"/>
    <x v="27"/>
    <x v="28"/>
    <x v="9"/>
    <x v="32"/>
    <n v="336"/>
    <n v="67.2"/>
    <x v="0"/>
    <x v="0"/>
    <n v="4537"/>
    <s v="Coding Club"/>
    <x v="0"/>
  </r>
  <r>
    <x v="49"/>
    <x v="40"/>
    <x v="0"/>
    <x v="0"/>
    <x v="0"/>
    <n v="15"/>
    <s v="Pune"/>
    <s v="2024-02-18"/>
    <x v="8"/>
    <x v="7"/>
    <x v="35"/>
    <x v="34"/>
    <x v="31"/>
    <x v="9"/>
    <n v="308"/>
    <n v="61.6"/>
    <x v="0"/>
    <x v="1"/>
    <n v="4969"/>
    <s v="Coding Club"/>
    <x v="0"/>
  </r>
  <r>
    <x v="50"/>
    <x v="41"/>
    <x v="1"/>
    <x v="2"/>
    <x v="0"/>
    <n v="8"/>
    <s v="Bangalore"/>
    <s v="2023-04-22"/>
    <x v="1"/>
    <x v="32"/>
    <x v="4"/>
    <x v="26"/>
    <x v="32"/>
    <x v="33"/>
    <n v="382"/>
    <n v="76.400000000000006"/>
    <x v="1"/>
    <x v="0"/>
    <n v="4193"/>
    <s v="Coding Club"/>
    <x v="0"/>
  </r>
  <r>
    <x v="51"/>
    <x v="42"/>
    <x v="0"/>
    <x v="9"/>
    <x v="2"/>
    <n v="13"/>
    <s v="Bangalore"/>
    <s v="2023-08-06"/>
    <x v="23"/>
    <x v="33"/>
    <x v="35"/>
    <x v="35"/>
    <x v="33"/>
    <x v="17"/>
    <n v="247"/>
    <n v="49.4"/>
    <x v="4"/>
    <x v="1"/>
    <n v="2231"/>
    <s v="Sports"/>
    <x v="1"/>
  </r>
  <r>
    <x v="52"/>
    <x v="43"/>
    <x v="1"/>
    <x v="10"/>
    <x v="1"/>
    <n v="12"/>
    <s v="Chennai"/>
    <s v="2025-10-23"/>
    <x v="32"/>
    <x v="22"/>
    <x v="24"/>
    <x v="31"/>
    <x v="34"/>
    <x v="34"/>
    <n v="351"/>
    <n v="70.2"/>
    <x v="1"/>
    <x v="0"/>
    <n v="4884"/>
    <s v="Dance"/>
    <x v="0"/>
  </r>
  <r>
    <x v="53"/>
    <x v="44"/>
    <x v="0"/>
    <x v="11"/>
    <x v="3"/>
    <n v="16"/>
    <s v="Madurai"/>
    <s v="2022-11-19"/>
    <x v="3"/>
    <x v="34"/>
    <x v="23"/>
    <x v="13"/>
    <x v="35"/>
    <x v="32"/>
    <n v="366"/>
    <n v="73.2"/>
    <x v="1"/>
    <x v="1"/>
    <n v="2696"/>
    <s v="Drama"/>
    <x v="0"/>
  </r>
  <r>
    <x v="54"/>
    <x v="45"/>
    <x v="1"/>
    <x v="5"/>
    <x v="0"/>
    <n v="7"/>
    <s v="Madurai"/>
    <s v="2025-11-21"/>
    <x v="33"/>
    <x v="35"/>
    <x v="33"/>
    <x v="36"/>
    <x v="36"/>
    <x v="1"/>
    <n v="262"/>
    <n v="52.4"/>
    <x v="3"/>
    <x v="0"/>
    <n v="1764"/>
    <s v="Dance"/>
    <x v="1"/>
  </r>
  <r>
    <x v="55"/>
    <x v="46"/>
    <x v="1"/>
    <x v="5"/>
    <x v="3"/>
    <n v="6"/>
    <s v="Hyderabad"/>
    <s v="2022-06-06"/>
    <x v="16"/>
    <x v="36"/>
    <x v="36"/>
    <x v="30"/>
    <x v="29"/>
    <x v="35"/>
    <n v="296"/>
    <n v="59.2"/>
    <x v="3"/>
    <x v="1"/>
    <n v="2996"/>
    <s v="Sports"/>
    <x v="0"/>
  </r>
  <r>
    <x v="56"/>
    <x v="47"/>
    <x v="1"/>
    <x v="6"/>
    <x v="3"/>
    <n v="12"/>
    <s v="Pune"/>
    <s v="2022-09-09"/>
    <x v="32"/>
    <x v="17"/>
    <x v="37"/>
    <x v="37"/>
    <x v="33"/>
    <x v="36"/>
    <n v="277"/>
    <n v="55.4"/>
    <x v="3"/>
    <x v="0"/>
    <n v="1589"/>
    <s v="Sports"/>
    <x v="0"/>
  </r>
  <r>
    <x v="57"/>
    <x v="48"/>
    <x v="0"/>
    <x v="0"/>
    <x v="3"/>
    <n v="15"/>
    <s v="Chennai"/>
    <s v="2025-10-17"/>
    <x v="32"/>
    <x v="9"/>
    <x v="19"/>
    <x v="15"/>
    <x v="5"/>
    <x v="37"/>
    <n v="354"/>
    <n v="70.8"/>
    <x v="1"/>
    <x v="0"/>
    <n v="3133"/>
    <s v="Music"/>
    <x v="0"/>
  </r>
  <r>
    <x v="58"/>
    <x v="49"/>
    <x v="1"/>
    <x v="3"/>
    <x v="3"/>
    <n v="6"/>
    <s v="Madurai"/>
    <s v="2023-04-01"/>
    <x v="26"/>
    <x v="19"/>
    <x v="38"/>
    <x v="38"/>
    <x v="27"/>
    <x v="28"/>
    <n v="335"/>
    <n v="67"/>
    <x v="0"/>
    <x v="1"/>
    <n v="2062"/>
    <s v="Art"/>
    <x v="0"/>
  </r>
  <r>
    <x v="59"/>
    <x v="50"/>
    <x v="0"/>
    <x v="5"/>
    <x v="2"/>
    <n v="6"/>
    <s v="Coimbatore"/>
    <s v="2024-01-02"/>
    <x v="31"/>
    <x v="37"/>
    <x v="39"/>
    <x v="39"/>
    <x v="37"/>
    <x v="33"/>
    <n v="291"/>
    <n v="58.2"/>
    <x v="3"/>
    <x v="0"/>
    <n v="1517"/>
    <s v="Sports"/>
    <x v="0"/>
  </r>
  <r>
    <x v="60"/>
    <x v="51"/>
    <x v="0"/>
    <x v="6"/>
    <x v="0"/>
    <n v="10"/>
    <s v="Hyderabad"/>
    <s v="2021-09-21"/>
    <x v="26"/>
    <x v="38"/>
    <x v="40"/>
    <x v="30"/>
    <x v="38"/>
    <x v="31"/>
    <n v="384"/>
    <n v="76.8"/>
    <x v="1"/>
    <x v="1"/>
    <n v="4766"/>
    <s v="Dance"/>
    <x v="0"/>
  </r>
  <r>
    <x v="61"/>
    <x v="15"/>
    <x v="0"/>
    <x v="11"/>
    <x v="3"/>
    <n v="15"/>
    <s v="Bangalore"/>
    <s v="2024-07-04"/>
    <x v="34"/>
    <x v="24"/>
    <x v="35"/>
    <x v="40"/>
    <x v="39"/>
    <x v="38"/>
    <n v="280"/>
    <n v="56"/>
    <x v="3"/>
    <x v="1"/>
    <n v="1685"/>
    <s v="Sports"/>
    <x v="0"/>
  </r>
  <r>
    <x v="62"/>
    <x v="52"/>
    <x v="0"/>
    <x v="8"/>
    <x v="1"/>
    <n v="7"/>
    <s v="Madurai"/>
    <s v="2022-09-27"/>
    <x v="24"/>
    <x v="39"/>
    <x v="41"/>
    <x v="23"/>
    <x v="40"/>
    <x v="31"/>
    <n v="342"/>
    <n v="68.400000000000006"/>
    <x v="0"/>
    <x v="1"/>
    <n v="3818"/>
    <s v="Music"/>
    <x v="0"/>
  </r>
  <r>
    <x v="63"/>
    <x v="45"/>
    <x v="1"/>
    <x v="6"/>
    <x v="2"/>
    <n v="12"/>
    <s v="Mumbai"/>
    <s v="2024-11-13"/>
    <x v="35"/>
    <x v="28"/>
    <x v="7"/>
    <x v="41"/>
    <x v="41"/>
    <x v="22"/>
    <n v="290"/>
    <n v="58"/>
    <x v="3"/>
    <x v="1"/>
    <n v="3941"/>
    <s v="Music"/>
    <x v="0"/>
  </r>
  <r>
    <x v="64"/>
    <x v="8"/>
    <x v="0"/>
    <x v="4"/>
    <x v="1"/>
    <n v="17"/>
    <s v="Coimbatore"/>
    <s v="2025-11-06"/>
    <x v="34"/>
    <x v="24"/>
    <x v="42"/>
    <x v="42"/>
    <x v="28"/>
    <x v="1"/>
    <n v="366"/>
    <n v="73.2"/>
    <x v="1"/>
    <x v="0"/>
    <n v="1816"/>
    <s v="Drama"/>
    <x v="0"/>
  </r>
  <r>
    <x v="65"/>
    <x v="53"/>
    <x v="0"/>
    <x v="2"/>
    <x v="1"/>
    <n v="10"/>
    <s v="Mumbai"/>
    <s v="2024-08-31"/>
    <x v="21"/>
    <x v="29"/>
    <x v="43"/>
    <x v="0"/>
    <x v="42"/>
    <x v="39"/>
    <n v="287"/>
    <n v="57.4"/>
    <x v="3"/>
    <x v="1"/>
    <n v="2750"/>
    <s v="Drama"/>
    <x v="0"/>
  </r>
  <r>
    <x v="66"/>
    <x v="26"/>
    <x v="1"/>
    <x v="10"/>
    <x v="2"/>
    <n v="11"/>
    <s v="Hyderabad"/>
    <s v="2023-01-05"/>
    <x v="9"/>
    <x v="38"/>
    <x v="8"/>
    <x v="43"/>
    <x v="37"/>
    <x v="2"/>
    <n v="385"/>
    <n v="77"/>
    <x v="1"/>
    <x v="1"/>
    <n v="1911"/>
    <s v="Art"/>
    <x v="0"/>
  </r>
  <r>
    <x v="67"/>
    <x v="54"/>
    <x v="1"/>
    <x v="2"/>
    <x v="1"/>
    <n v="8"/>
    <s v="Hyderabad"/>
    <s v="2022-08-04"/>
    <x v="13"/>
    <x v="4"/>
    <x v="18"/>
    <x v="32"/>
    <x v="0"/>
    <x v="40"/>
    <n v="366"/>
    <n v="73.2"/>
    <x v="1"/>
    <x v="0"/>
    <n v="3153"/>
    <s v="Drama"/>
    <x v="0"/>
  </r>
  <r>
    <x v="68"/>
    <x v="53"/>
    <x v="1"/>
    <x v="1"/>
    <x v="1"/>
    <n v="13"/>
    <s v="Pune"/>
    <s v="2025-05-18"/>
    <x v="20"/>
    <x v="40"/>
    <x v="22"/>
    <x v="44"/>
    <x v="33"/>
    <x v="41"/>
    <n v="320"/>
    <n v="64"/>
    <x v="0"/>
    <x v="0"/>
    <n v="3263"/>
    <s v="Art"/>
    <x v="0"/>
  </r>
  <r>
    <x v="69"/>
    <x v="55"/>
    <x v="0"/>
    <x v="2"/>
    <x v="1"/>
    <n v="8"/>
    <s v="Mumbai"/>
    <s v="2024-10-23"/>
    <x v="0"/>
    <x v="39"/>
    <x v="4"/>
    <x v="45"/>
    <x v="43"/>
    <x v="42"/>
    <n v="354"/>
    <n v="70.8"/>
    <x v="1"/>
    <x v="0"/>
    <n v="3991"/>
    <s v="Dance"/>
    <x v="0"/>
  </r>
  <r>
    <x v="70"/>
    <x v="56"/>
    <x v="1"/>
    <x v="1"/>
    <x v="3"/>
    <n v="14"/>
    <s v="Mumbai"/>
    <s v="2023-04-24"/>
    <x v="36"/>
    <x v="20"/>
    <x v="9"/>
    <x v="46"/>
    <x v="44"/>
    <x v="43"/>
    <n v="382"/>
    <n v="76.400000000000006"/>
    <x v="1"/>
    <x v="0"/>
    <n v="3024"/>
    <s v="Music"/>
    <x v="0"/>
  </r>
  <r>
    <x v="71"/>
    <x v="57"/>
    <x v="1"/>
    <x v="10"/>
    <x v="1"/>
    <n v="12"/>
    <s v="Madurai"/>
    <s v="2023-03-02"/>
    <x v="28"/>
    <x v="41"/>
    <x v="44"/>
    <x v="21"/>
    <x v="0"/>
    <x v="44"/>
    <n v="274"/>
    <n v="54.8"/>
    <x v="3"/>
    <x v="1"/>
    <n v="3757"/>
    <s v="Sports"/>
    <x v="1"/>
  </r>
  <r>
    <x v="72"/>
    <x v="16"/>
    <x v="0"/>
    <x v="6"/>
    <x v="2"/>
    <n v="11"/>
    <s v="Madurai"/>
    <s v="2021-11-05"/>
    <x v="0"/>
    <x v="23"/>
    <x v="4"/>
    <x v="47"/>
    <x v="16"/>
    <x v="45"/>
    <n v="345"/>
    <n v="69"/>
    <x v="0"/>
    <x v="1"/>
    <n v="4575"/>
    <s v="Art"/>
    <x v="0"/>
  </r>
  <r>
    <x v="73"/>
    <x v="58"/>
    <x v="0"/>
    <x v="11"/>
    <x v="0"/>
    <n v="17"/>
    <s v="Mumbai"/>
    <s v="2021-12-23"/>
    <x v="37"/>
    <x v="23"/>
    <x v="24"/>
    <x v="18"/>
    <x v="1"/>
    <x v="43"/>
    <n v="360"/>
    <n v="72"/>
    <x v="1"/>
    <x v="1"/>
    <n v="2023"/>
    <s v="Art"/>
    <x v="0"/>
  </r>
  <r>
    <x v="74"/>
    <x v="59"/>
    <x v="0"/>
    <x v="8"/>
    <x v="3"/>
    <n v="8"/>
    <s v="Bangalore"/>
    <s v="2025-08-22"/>
    <x v="13"/>
    <x v="33"/>
    <x v="45"/>
    <x v="18"/>
    <x v="45"/>
    <x v="36"/>
    <n v="295"/>
    <n v="59"/>
    <x v="3"/>
    <x v="1"/>
    <n v="4121"/>
    <s v="Sports"/>
    <x v="0"/>
  </r>
  <r>
    <x v="75"/>
    <x v="60"/>
    <x v="1"/>
    <x v="2"/>
    <x v="3"/>
    <n v="9"/>
    <s v="Madurai"/>
    <s v="2024-12-13"/>
    <x v="34"/>
    <x v="27"/>
    <x v="46"/>
    <x v="37"/>
    <x v="0"/>
    <x v="44"/>
    <n v="251"/>
    <n v="50.2"/>
    <x v="3"/>
    <x v="0"/>
    <n v="2581"/>
    <s v="Dance"/>
    <x v="1"/>
  </r>
  <r>
    <x v="76"/>
    <x v="61"/>
    <x v="0"/>
    <x v="5"/>
    <x v="3"/>
    <n v="8"/>
    <s v="Bangalore"/>
    <s v="2023-03-06"/>
    <x v="1"/>
    <x v="1"/>
    <x v="36"/>
    <x v="35"/>
    <x v="42"/>
    <x v="5"/>
    <n v="306"/>
    <n v="61.2"/>
    <x v="0"/>
    <x v="0"/>
    <n v="3598"/>
    <s v="Music"/>
    <x v="0"/>
  </r>
  <r>
    <x v="77"/>
    <x v="62"/>
    <x v="0"/>
    <x v="11"/>
    <x v="0"/>
    <n v="15"/>
    <s v="Mumbai"/>
    <s v="2025-01-19"/>
    <x v="16"/>
    <x v="1"/>
    <x v="47"/>
    <x v="1"/>
    <x v="46"/>
    <x v="46"/>
    <n v="289"/>
    <n v="57.8"/>
    <x v="3"/>
    <x v="1"/>
    <n v="1591"/>
    <s v="Music"/>
    <x v="0"/>
  </r>
  <r>
    <x v="78"/>
    <x v="63"/>
    <x v="0"/>
    <x v="7"/>
    <x v="0"/>
    <n v="9"/>
    <s v="Mumbai"/>
    <s v="2025-06-01"/>
    <x v="28"/>
    <x v="42"/>
    <x v="19"/>
    <x v="41"/>
    <x v="28"/>
    <x v="0"/>
    <n v="430"/>
    <n v="86"/>
    <x v="2"/>
    <x v="1"/>
    <n v="1804"/>
    <s v="Art"/>
    <x v="0"/>
  </r>
  <r>
    <x v="79"/>
    <x v="0"/>
    <x v="0"/>
    <x v="2"/>
    <x v="1"/>
    <n v="8"/>
    <s v="Chennai"/>
    <s v="2025-02-19"/>
    <x v="26"/>
    <x v="0"/>
    <x v="28"/>
    <x v="44"/>
    <x v="16"/>
    <x v="47"/>
    <n v="368"/>
    <n v="73.599999999999994"/>
    <x v="1"/>
    <x v="1"/>
    <n v="3634"/>
    <s v="Drama"/>
    <x v="0"/>
  </r>
  <r>
    <x v="80"/>
    <x v="3"/>
    <x v="0"/>
    <x v="9"/>
    <x v="2"/>
    <n v="15"/>
    <s v="Chennai"/>
    <s v="2021-09-07"/>
    <x v="35"/>
    <x v="43"/>
    <x v="48"/>
    <x v="43"/>
    <x v="47"/>
    <x v="35"/>
    <n v="334"/>
    <n v="66.8"/>
    <x v="0"/>
    <x v="0"/>
    <n v="3872"/>
    <s v="Dance"/>
    <x v="0"/>
  </r>
  <r>
    <x v="81"/>
    <x v="53"/>
    <x v="0"/>
    <x v="0"/>
    <x v="2"/>
    <n v="15"/>
    <s v="Coimbatore"/>
    <s v="2024-03-23"/>
    <x v="32"/>
    <x v="40"/>
    <x v="24"/>
    <x v="48"/>
    <x v="48"/>
    <x v="48"/>
    <n v="297"/>
    <n v="59.4"/>
    <x v="3"/>
    <x v="1"/>
    <n v="3782"/>
    <s v="Dance"/>
    <x v="0"/>
  </r>
  <r>
    <x v="82"/>
    <x v="4"/>
    <x v="1"/>
    <x v="7"/>
    <x v="2"/>
    <n v="10"/>
    <s v="Madurai"/>
    <s v="2025-10-21"/>
    <x v="30"/>
    <x v="44"/>
    <x v="12"/>
    <x v="33"/>
    <x v="38"/>
    <x v="49"/>
    <n v="339"/>
    <n v="67.8"/>
    <x v="0"/>
    <x v="1"/>
    <n v="4697"/>
    <s v="Drama"/>
    <x v="0"/>
  </r>
  <r>
    <x v="83"/>
    <x v="28"/>
    <x v="0"/>
    <x v="11"/>
    <x v="3"/>
    <n v="17"/>
    <s v="Pune"/>
    <s v="2024-12-14"/>
    <x v="4"/>
    <x v="45"/>
    <x v="29"/>
    <x v="36"/>
    <x v="8"/>
    <x v="12"/>
    <n v="365"/>
    <n v="73"/>
    <x v="1"/>
    <x v="0"/>
    <n v="4144"/>
    <s v="Dance"/>
    <x v="0"/>
  </r>
  <r>
    <x v="84"/>
    <x v="64"/>
    <x v="1"/>
    <x v="2"/>
    <x v="1"/>
    <n v="8"/>
    <s v="Chennai"/>
    <s v="2025-04-10"/>
    <x v="36"/>
    <x v="28"/>
    <x v="49"/>
    <x v="11"/>
    <x v="24"/>
    <x v="25"/>
    <n v="335"/>
    <n v="67"/>
    <x v="0"/>
    <x v="0"/>
    <n v="3108"/>
    <s v="Drama"/>
    <x v="0"/>
  </r>
  <r>
    <x v="85"/>
    <x v="65"/>
    <x v="0"/>
    <x v="6"/>
    <x v="1"/>
    <n v="10"/>
    <s v="Pune"/>
    <s v="2022-06-16"/>
    <x v="11"/>
    <x v="29"/>
    <x v="47"/>
    <x v="49"/>
    <x v="40"/>
    <x v="18"/>
    <n v="295"/>
    <n v="59"/>
    <x v="3"/>
    <x v="1"/>
    <n v="4024"/>
    <s v="Coding Club"/>
    <x v="0"/>
  </r>
  <r>
    <x v="86"/>
    <x v="66"/>
    <x v="0"/>
    <x v="6"/>
    <x v="2"/>
    <n v="12"/>
    <s v="Bangalore"/>
    <s v="2021-09-04"/>
    <x v="10"/>
    <x v="1"/>
    <x v="26"/>
    <x v="50"/>
    <x v="49"/>
    <x v="28"/>
    <n v="364"/>
    <n v="72.8"/>
    <x v="1"/>
    <x v="0"/>
    <n v="4344"/>
    <s v="Sports"/>
    <x v="0"/>
  </r>
  <r>
    <x v="87"/>
    <x v="31"/>
    <x v="0"/>
    <x v="7"/>
    <x v="3"/>
    <n v="11"/>
    <s v="Pune"/>
    <s v="2024-07-06"/>
    <x v="1"/>
    <x v="46"/>
    <x v="24"/>
    <x v="48"/>
    <x v="30"/>
    <x v="0"/>
    <n v="341"/>
    <n v="68.2"/>
    <x v="0"/>
    <x v="0"/>
    <n v="1867"/>
    <s v="Drama"/>
    <x v="0"/>
  </r>
  <r>
    <x v="88"/>
    <x v="64"/>
    <x v="1"/>
    <x v="0"/>
    <x v="1"/>
    <n v="16"/>
    <s v="Chennai"/>
    <s v="2023-01-17"/>
    <x v="28"/>
    <x v="47"/>
    <x v="49"/>
    <x v="20"/>
    <x v="1"/>
    <x v="50"/>
    <n v="380"/>
    <n v="76"/>
    <x v="1"/>
    <x v="0"/>
    <n v="4831"/>
    <s v="Art"/>
    <x v="0"/>
  </r>
  <r>
    <x v="89"/>
    <x v="10"/>
    <x v="1"/>
    <x v="6"/>
    <x v="3"/>
    <n v="10"/>
    <s v="Chennai"/>
    <s v="2025-06-05"/>
    <x v="20"/>
    <x v="18"/>
    <x v="50"/>
    <x v="17"/>
    <x v="32"/>
    <x v="7"/>
    <n v="345"/>
    <n v="69"/>
    <x v="0"/>
    <x v="1"/>
    <n v="3536"/>
    <s v="Drama"/>
    <x v="0"/>
  </r>
  <r>
    <x v="90"/>
    <x v="67"/>
    <x v="1"/>
    <x v="0"/>
    <x v="3"/>
    <n v="16"/>
    <s v="Coimbatore"/>
    <s v="2022-11-18"/>
    <x v="15"/>
    <x v="36"/>
    <x v="51"/>
    <x v="30"/>
    <x v="37"/>
    <x v="51"/>
    <n v="246"/>
    <n v="49.2"/>
    <x v="4"/>
    <x v="0"/>
    <n v="2236"/>
    <s v="Coding Club"/>
    <x v="1"/>
  </r>
  <r>
    <x v="91"/>
    <x v="68"/>
    <x v="1"/>
    <x v="3"/>
    <x v="1"/>
    <n v="6"/>
    <s v="Hyderabad"/>
    <s v="2025-07-08"/>
    <x v="0"/>
    <x v="21"/>
    <x v="52"/>
    <x v="51"/>
    <x v="50"/>
    <x v="35"/>
    <n v="292"/>
    <n v="58.4"/>
    <x v="3"/>
    <x v="1"/>
    <n v="3473"/>
    <s v="Coding Club"/>
    <x v="0"/>
  </r>
  <r>
    <x v="92"/>
    <x v="69"/>
    <x v="1"/>
    <x v="3"/>
    <x v="0"/>
    <n v="6"/>
    <s v="Coimbatore"/>
    <s v="2023-10-30"/>
    <x v="30"/>
    <x v="10"/>
    <x v="43"/>
    <x v="52"/>
    <x v="33"/>
    <x v="37"/>
    <n v="402"/>
    <n v="80.400000000000006"/>
    <x v="2"/>
    <x v="0"/>
    <n v="3667"/>
    <s v="Sports"/>
    <x v="0"/>
  </r>
  <r>
    <x v="93"/>
    <x v="32"/>
    <x v="1"/>
    <x v="4"/>
    <x v="2"/>
    <n v="17"/>
    <s v="Bangalore"/>
    <s v="2023-05-23"/>
    <x v="12"/>
    <x v="48"/>
    <x v="47"/>
    <x v="31"/>
    <x v="51"/>
    <x v="52"/>
    <n v="309"/>
    <n v="61.8"/>
    <x v="0"/>
    <x v="1"/>
    <n v="1825"/>
    <s v="Dance"/>
    <x v="0"/>
  </r>
  <r>
    <x v="94"/>
    <x v="12"/>
    <x v="1"/>
    <x v="5"/>
    <x v="0"/>
    <n v="6"/>
    <s v="Chennai"/>
    <s v="2022-03-24"/>
    <x v="32"/>
    <x v="35"/>
    <x v="28"/>
    <x v="3"/>
    <x v="12"/>
    <x v="6"/>
    <n v="403"/>
    <n v="80.599999999999994"/>
    <x v="2"/>
    <x v="1"/>
    <n v="3848"/>
    <s v="Dance"/>
    <x v="0"/>
  </r>
  <r>
    <x v="95"/>
    <x v="70"/>
    <x v="0"/>
    <x v="2"/>
    <x v="1"/>
    <n v="8"/>
    <s v="Coimbatore"/>
    <s v="2024-03-11"/>
    <x v="5"/>
    <x v="16"/>
    <x v="10"/>
    <x v="51"/>
    <x v="32"/>
    <x v="3"/>
    <n v="262"/>
    <n v="52.4"/>
    <x v="3"/>
    <x v="0"/>
    <n v="2581"/>
    <s v="Music"/>
    <x v="1"/>
  </r>
  <r>
    <x v="96"/>
    <x v="71"/>
    <x v="1"/>
    <x v="8"/>
    <x v="0"/>
    <n v="8"/>
    <s v="Chennai"/>
    <s v="2022-11-09"/>
    <x v="10"/>
    <x v="3"/>
    <x v="53"/>
    <x v="27"/>
    <x v="12"/>
    <x v="53"/>
    <n v="418"/>
    <n v="83.6"/>
    <x v="2"/>
    <x v="0"/>
    <n v="4535"/>
    <s v="Coding Club"/>
    <x v="0"/>
  </r>
  <r>
    <x v="97"/>
    <x v="72"/>
    <x v="0"/>
    <x v="11"/>
    <x v="1"/>
    <n v="15"/>
    <s v="Bangalore"/>
    <s v="2022-09-14"/>
    <x v="26"/>
    <x v="15"/>
    <x v="22"/>
    <x v="53"/>
    <x v="18"/>
    <x v="15"/>
    <n v="385"/>
    <n v="77"/>
    <x v="1"/>
    <x v="1"/>
    <n v="4113"/>
    <s v="Drama"/>
    <x v="0"/>
  </r>
  <r>
    <x v="98"/>
    <x v="46"/>
    <x v="1"/>
    <x v="3"/>
    <x v="2"/>
    <n v="6"/>
    <s v="Mumbai"/>
    <s v="2024-05-13"/>
    <x v="13"/>
    <x v="49"/>
    <x v="27"/>
    <x v="54"/>
    <x v="34"/>
    <x v="54"/>
    <n v="320"/>
    <n v="64"/>
    <x v="0"/>
    <x v="1"/>
    <n v="3756"/>
    <s v="Coding Club"/>
    <x v="0"/>
  </r>
  <r>
    <x v="99"/>
    <x v="57"/>
    <x v="1"/>
    <x v="1"/>
    <x v="2"/>
    <n v="13"/>
    <s v="Pune"/>
    <s v="2022-12-18"/>
    <x v="29"/>
    <x v="32"/>
    <x v="35"/>
    <x v="55"/>
    <x v="48"/>
    <x v="55"/>
    <n v="344"/>
    <n v="68.8"/>
    <x v="0"/>
    <x v="1"/>
    <n v="2237"/>
    <s v="Sports"/>
    <x v="0"/>
  </r>
  <r>
    <x v="100"/>
    <x v="49"/>
    <x v="1"/>
    <x v="7"/>
    <x v="3"/>
    <n v="10"/>
    <s v="Madurai"/>
    <s v="2024-04-22"/>
    <x v="25"/>
    <x v="5"/>
    <x v="6"/>
    <x v="6"/>
    <x v="43"/>
    <x v="34"/>
    <n v="364"/>
    <n v="72.8"/>
    <x v="1"/>
    <x v="0"/>
    <n v="4163"/>
    <s v="Drama"/>
    <x v="0"/>
  </r>
  <r>
    <x v="101"/>
    <x v="33"/>
    <x v="0"/>
    <x v="6"/>
    <x v="1"/>
    <n v="11"/>
    <s v="Hyderabad"/>
    <s v="2025-06-17"/>
    <x v="17"/>
    <x v="50"/>
    <x v="4"/>
    <x v="21"/>
    <x v="51"/>
    <x v="24"/>
    <n v="333"/>
    <n v="66.599999999999994"/>
    <x v="0"/>
    <x v="0"/>
    <n v="4765"/>
    <s v="Art"/>
    <x v="0"/>
  </r>
  <r>
    <x v="102"/>
    <x v="73"/>
    <x v="0"/>
    <x v="2"/>
    <x v="0"/>
    <n v="9"/>
    <s v="Chennai"/>
    <s v="2021-04-15"/>
    <x v="27"/>
    <x v="17"/>
    <x v="33"/>
    <x v="20"/>
    <x v="15"/>
    <x v="45"/>
    <n v="334"/>
    <n v="66.8"/>
    <x v="0"/>
    <x v="1"/>
    <n v="4550"/>
    <s v="Dance"/>
    <x v="0"/>
  </r>
  <r>
    <x v="103"/>
    <x v="74"/>
    <x v="1"/>
    <x v="4"/>
    <x v="1"/>
    <n v="17"/>
    <s v="Chennai"/>
    <s v="2024-04-16"/>
    <x v="7"/>
    <x v="12"/>
    <x v="39"/>
    <x v="48"/>
    <x v="10"/>
    <x v="13"/>
    <n v="410"/>
    <n v="82"/>
    <x v="2"/>
    <x v="0"/>
    <n v="1890"/>
    <s v="Dance"/>
    <x v="0"/>
  </r>
  <r>
    <x v="104"/>
    <x v="32"/>
    <x v="0"/>
    <x v="11"/>
    <x v="2"/>
    <n v="16"/>
    <s v="Chennai"/>
    <s v="2023-09-13"/>
    <x v="10"/>
    <x v="44"/>
    <x v="24"/>
    <x v="46"/>
    <x v="38"/>
    <x v="38"/>
    <n v="311"/>
    <n v="62.2"/>
    <x v="0"/>
    <x v="1"/>
    <n v="3211"/>
    <s v="Coding Club"/>
    <x v="0"/>
  </r>
  <r>
    <x v="105"/>
    <x v="75"/>
    <x v="1"/>
    <x v="11"/>
    <x v="1"/>
    <n v="17"/>
    <s v="Coimbatore"/>
    <s v="2024-07-13"/>
    <x v="9"/>
    <x v="22"/>
    <x v="52"/>
    <x v="15"/>
    <x v="40"/>
    <x v="11"/>
    <n v="289"/>
    <n v="57.8"/>
    <x v="3"/>
    <x v="0"/>
    <n v="4840"/>
    <s v="Art"/>
    <x v="0"/>
  </r>
  <r>
    <x v="106"/>
    <x v="76"/>
    <x v="1"/>
    <x v="4"/>
    <x v="1"/>
    <n v="18"/>
    <s v="Pune"/>
    <s v="2023-04-07"/>
    <x v="37"/>
    <x v="47"/>
    <x v="5"/>
    <x v="14"/>
    <x v="7"/>
    <x v="18"/>
    <n v="396"/>
    <n v="79.2"/>
    <x v="1"/>
    <x v="1"/>
    <n v="1795"/>
    <s v="Sports"/>
    <x v="0"/>
  </r>
  <r>
    <x v="107"/>
    <x v="77"/>
    <x v="0"/>
    <x v="7"/>
    <x v="0"/>
    <n v="9"/>
    <s v="Bangalore"/>
    <s v="2022-03-11"/>
    <x v="1"/>
    <x v="14"/>
    <x v="34"/>
    <x v="31"/>
    <x v="13"/>
    <x v="54"/>
    <n v="324"/>
    <n v="64.8"/>
    <x v="0"/>
    <x v="0"/>
    <n v="3820"/>
    <s v="Drama"/>
    <x v="0"/>
  </r>
  <r>
    <x v="108"/>
    <x v="78"/>
    <x v="1"/>
    <x v="2"/>
    <x v="1"/>
    <n v="8"/>
    <s v="Bangalore"/>
    <s v="2022-06-23"/>
    <x v="4"/>
    <x v="51"/>
    <x v="48"/>
    <x v="6"/>
    <x v="52"/>
    <x v="12"/>
    <n v="296"/>
    <n v="59.2"/>
    <x v="3"/>
    <x v="0"/>
    <n v="4283"/>
    <s v="Dance"/>
    <x v="0"/>
  </r>
  <r>
    <x v="109"/>
    <x v="24"/>
    <x v="1"/>
    <x v="1"/>
    <x v="3"/>
    <n v="13"/>
    <s v="Pune"/>
    <s v="2022-09-20"/>
    <x v="25"/>
    <x v="3"/>
    <x v="28"/>
    <x v="31"/>
    <x v="30"/>
    <x v="32"/>
    <n v="393"/>
    <n v="78.599999999999994"/>
    <x v="1"/>
    <x v="1"/>
    <n v="1758"/>
    <s v="Drama"/>
    <x v="0"/>
  </r>
  <r>
    <x v="110"/>
    <x v="13"/>
    <x v="0"/>
    <x v="3"/>
    <x v="1"/>
    <n v="6"/>
    <s v="Coimbatore"/>
    <s v="2022-04-24"/>
    <x v="17"/>
    <x v="7"/>
    <x v="20"/>
    <x v="29"/>
    <x v="42"/>
    <x v="48"/>
    <n v="286"/>
    <n v="57.2"/>
    <x v="3"/>
    <x v="0"/>
    <n v="4023"/>
    <s v="Music"/>
    <x v="0"/>
  </r>
  <r>
    <x v="111"/>
    <x v="29"/>
    <x v="1"/>
    <x v="7"/>
    <x v="1"/>
    <n v="9"/>
    <s v="Coimbatore"/>
    <s v="2023-11-09"/>
    <x v="14"/>
    <x v="20"/>
    <x v="39"/>
    <x v="52"/>
    <x v="41"/>
    <x v="56"/>
    <n v="334"/>
    <n v="66.8"/>
    <x v="0"/>
    <x v="0"/>
    <n v="3252"/>
    <s v="Coding Club"/>
    <x v="0"/>
  </r>
  <r>
    <x v="112"/>
    <x v="79"/>
    <x v="0"/>
    <x v="7"/>
    <x v="2"/>
    <n v="10"/>
    <s v="Madurai"/>
    <s v="2023-09-26"/>
    <x v="38"/>
    <x v="13"/>
    <x v="1"/>
    <x v="35"/>
    <x v="47"/>
    <x v="24"/>
    <n v="328"/>
    <n v="65.599999999999994"/>
    <x v="0"/>
    <x v="1"/>
    <n v="2023"/>
    <s v="Drama"/>
    <x v="0"/>
  </r>
  <r>
    <x v="113"/>
    <x v="9"/>
    <x v="1"/>
    <x v="0"/>
    <x v="1"/>
    <n v="14"/>
    <s v="Coimbatore"/>
    <s v="2024-12-18"/>
    <x v="14"/>
    <x v="40"/>
    <x v="32"/>
    <x v="15"/>
    <x v="8"/>
    <x v="11"/>
    <n v="318"/>
    <n v="63.6"/>
    <x v="0"/>
    <x v="1"/>
    <n v="2744"/>
    <s v="Drama"/>
    <x v="0"/>
  </r>
  <r>
    <x v="114"/>
    <x v="10"/>
    <x v="1"/>
    <x v="8"/>
    <x v="3"/>
    <n v="9"/>
    <s v="Madurai"/>
    <s v="2022-11-25"/>
    <x v="0"/>
    <x v="21"/>
    <x v="7"/>
    <x v="1"/>
    <x v="49"/>
    <x v="4"/>
    <n v="309"/>
    <n v="61.8"/>
    <x v="0"/>
    <x v="0"/>
    <n v="3045"/>
    <s v="Coding Club"/>
    <x v="0"/>
  </r>
  <r>
    <x v="115"/>
    <x v="80"/>
    <x v="0"/>
    <x v="1"/>
    <x v="2"/>
    <n v="13"/>
    <s v="Hyderabad"/>
    <s v="2021-11-28"/>
    <x v="29"/>
    <x v="52"/>
    <x v="9"/>
    <x v="56"/>
    <x v="2"/>
    <x v="45"/>
    <n v="284"/>
    <n v="56.8"/>
    <x v="3"/>
    <x v="0"/>
    <n v="2971"/>
    <s v="Dance"/>
    <x v="0"/>
  </r>
  <r>
    <x v="116"/>
    <x v="56"/>
    <x v="1"/>
    <x v="0"/>
    <x v="1"/>
    <n v="14"/>
    <s v="Pune"/>
    <s v="2023-12-22"/>
    <x v="32"/>
    <x v="6"/>
    <x v="51"/>
    <x v="9"/>
    <x v="45"/>
    <x v="17"/>
    <n v="273"/>
    <n v="54.6"/>
    <x v="3"/>
    <x v="1"/>
    <n v="4544"/>
    <s v="Coding Club"/>
    <x v="1"/>
  </r>
  <r>
    <x v="117"/>
    <x v="67"/>
    <x v="1"/>
    <x v="0"/>
    <x v="2"/>
    <n v="14"/>
    <s v="Pune"/>
    <s v="2024-10-19"/>
    <x v="27"/>
    <x v="43"/>
    <x v="49"/>
    <x v="57"/>
    <x v="30"/>
    <x v="57"/>
    <n v="349"/>
    <n v="69.8"/>
    <x v="0"/>
    <x v="0"/>
    <n v="1659"/>
    <s v="Music"/>
    <x v="0"/>
  </r>
  <r>
    <x v="118"/>
    <x v="76"/>
    <x v="0"/>
    <x v="3"/>
    <x v="2"/>
    <n v="6"/>
    <s v="Madurai"/>
    <s v="2021-11-06"/>
    <x v="14"/>
    <x v="10"/>
    <x v="54"/>
    <x v="10"/>
    <x v="18"/>
    <x v="34"/>
    <n v="378"/>
    <n v="75.599999999999994"/>
    <x v="1"/>
    <x v="1"/>
    <n v="4376"/>
    <s v="Sports"/>
    <x v="0"/>
  </r>
  <r>
    <x v="119"/>
    <x v="81"/>
    <x v="1"/>
    <x v="7"/>
    <x v="2"/>
    <n v="11"/>
    <s v="Coimbatore"/>
    <s v="2021-12-08"/>
    <x v="29"/>
    <x v="26"/>
    <x v="48"/>
    <x v="46"/>
    <x v="32"/>
    <x v="44"/>
    <n v="297"/>
    <n v="59.4"/>
    <x v="3"/>
    <x v="1"/>
    <n v="3698"/>
    <s v="Dance"/>
    <x v="0"/>
  </r>
  <r>
    <x v="120"/>
    <x v="5"/>
    <x v="1"/>
    <x v="1"/>
    <x v="2"/>
    <n v="14"/>
    <s v="Mumbai"/>
    <s v="2024-12-14"/>
    <x v="15"/>
    <x v="13"/>
    <x v="44"/>
    <x v="5"/>
    <x v="53"/>
    <x v="58"/>
    <n v="288"/>
    <n v="57.6"/>
    <x v="3"/>
    <x v="0"/>
    <n v="3322"/>
    <s v="Music"/>
    <x v="0"/>
  </r>
  <r>
    <x v="121"/>
    <x v="19"/>
    <x v="0"/>
    <x v="7"/>
    <x v="1"/>
    <n v="9"/>
    <s v="Bangalore"/>
    <s v="2021-06-03"/>
    <x v="10"/>
    <x v="48"/>
    <x v="15"/>
    <x v="35"/>
    <x v="53"/>
    <x v="15"/>
    <n v="270"/>
    <n v="54"/>
    <x v="3"/>
    <x v="1"/>
    <n v="3107"/>
    <s v="Coding Club"/>
    <x v="1"/>
  </r>
  <r>
    <x v="122"/>
    <x v="82"/>
    <x v="1"/>
    <x v="0"/>
    <x v="1"/>
    <n v="14"/>
    <s v="Hyderabad"/>
    <s v="2023-01-26"/>
    <x v="33"/>
    <x v="51"/>
    <x v="8"/>
    <x v="33"/>
    <x v="54"/>
    <x v="13"/>
    <n v="381"/>
    <n v="76.2"/>
    <x v="1"/>
    <x v="1"/>
    <n v="2283"/>
    <s v="Drama"/>
    <x v="0"/>
  </r>
  <r>
    <x v="123"/>
    <x v="65"/>
    <x v="0"/>
    <x v="11"/>
    <x v="3"/>
    <n v="16"/>
    <s v="Mumbai"/>
    <s v="2022-11-29"/>
    <x v="27"/>
    <x v="53"/>
    <x v="22"/>
    <x v="14"/>
    <x v="55"/>
    <x v="6"/>
    <n v="358"/>
    <n v="71.599999999999994"/>
    <x v="1"/>
    <x v="0"/>
    <n v="4790"/>
    <s v="Drama"/>
    <x v="0"/>
  </r>
  <r>
    <x v="124"/>
    <x v="83"/>
    <x v="0"/>
    <x v="10"/>
    <x v="1"/>
    <n v="11"/>
    <s v="Pune"/>
    <s v="2025-10-22"/>
    <x v="27"/>
    <x v="20"/>
    <x v="40"/>
    <x v="58"/>
    <x v="16"/>
    <x v="22"/>
    <n v="286"/>
    <n v="57.2"/>
    <x v="3"/>
    <x v="0"/>
    <n v="2352"/>
    <s v="Music"/>
    <x v="0"/>
  </r>
  <r>
    <x v="125"/>
    <x v="84"/>
    <x v="1"/>
    <x v="5"/>
    <x v="0"/>
    <n v="7"/>
    <s v="Chennai"/>
    <s v="2022-12-19"/>
    <x v="23"/>
    <x v="20"/>
    <x v="6"/>
    <x v="56"/>
    <x v="44"/>
    <x v="35"/>
    <n v="338"/>
    <n v="67.599999999999994"/>
    <x v="0"/>
    <x v="0"/>
    <n v="1955"/>
    <s v="Music"/>
    <x v="0"/>
  </r>
  <r>
    <x v="126"/>
    <x v="85"/>
    <x v="0"/>
    <x v="7"/>
    <x v="3"/>
    <n v="11"/>
    <s v="Bangalore"/>
    <s v="2024-01-19"/>
    <x v="16"/>
    <x v="54"/>
    <x v="34"/>
    <x v="6"/>
    <x v="37"/>
    <x v="54"/>
    <n v="301"/>
    <n v="60.2"/>
    <x v="0"/>
    <x v="0"/>
    <n v="3746"/>
    <s v="Drama"/>
    <x v="0"/>
  </r>
  <r>
    <x v="127"/>
    <x v="86"/>
    <x v="0"/>
    <x v="7"/>
    <x v="0"/>
    <n v="9"/>
    <s v="Hyderabad"/>
    <s v="2023-05-08"/>
    <x v="39"/>
    <x v="10"/>
    <x v="43"/>
    <x v="22"/>
    <x v="56"/>
    <x v="42"/>
    <n v="375"/>
    <n v="75"/>
    <x v="1"/>
    <x v="0"/>
    <n v="2128"/>
    <s v="Drama"/>
    <x v="0"/>
  </r>
  <r>
    <x v="128"/>
    <x v="51"/>
    <x v="1"/>
    <x v="8"/>
    <x v="3"/>
    <n v="8"/>
    <s v="Chennai"/>
    <s v="2023-05-06"/>
    <x v="40"/>
    <x v="17"/>
    <x v="31"/>
    <x v="22"/>
    <x v="31"/>
    <x v="33"/>
    <n v="377"/>
    <n v="75.400000000000006"/>
    <x v="1"/>
    <x v="1"/>
    <n v="2154"/>
    <s v="Art"/>
    <x v="0"/>
  </r>
  <r>
    <x v="129"/>
    <x v="87"/>
    <x v="1"/>
    <x v="3"/>
    <x v="2"/>
    <n v="6"/>
    <s v="Madurai"/>
    <s v="2025-09-06"/>
    <x v="2"/>
    <x v="22"/>
    <x v="4"/>
    <x v="31"/>
    <x v="57"/>
    <x v="50"/>
    <n v="449"/>
    <n v="89.8"/>
    <x v="2"/>
    <x v="1"/>
    <n v="4304"/>
    <s v="Sports"/>
    <x v="0"/>
  </r>
  <r>
    <x v="130"/>
    <x v="88"/>
    <x v="0"/>
    <x v="6"/>
    <x v="3"/>
    <n v="12"/>
    <s v="Madurai"/>
    <s v="2023-02-20"/>
    <x v="22"/>
    <x v="55"/>
    <x v="24"/>
    <x v="13"/>
    <x v="29"/>
    <x v="53"/>
    <n v="354"/>
    <n v="70.8"/>
    <x v="1"/>
    <x v="1"/>
    <n v="3268"/>
    <s v="Dance"/>
    <x v="0"/>
  </r>
  <r>
    <x v="131"/>
    <x v="89"/>
    <x v="0"/>
    <x v="4"/>
    <x v="3"/>
    <n v="17"/>
    <s v="Bangalore"/>
    <s v="2022-07-15"/>
    <x v="13"/>
    <x v="56"/>
    <x v="46"/>
    <x v="54"/>
    <x v="35"/>
    <x v="46"/>
    <n v="361"/>
    <n v="72.2"/>
    <x v="1"/>
    <x v="0"/>
    <n v="2365"/>
    <s v="Art"/>
    <x v="0"/>
  </r>
  <r>
    <x v="132"/>
    <x v="51"/>
    <x v="1"/>
    <x v="2"/>
    <x v="1"/>
    <n v="8"/>
    <s v="Mumbai"/>
    <s v="2022-02-04"/>
    <x v="6"/>
    <x v="6"/>
    <x v="55"/>
    <x v="42"/>
    <x v="17"/>
    <x v="56"/>
    <n v="266"/>
    <n v="53.2"/>
    <x v="3"/>
    <x v="1"/>
    <n v="3276"/>
    <s v="Coding Club"/>
    <x v="1"/>
  </r>
  <r>
    <x v="133"/>
    <x v="13"/>
    <x v="1"/>
    <x v="1"/>
    <x v="3"/>
    <n v="12"/>
    <s v="Hyderabad"/>
    <s v="2022-02-25"/>
    <x v="3"/>
    <x v="12"/>
    <x v="56"/>
    <x v="48"/>
    <x v="8"/>
    <x v="2"/>
    <n v="407"/>
    <n v="81.400000000000006"/>
    <x v="2"/>
    <x v="0"/>
    <n v="2927"/>
    <s v="Sports"/>
    <x v="0"/>
  </r>
  <r>
    <x v="134"/>
    <x v="10"/>
    <x v="0"/>
    <x v="8"/>
    <x v="2"/>
    <n v="9"/>
    <s v="Chennai"/>
    <s v="2023-02-04"/>
    <x v="29"/>
    <x v="35"/>
    <x v="57"/>
    <x v="31"/>
    <x v="58"/>
    <x v="7"/>
    <n v="320"/>
    <n v="64"/>
    <x v="0"/>
    <x v="1"/>
    <n v="1714"/>
    <s v="Sports"/>
    <x v="0"/>
  </r>
  <r>
    <x v="135"/>
    <x v="54"/>
    <x v="1"/>
    <x v="9"/>
    <x v="2"/>
    <n v="14"/>
    <s v="Chennai"/>
    <s v="2023-09-23"/>
    <x v="24"/>
    <x v="48"/>
    <x v="53"/>
    <x v="12"/>
    <x v="6"/>
    <x v="5"/>
    <n v="306"/>
    <n v="61.2"/>
    <x v="0"/>
    <x v="1"/>
    <n v="2843"/>
    <s v="Sports"/>
    <x v="0"/>
  </r>
  <r>
    <x v="136"/>
    <x v="52"/>
    <x v="1"/>
    <x v="3"/>
    <x v="0"/>
    <n v="6"/>
    <s v="Coimbatore"/>
    <s v="2022-06-22"/>
    <x v="5"/>
    <x v="52"/>
    <x v="58"/>
    <x v="5"/>
    <x v="3"/>
    <x v="35"/>
    <n v="282"/>
    <n v="56.4"/>
    <x v="3"/>
    <x v="0"/>
    <n v="2083"/>
    <s v="Drama"/>
    <x v="0"/>
  </r>
  <r>
    <x v="137"/>
    <x v="74"/>
    <x v="1"/>
    <x v="6"/>
    <x v="0"/>
    <n v="12"/>
    <s v="Bangalore"/>
    <s v="2021-11-25"/>
    <x v="24"/>
    <x v="39"/>
    <x v="50"/>
    <x v="22"/>
    <x v="3"/>
    <x v="4"/>
    <n v="318"/>
    <n v="63.6"/>
    <x v="0"/>
    <x v="0"/>
    <n v="2268"/>
    <s v="Dance"/>
    <x v="0"/>
  </r>
  <r>
    <x v="138"/>
    <x v="30"/>
    <x v="1"/>
    <x v="8"/>
    <x v="1"/>
    <n v="8"/>
    <s v="Hyderabad"/>
    <s v="2021-05-22"/>
    <x v="5"/>
    <x v="42"/>
    <x v="14"/>
    <x v="29"/>
    <x v="43"/>
    <x v="59"/>
    <n v="379"/>
    <n v="75.8"/>
    <x v="1"/>
    <x v="1"/>
    <n v="4382"/>
    <s v="Music"/>
    <x v="0"/>
  </r>
  <r>
    <x v="139"/>
    <x v="38"/>
    <x v="1"/>
    <x v="10"/>
    <x v="1"/>
    <n v="11"/>
    <s v="Coimbatore"/>
    <s v="2023-06-06"/>
    <x v="1"/>
    <x v="42"/>
    <x v="7"/>
    <x v="11"/>
    <x v="8"/>
    <x v="17"/>
    <n v="336"/>
    <n v="67.2"/>
    <x v="0"/>
    <x v="1"/>
    <n v="4171"/>
    <s v="Drama"/>
    <x v="0"/>
  </r>
  <r>
    <x v="140"/>
    <x v="90"/>
    <x v="0"/>
    <x v="6"/>
    <x v="3"/>
    <n v="11"/>
    <s v="Chennai"/>
    <s v="2021-06-23"/>
    <x v="36"/>
    <x v="37"/>
    <x v="53"/>
    <x v="49"/>
    <x v="11"/>
    <x v="53"/>
    <n v="326"/>
    <n v="65.2"/>
    <x v="0"/>
    <x v="1"/>
    <n v="2899"/>
    <s v="Drama"/>
    <x v="0"/>
  </r>
  <r>
    <x v="141"/>
    <x v="37"/>
    <x v="1"/>
    <x v="11"/>
    <x v="3"/>
    <n v="17"/>
    <s v="Pune"/>
    <s v="2022-12-07"/>
    <x v="15"/>
    <x v="7"/>
    <x v="28"/>
    <x v="42"/>
    <x v="27"/>
    <x v="30"/>
    <n v="324"/>
    <n v="64.8"/>
    <x v="0"/>
    <x v="0"/>
    <n v="2896"/>
    <s v="Coding Club"/>
    <x v="0"/>
  </r>
  <r>
    <x v="142"/>
    <x v="39"/>
    <x v="0"/>
    <x v="3"/>
    <x v="3"/>
    <n v="7"/>
    <s v="Coimbatore"/>
    <s v="2021-01-01"/>
    <x v="27"/>
    <x v="11"/>
    <x v="2"/>
    <x v="28"/>
    <x v="23"/>
    <x v="17"/>
    <n v="310"/>
    <n v="62"/>
    <x v="0"/>
    <x v="0"/>
    <n v="2575"/>
    <s v="Dance"/>
    <x v="0"/>
  </r>
  <r>
    <x v="143"/>
    <x v="67"/>
    <x v="0"/>
    <x v="10"/>
    <x v="3"/>
    <n v="13"/>
    <s v="Bangalore"/>
    <s v="2022-07-15"/>
    <x v="17"/>
    <x v="47"/>
    <x v="30"/>
    <x v="13"/>
    <x v="29"/>
    <x v="29"/>
    <n v="346"/>
    <n v="69.2"/>
    <x v="0"/>
    <x v="1"/>
    <n v="4549"/>
    <s v="Dance"/>
    <x v="0"/>
  </r>
  <r>
    <x v="144"/>
    <x v="91"/>
    <x v="1"/>
    <x v="10"/>
    <x v="3"/>
    <n v="12"/>
    <s v="Bangalore"/>
    <s v="2023-04-28"/>
    <x v="30"/>
    <x v="44"/>
    <x v="17"/>
    <x v="16"/>
    <x v="54"/>
    <x v="2"/>
    <n v="334"/>
    <n v="66.8"/>
    <x v="0"/>
    <x v="0"/>
    <n v="2387"/>
    <s v="Coding Club"/>
    <x v="0"/>
  </r>
  <r>
    <x v="145"/>
    <x v="92"/>
    <x v="1"/>
    <x v="8"/>
    <x v="3"/>
    <n v="7"/>
    <s v="Hyderabad"/>
    <s v="2021-02-03"/>
    <x v="7"/>
    <x v="45"/>
    <x v="5"/>
    <x v="21"/>
    <x v="54"/>
    <x v="33"/>
    <n v="333"/>
    <n v="66.599999999999994"/>
    <x v="0"/>
    <x v="1"/>
    <n v="3576"/>
    <s v="Music"/>
    <x v="0"/>
  </r>
  <r>
    <x v="146"/>
    <x v="16"/>
    <x v="1"/>
    <x v="2"/>
    <x v="3"/>
    <n v="8"/>
    <s v="Mumbai"/>
    <s v="2023-03-10"/>
    <x v="14"/>
    <x v="39"/>
    <x v="35"/>
    <x v="35"/>
    <x v="7"/>
    <x v="38"/>
    <n v="276"/>
    <n v="55.2"/>
    <x v="3"/>
    <x v="1"/>
    <n v="2004"/>
    <s v="Art"/>
    <x v="0"/>
  </r>
  <r>
    <x v="147"/>
    <x v="19"/>
    <x v="0"/>
    <x v="10"/>
    <x v="2"/>
    <n v="13"/>
    <s v="Bangalore"/>
    <s v="2022-11-24"/>
    <x v="23"/>
    <x v="9"/>
    <x v="8"/>
    <x v="31"/>
    <x v="20"/>
    <x v="11"/>
    <n v="364"/>
    <n v="72.8"/>
    <x v="1"/>
    <x v="1"/>
    <n v="2325"/>
    <s v="Music"/>
    <x v="0"/>
  </r>
  <r>
    <x v="148"/>
    <x v="93"/>
    <x v="1"/>
    <x v="0"/>
    <x v="3"/>
    <n v="16"/>
    <s v="Pune"/>
    <s v="2021-04-16"/>
    <x v="32"/>
    <x v="12"/>
    <x v="39"/>
    <x v="3"/>
    <x v="54"/>
    <x v="57"/>
    <n v="427"/>
    <n v="85.4"/>
    <x v="2"/>
    <x v="0"/>
    <n v="4942"/>
    <s v="Art"/>
    <x v="0"/>
  </r>
  <r>
    <x v="149"/>
    <x v="8"/>
    <x v="0"/>
    <x v="10"/>
    <x v="3"/>
    <n v="13"/>
    <s v="Mumbai"/>
    <s v="2025-09-27"/>
    <x v="23"/>
    <x v="32"/>
    <x v="58"/>
    <x v="58"/>
    <x v="16"/>
    <x v="3"/>
    <n v="327"/>
    <n v="65.400000000000006"/>
    <x v="0"/>
    <x v="1"/>
    <n v="3714"/>
    <s v="Art"/>
    <x v="0"/>
  </r>
  <r>
    <x v="150"/>
    <x v="32"/>
    <x v="1"/>
    <x v="0"/>
    <x v="0"/>
    <n v="14"/>
    <s v="Bangalore"/>
    <s v="2024-09-13"/>
    <x v="10"/>
    <x v="55"/>
    <x v="8"/>
    <x v="15"/>
    <x v="19"/>
    <x v="18"/>
    <n v="345"/>
    <n v="69"/>
    <x v="0"/>
    <x v="0"/>
    <n v="2642"/>
    <s v="Sports"/>
    <x v="0"/>
  </r>
  <r>
    <x v="151"/>
    <x v="64"/>
    <x v="0"/>
    <x v="6"/>
    <x v="1"/>
    <n v="12"/>
    <s v="Mumbai"/>
    <s v="2021-03-07"/>
    <x v="22"/>
    <x v="51"/>
    <x v="18"/>
    <x v="14"/>
    <x v="18"/>
    <x v="54"/>
    <n v="354"/>
    <n v="70.8"/>
    <x v="1"/>
    <x v="0"/>
    <n v="1554"/>
    <s v="Music"/>
    <x v="0"/>
  </r>
  <r>
    <x v="152"/>
    <x v="93"/>
    <x v="1"/>
    <x v="8"/>
    <x v="2"/>
    <n v="8"/>
    <s v="Coimbatore"/>
    <s v="2023-12-05"/>
    <x v="23"/>
    <x v="36"/>
    <x v="29"/>
    <x v="47"/>
    <x v="15"/>
    <x v="1"/>
    <n v="356"/>
    <n v="71.2"/>
    <x v="1"/>
    <x v="0"/>
    <n v="4081"/>
    <s v="Drama"/>
    <x v="0"/>
  </r>
  <r>
    <x v="153"/>
    <x v="63"/>
    <x v="1"/>
    <x v="10"/>
    <x v="3"/>
    <n v="13"/>
    <s v="Madurai"/>
    <s v="2021-08-28"/>
    <x v="32"/>
    <x v="26"/>
    <x v="3"/>
    <x v="31"/>
    <x v="18"/>
    <x v="34"/>
    <n v="383"/>
    <n v="76.599999999999994"/>
    <x v="1"/>
    <x v="1"/>
    <n v="4856"/>
    <s v="Art"/>
    <x v="0"/>
  </r>
  <r>
    <x v="154"/>
    <x v="94"/>
    <x v="0"/>
    <x v="9"/>
    <x v="2"/>
    <n v="14"/>
    <s v="Hyderabad"/>
    <s v="2025-07-11"/>
    <x v="15"/>
    <x v="18"/>
    <x v="37"/>
    <x v="23"/>
    <x v="51"/>
    <x v="53"/>
    <n v="314"/>
    <n v="62.8"/>
    <x v="0"/>
    <x v="1"/>
    <n v="4837"/>
    <s v="Music"/>
    <x v="0"/>
  </r>
  <r>
    <x v="155"/>
    <x v="53"/>
    <x v="1"/>
    <x v="9"/>
    <x v="3"/>
    <n v="15"/>
    <s v="Coimbatore"/>
    <s v="2024-09-22"/>
    <x v="25"/>
    <x v="37"/>
    <x v="38"/>
    <x v="53"/>
    <x v="5"/>
    <x v="9"/>
    <n v="317"/>
    <n v="63.4"/>
    <x v="0"/>
    <x v="1"/>
    <n v="3321"/>
    <s v="Dance"/>
    <x v="0"/>
  </r>
  <r>
    <x v="156"/>
    <x v="26"/>
    <x v="1"/>
    <x v="3"/>
    <x v="1"/>
    <n v="6"/>
    <s v="Hyderabad"/>
    <s v="2024-04-16"/>
    <x v="2"/>
    <x v="41"/>
    <x v="59"/>
    <x v="59"/>
    <x v="16"/>
    <x v="48"/>
    <n v="309"/>
    <n v="61.8"/>
    <x v="0"/>
    <x v="1"/>
    <n v="2715"/>
    <s v="Sports"/>
    <x v="0"/>
  </r>
  <r>
    <x v="157"/>
    <x v="95"/>
    <x v="0"/>
    <x v="7"/>
    <x v="3"/>
    <n v="10"/>
    <s v="Bangalore"/>
    <s v="2024-10-15"/>
    <x v="7"/>
    <x v="27"/>
    <x v="1"/>
    <x v="48"/>
    <x v="5"/>
    <x v="38"/>
    <n v="289"/>
    <n v="57.8"/>
    <x v="3"/>
    <x v="0"/>
    <n v="4026"/>
    <s v="Sports"/>
    <x v="0"/>
  </r>
  <r>
    <x v="158"/>
    <x v="96"/>
    <x v="0"/>
    <x v="10"/>
    <x v="1"/>
    <n v="12"/>
    <s v="Bangalore"/>
    <s v="2021-07-05"/>
    <x v="29"/>
    <x v="57"/>
    <x v="33"/>
    <x v="28"/>
    <x v="11"/>
    <x v="4"/>
    <n v="323"/>
    <n v="64.599999999999994"/>
    <x v="0"/>
    <x v="0"/>
    <n v="2681"/>
    <s v="Dance"/>
    <x v="0"/>
  </r>
  <r>
    <x v="159"/>
    <x v="1"/>
    <x v="1"/>
    <x v="3"/>
    <x v="2"/>
    <n v="6"/>
    <s v="Chennai"/>
    <s v="2022-08-20"/>
    <x v="30"/>
    <x v="37"/>
    <x v="21"/>
    <x v="5"/>
    <x v="16"/>
    <x v="5"/>
    <n v="315"/>
    <n v="63"/>
    <x v="0"/>
    <x v="1"/>
    <n v="2321"/>
    <s v="Sports"/>
    <x v="0"/>
  </r>
  <r>
    <x v="160"/>
    <x v="57"/>
    <x v="0"/>
    <x v="6"/>
    <x v="2"/>
    <n v="10"/>
    <s v="Pune"/>
    <s v="2023-12-20"/>
    <x v="38"/>
    <x v="23"/>
    <x v="47"/>
    <x v="58"/>
    <x v="31"/>
    <x v="17"/>
    <n v="292"/>
    <n v="58.4"/>
    <x v="3"/>
    <x v="1"/>
    <n v="2878"/>
    <s v="Art"/>
    <x v="0"/>
  </r>
  <r>
    <x v="161"/>
    <x v="95"/>
    <x v="1"/>
    <x v="11"/>
    <x v="2"/>
    <n v="15"/>
    <s v="Bangalore"/>
    <s v="2024-12-30"/>
    <x v="40"/>
    <x v="37"/>
    <x v="45"/>
    <x v="46"/>
    <x v="45"/>
    <x v="20"/>
    <n v="351"/>
    <n v="70.2"/>
    <x v="1"/>
    <x v="1"/>
    <n v="1843"/>
    <s v="Dance"/>
    <x v="0"/>
  </r>
  <r>
    <x v="162"/>
    <x v="89"/>
    <x v="1"/>
    <x v="1"/>
    <x v="3"/>
    <n v="13"/>
    <s v="Madurai"/>
    <s v="2021-09-19"/>
    <x v="4"/>
    <x v="12"/>
    <x v="60"/>
    <x v="27"/>
    <x v="0"/>
    <x v="51"/>
    <n v="328"/>
    <n v="65.599999999999994"/>
    <x v="0"/>
    <x v="0"/>
    <n v="2378"/>
    <s v="Sports"/>
    <x v="0"/>
  </r>
  <r>
    <x v="163"/>
    <x v="60"/>
    <x v="1"/>
    <x v="0"/>
    <x v="0"/>
    <n v="14"/>
    <s v="Pune"/>
    <s v="2025-06-10"/>
    <x v="5"/>
    <x v="58"/>
    <x v="4"/>
    <x v="14"/>
    <x v="17"/>
    <x v="52"/>
    <n v="318"/>
    <n v="63.6"/>
    <x v="0"/>
    <x v="1"/>
    <n v="3428"/>
    <s v="Drama"/>
    <x v="0"/>
  </r>
  <r>
    <x v="164"/>
    <x v="97"/>
    <x v="1"/>
    <x v="10"/>
    <x v="2"/>
    <n v="13"/>
    <s v="Mumbai"/>
    <s v="2025-10-06"/>
    <x v="19"/>
    <x v="45"/>
    <x v="20"/>
    <x v="31"/>
    <x v="12"/>
    <x v="6"/>
    <n v="372"/>
    <n v="74.400000000000006"/>
    <x v="1"/>
    <x v="1"/>
    <n v="4698"/>
    <s v="Dance"/>
    <x v="0"/>
  </r>
  <r>
    <x v="165"/>
    <x v="12"/>
    <x v="0"/>
    <x v="4"/>
    <x v="2"/>
    <n v="16"/>
    <s v="Hyderabad"/>
    <s v="2024-08-08"/>
    <x v="28"/>
    <x v="42"/>
    <x v="59"/>
    <x v="3"/>
    <x v="59"/>
    <x v="22"/>
    <n v="399"/>
    <n v="79.8"/>
    <x v="1"/>
    <x v="1"/>
    <n v="2087"/>
    <s v="Sports"/>
    <x v="0"/>
  </r>
  <r>
    <x v="166"/>
    <x v="5"/>
    <x v="1"/>
    <x v="2"/>
    <x v="1"/>
    <n v="9"/>
    <s v="Hyderabad"/>
    <s v="2024-02-09"/>
    <x v="4"/>
    <x v="59"/>
    <x v="35"/>
    <x v="29"/>
    <x v="18"/>
    <x v="5"/>
    <n v="356"/>
    <n v="71.2"/>
    <x v="1"/>
    <x v="1"/>
    <n v="1986"/>
    <s v="Drama"/>
    <x v="0"/>
  </r>
  <r>
    <x v="167"/>
    <x v="66"/>
    <x v="0"/>
    <x v="7"/>
    <x v="3"/>
    <n v="10"/>
    <s v="Pune"/>
    <s v="2021-08-22"/>
    <x v="18"/>
    <x v="52"/>
    <x v="57"/>
    <x v="2"/>
    <x v="25"/>
    <x v="17"/>
    <n v="254"/>
    <n v="50.8"/>
    <x v="3"/>
    <x v="1"/>
    <n v="3908"/>
    <s v="Art"/>
    <x v="1"/>
  </r>
  <r>
    <x v="168"/>
    <x v="77"/>
    <x v="1"/>
    <x v="8"/>
    <x v="2"/>
    <n v="7"/>
    <s v="Madurai"/>
    <s v="2024-10-09"/>
    <x v="24"/>
    <x v="58"/>
    <x v="37"/>
    <x v="21"/>
    <x v="53"/>
    <x v="3"/>
    <n v="273"/>
    <n v="54.6"/>
    <x v="3"/>
    <x v="0"/>
    <n v="2437"/>
    <s v="Dance"/>
    <x v="1"/>
  </r>
  <r>
    <x v="169"/>
    <x v="48"/>
    <x v="1"/>
    <x v="7"/>
    <x v="2"/>
    <n v="9"/>
    <s v="Madurai"/>
    <s v="2025-04-26"/>
    <x v="7"/>
    <x v="29"/>
    <x v="1"/>
    <x v="51"/>
    <x v="6"/>
    <x v="4"/>
    <n v="358"/>
    <n v="71.599999999999994"/>
    <x v="1"/>
    <x v="0"/>
    <n v="4104"/>
    <s v="Dance"/>
    <x v="0"/>
  </r>
  <r>
    <x v="170"/>
    <x v="28"/>
    <x v="0"/>
    <x v="1"/>
    <x v="2"/>
    <n v="14"/>
    <s v="Mumbai"/>
    <s v="2023-07-14"/>
    <x v="16"/>
    <x v="60"/>
    <x v="4"/>
    <x v="11"/>
    <x v="48"/>
    <x v="9"/>
    <n v="347"/>
    <n v="69.400000000000006"/>
    <x v="0"/>
    <x v="1"/>
    <n v="4350"/>
    <s v="Dance"/>
    <x v="0"/>
  </r>
  <r>
    <x v="171"/>
    <x v="25"/>
    <x v="0"/>
    <x v="6"/>
    <x v="3"/>
    <n v="11"/>
    <s v="Bangalore"/>
    <s v="2021-04-22"/>
    <x v="9"/>
    <x v="39"/>
    <x v="55"/>
    <x v="2"/>
    <x v="60"/>
    <x v="24"/>
    <n v="253"/>
    <n v="50.6"/>
    <x v="3"/>
    <x v="0"/>
    <n v="4356"/>
    <s v="Music"/>
    <x v="1"/>
  </r>
  <r>
    <x v="172"/>
    <x v="89"/>
    <x v="0"/>
    <x v="3"/>
    <x v="3"/>
    <n v="6"/>
    <s v="Pune"/>
    <s v="2021-04-29"/>
    <x v="19"/>
    <x v="31"/>
    <x v="42"/>
    <x v="56"/>
    <x v="16"/>
    <x v="17"/>
    <n v="321"/>
    <n v="64.2"/>
    <x v="0"/>
    <x v="1"/>
    <n v="4258"/>
    <s v="Sports"/>
    <x v="0"/>
  </r>
  <r>
    <x v="173"/>
    <x v="56"/>
    <x v="1"/>
    <x v="6"/>
    <x v="2"/>
    <n v="10"/>
    <s v="Hyderabad"/>
    <s v="2025-02-14"/>
    <x v="0"/>
    <x v="22"/>
    <x v="27"/>
    <x v="44"/>
    <x v="9"/>
    <x v="26"/>
    <n v="334"/>
    <n v="66.8"/>
    <x v="0"/>
    <x v="1"/>
    <n v="1969"/>
    <s v="Music"/>
    <x v="0"/>
  </r>
  <r>
    <x v="174"/>
    <x v="94"/>
    <x v="0"/>
    <x v="1"/>
    <x v="1"/>
    <n v="13"/>
    <s v="Hyderabad"/>
    <s v="2025-07-29"/>
    <x v="35"/>
    <x v="25"/>
    <x v="28"/>
    <x v="52"/>
    <x v="61"/>
    <x v="56"/>
    <n v="405"/>
    <n v="81"/>
    <x v="2"/>
    <x v="1"/>
    <n v="3376"/>
    <s v="Music"/>
    <x v="0"/>
  </r>
  <r>
    <x v="175"/>
    <x v="24"/>
    <x v="1"/>
    <x v="0"/>
    <x v="1"/>
    <n v="15"/>
    <s v="Hyderabad"/>
    <s v="2022-05-06"/>
    <x v="15"/>
    <x v="46"/>
    <x v="38"/>
    <x v="48"/>
    <x v="21"/>
    <x v="28"/>
    <n v="370"/>
    <n v="74"/>
    <x v="1"/>
    <x v="0"/>
    <n v="4159"/>
    <s v="Sports"/>
    <x v="0"/>
  </r>
  <r>
    <x v="176"/>
    <x v="12"/>
    <x v="0"/>
    <x v="3"/>
    <x v="1"/>
    <n v="7"/>
    <s v="Mumbai"/>
    <s v="2023-02-07"/>
    <x v="7"/>
    <x v="25"/>
    <x v="33"/>
    <x v="53"/>
    <x v="46"/>
    <x v="48"/>
    <n v="305"/>
    <n v="61"/>
    <x v="0"/>
    <x v="1"/>
    <n v="4927"/>
    <s v="Sports"/>
    <x v="0"/>
  </r>
  <r>
    <x v="177"/>
    <x v="11"/>
    <x v="1"/>
    <x v="11"/>
    <x v="3"/>
    <n v="17"/>
    <s v="Coimbatore"/>
    <s v="2025-01-15"/>
    <x v="11"/>
    <x v="20"/>
    <x v="41"/>
    <x v="38"/>
    <x v="16"/>
    <x v="60"/>
    <n v="406"/>
    <n v="81.2"/>
    <x v="2"/>
    <x v="1"/>
    <n v="4947"/>
    <s v="Coding Club"/>
    <x v="0"/>
  </r>
  <r>
    <x v="178"/>
    <x v="98"/>
    <x v="1"/>
    <x v="1"/>
    <x v="0"/>
    <n v="13"/>
    <s v="Hyderabad"/>
    <s v="2024-01-08"/>
    <x v="8"/>
    <x v="61"/>
    <x v="18"/>
    <x v="53"/>
    <x v="56"/>
    <x v="29"/>
    <n v="340"/>
    <n v="68"/>
    <x v="0"/>
    <x v="1"/>
    <n v="1789"/>
    <s v="Sports"/>
    <x v="0"/>
  </r>
  <r>
    <x v="179"/>
    <x v="99"/>
    <x v="0"/>
    <x v="3"/>
    <x v="1"/>
    <n v="6"/>
    <s v="Chennai"/>
    <s v="2025-06-06"/>
    <x v="10"/>
    <x v="28"/>
    <x v="35"/>
    <x v="33"/>
    <x v="55"/>
    <x v="3"/>
    <n v="318"/>
    <n v="63.6"/>
    <x v="0"/>
    <x v="0"/>
    <n v="3727"/>
    <s v="Coding Club"/>
    <x v="0"/>
  </r>
  <r>
    <x v="180"/>
    <x v="41"/>
    <x v="1"/>
    <x v="11"/>
    <x v="1"/>
    <n v="15"/>
    <s v="Mumbai"/>
    <s v="2023-12-25"/>
    <x v="1"/>
    <x v="51"/>
    <x v="51"/>
    <x v="0"/>
    <x v="60"/>
    <x v="25"/>
    <n v="253"/>
    <n v="50.6"/>
    <x v="3"/>
    <x v="0"/>
    <n v="2112"/>
    <s v="Music"/>
    <x v="1"/>
  </r>
  <r>
    <x v="181"/>
    <x v="42"/>
    <x v="1"/>
    <x v="5"/>
    <x v="3"/>
    <n v="8"/>
    <s v="Bangalore"/>
    <s v="2023-03-27"/>
    <x v="21"/>
    <x v="3"/>
    <x v="55"/>
    <x v="60"/>
    <x v="49"/>
    <x v="9"/>
    <n v="343"/>
    <n v="68.599999999999994"/>
    <x v="0"/>
    <x v="1"/>
    <n v="2762"/>
    <s v="Drama"/>
    <x v="0"/>
  </r>
  <r>
    <x v="182"/>
    <x v="82"/>
    <x v="1"/>
    <x v="1"/>
    <x v="1"/>
    <n v="13"/>
    <s v="Pune"/>
    <s v="2024-09-01"/>
    <x v="0"/>
    <x v="29"/>
    <x v="45"/>
    <x v="8"/>
    <x v="40"/>
    <x v="37"/>
    <n v="318"/>
    <n v="63.6"/>
    <x v="0"/>
    <x v="0"/>
    <n v="4922"/>
    <s v="Sports"/>
    <x v="0"/>
  </r>
  <r>
    <x v="183"/>
    <x v="52"/>
    <x v="0"/>
    <x v="7"/>
    <x v="0"/>
    <n v="11"/>
    <s v="Mumbai"/>
    <s v="2024-05-24"/>
    <x v="35"/>
    <x v="20"/>
    <x v="26"/>
    <x v="61"/>
    <x v="42"/>
    <x v="52"/>
    <n v="327"/>
    <n v="65.400000000000006"/>
    <x v="0"/>
    <x v="0"/>
    <n v="1885"/>
    <s v="Sports"/>
    <x v="0"/>
  </r>
  <r>
    <x v="184"/>
    <x v="66"/>
    <x v="0"/>
    <x v="4"/>
    <x v="3"/>
    <n v="17"/>
    <s v="Pune"/>
    <s v="2021-12-07"/>
    <x v="16"/>
    <x v="13"/>
    <x v="24"/>
    <x v="60"/>
    <x v="8"/>
    <x v="44"/>
    <n v="291"/>
    <n v="58.2"/>
    <x v="3"/>
    <x v="1"/>
    <n v="3606"/>
    <s v="Drama"/>
    <x v="0"/>
  </r>
  <r>
    <x v="185"/>
    <x v="93"/>
    <x v="0"/>
    <x v="2"/>
    <x v="2"/>
    <n v="10"/>
    <s v="Hyderabad"/>
    <s v="2024-11-12"/>
    <x v="2"/>
    <x v="50"/>
    <x v="20"/>
    <x v="29"/>
    <x v="38"/>
    <x v="54"/>
    <n v="330"/>
    <n v="66"/>
    <x v="0"/>
    <x v="1"/>
    <n v="2497"/>
    <s v="Drama"/>
    <x v="0"/>
  </r>
  <r>
    <x v="186"/>
    <x v="100"/>
    <x v="0"/>
    <x v="3"/>
    <x v="2"/>
    <n v="7"/>
    <s v="Mumbai"/>
    <s v="2025-10-28"/>
    <x v="3"/>
    <x v="14"/>
    <x v="33"/>
    <x v="53"/>
    <x v="11"/>
    <x v="38"/>
    <n v="331"/>
    <n v="66.2"/>
    <x v="0"/>
    <x v="1"/>
    <n v="3345"/>
    <s v="Sports"/>
    <x v="0"/>
  </r>
  <r>
    <x v="187"/>
    <x v="33"/>
    <x v="1"/>
    <x v="7"/>
    <x v="3"/>
    <n v="9"/>
    <s v="Madurai"/>
    <s v="2023-09-03"/>
    <x v="17"/>
    <x v="10"/>
    <x v="12"/>
    <x v="62"/>
    <x v="18"/>
    <x v="31"/>
    <n v="449"/>
    <n v="89.8"/>
    <x v="2"/>
    <x v="1"/>
    <n v="4135"/>
    <s v="Art"/>
    <x v="0"/>
  </r>
  <r>
    <x v="188"/>
    <x v="52"/>
    <x v="0"/>
    <x v="6"/>
    <x v="3"/>
    <n v="11"/>
    <s v="Bangalore"/>
    <s v="2023-12-27"/>
    <x v="25"/>
    <x v="61"/>
    <x v="51"/>
    <x v="27"/>
    <x v="24"/>
    <x v="32"/>
    <n v="343"/>
    <n v="68.599999999999994"/>
    <x v="0"/>
    <x v="0"/>
    <n v="4074"/>
    <s v="Art"/>
    <x v="0"/>
  </r>
  <r>
    <x v="189"/>
    <x v="64"/>
    <x v="1"/>
    <x v="2"/>
    <x v="3"/>
    <n v="10"/>
    <s v="Madurai"/>
    <s v="2024-07-06"/>
    <x v="27"/>
    <x v="54"/>
    <x v="61"/>
    <x v="29"/>
    <x v="31"/>
    <x v="20"/>
    <n v="402"/>
    <n v="80.400000000000006"/>
    <x v="2"/>
    <x v="1"/>
    <n v="4603"/>
    <s v="Art"/>
    <x v="0"/>
  </r>
  <r>
    <x v="190"/>
    <x v="10"/>
    <x v="0"/>
    <x v="3"/>
    <x v="3"/>
    <n v="6"/>
    <s v="Coimbatore"/>
    <s v="2022-03-31"/>
    <x v="38"/>
    <x v="35"/>
    <x v="8"/>
    <x v="8"/>
    <x v="35"/>
    <x v="25"/>
    <n v="288"/>
    <n v="57.6"/>
    <x v="3"/>
    <x v="1"/>
    <n v="2521"/>
    <s v="Sports"/>
    <x v="0"/>
  </r>
  <r>
    <x v="191"/>
    <x v="101"/>
    <x v="1"/>
    <x v="3"/>
    <x v="1"/>
    <n v="6"/>
    <s v="Chennai"/>
    <s v="2023-01-12"/>
    <x v="17"/>
    <x v="51"/>
    <x v="62"/>
    <x v="29"/>
    <x v="58"/>
    <x v="34"/>
    <n v="288"/>
    <n v="57.6"/>
    <x v="3"/>
    <x v="1"/>
    <n v="2626"/>
    <s v="Drama"/>
    <x v="0"/>
  </r>
  <r>
    <x v="192"/>
    <x v="53"/>
    <x v="0"/>
    <x v="8"/>
    <x v="2"/>
    <n v="8"/>
    <s v="Coimbatore"/>
    <s v="2024-07-01"/>
    <x v="8"/>
    <x v="26"/>
    <x v="38"/>
    <x v="20"/>
    <x v="5"/>
    <x v="12"/>
    <n v="307"/>
    <n v="61.4"/>
    <x v="0"/>
    <x v="1"/>
    <n v="1778"/>
    <s v="Art"/>
    <x v="0"/>
  </r>
  <r>
    <x v="193"/>
    <x v="55"/>
    <x v="1"/>
    <x v="8"/>
    <x v="1"/>
    <n v="8"/>
    <s v="Bangalore"/>
    <s v="2022-09-21"/>
    <x v="11"/>
    <x v="31"/>
    <x v="21"/>
    <x v="37"/>
    <x v="30"/>
    <x v="46"/>
    <n v="286"/>
    <n v="57.2"/>
    <x v="3"/>
    <x v="0"/>
    <n v="4029"/>
    <s v="Dance"/>
    <x v="0"/>
  </r>
  <r>
    <x v="194"/>
    <x v="102"/>
    <x v="0"/>
    <x v="4"/>
    <x v="0"/>
    <n v="18"/>
    <s v="Chennai"/>
    <s v="2021-10-05"/>
    <x v="12"/>
    <x v="21"/>
    <x v="37"/>
    <x v="51"/>
    <x v="7"/>
    <x v="48"/>
    <n v="336"/>
    <n v="67.2"/>
    <x v="0"/>
    <x v="0"/>
    <n v="3847"/>
    <s v="Drama"/>
    <x v="0"/>
  </r>
  <r>
    <x v="195"/>
    <x v="40"/>
    <x v="1"/>
    <x v="7"/>
    <x v="1"/>
    <n v="9"/>
    <s v="Bangalore"/>
    <s v="2025-10-31"/>
    <x v="38"/>
    <x v="47"/>
    <x v="19"/>
    <x v="10"/>
    <x v="48"/>
    <x v="32"/>
    <n v="397"/>
    <n v="79.400000000000006"/>
    <x v="1"/>
    <x v="0"/>
    <n v="4818"/>
    <s v="Dance"/>
    <x v="0"/>
  </r>
  <r>
    <x v="196"/>
    <x v="32"/>
    <x v="0"/>
    <x v="8"/>
    <x v="1"/>
    <n v="7"/>
    <s v="Hyderabad"/>
    <s v="2021-10-02"/>
    <x v="7"/>
    <x v="37"/>
    <x v="20"/>
    <x v="62"/>
    <x v="11"/>
    <x v="18"/>
    <n v="317"/>
    <n v="63.4"/>
    <x v="0"/>
    <x v="0"/>
    <n v="4811"/>
    <s v="Drama"/>
    <x v="0"/>
  </r>
  <r>
    <x v="197"/>
    <x v="100"/>
    <x v="1"/>
    <x v="1"/>
    <x v="2"/>
    <n v="14"/>
    <s v="Pune"/>
    <s v="2024-01-07"/>
    <x v="15"/>
    <x v="57"/>
    <x v="51"/>
    <x v="43"/>
    <x v="20"/>
    <x v="2"/>
    <n v="344"/>
    <n v="68.8"/>
    <x v="0"/>
    <x v="0"/>
    <n v="2632"/>
    <s v="Coding Club"/>
    <x v="0"/>
  </r>
  <r>
    <x v="198"/>
    <x v="13"/>
    <x v="0"/>
    <x v="0"/>
    <x v="1"/>
    <n v="14"/>
    <s v="Coimbatore"/>
    <s v="2023-02-09"/>
    <x v="34"/>
    <x v="41"/>
    <x v="4"/>
    <x v="54"/>
    <x v="11"/>
    <x v="54"/>
    <n v="355"/>
    <n v="71"/>
    <x v="1"/>
    <x v="1"/>
    <n v="4084"/>
    <s v="Music"/>
    <x v="0"/>
  </r>
  <r>
    <x v="199"/>
    <x v="98"/>
    <x v="1"/>
    <x v="10"/>
    <x v="1"/>
    <n v="11"/>
    <s v="Chennai"/>
    <s v="2023-02-01"/>
    <x v="31"/>
    <x v="49"/>
    <x v="48"/>
    <x v="54"/>
    <x v="62"/>
    <x v="28"/>
    <n v="311"/>
    <n v="62.2"/>
    <x v="0"/>
    <x v="1"/>
    <n v="3221"/>
    <s v="Music"/>
    <x v="0"/>
  </r>
  <r>
    <x v="200"/>
    <x v="17"/>
    <x v="0"/>
    <x v="3"/>
    <x v="2"/>
    <n v="6"/>
    <s v="Pune"/>
    <s v="2021-01-05"/>
    <x v="14"/>
    <x v="11"/>
    <x v="48"/>
    <x v="4"/>
    <x v="32"/>
    <x v="51"/>
    <n v="313"/>
    <n v="62.6"/>
    <x v="0"/>
    <x v="1"/>
    <n v="4786"/>
    <s v="Sports"/>
    <x v="0"/>
  </r>
  <r>
    <x v="201"/>
    <x v="1"/>
    <x v="1"/>
    <x v="1"/>
    <x v="1"/>
    <n v="12"/>
    <s v="Madurai"/>
    <s v="2022-12-15"/>
    <x v="25"/>
    <x v="25"/>
    <x v="41"/>
    <x v="26"/>
    <x v="55"/>
    <x v="61"/>
    <n v="405"/>
    <n v="81"/>
    <x v="2"/>
    <x v="1"/>
    <n v="3126"/>
    <s v="Sports"/>
    <x v="0"/>
  </r>
  <r>
    <x v="202"/>
    <x v="42"/>
    <x v="0"/>
    <x v="10"/>
    <x v="3"/>
    <n v="11"/>
    <s v="Pune"/>
    <s v="2024-11-08"/>
    <x v="39"/>
    <x v="20"/>
    <x v="44"/>
    <x v="44"/>
    <x v="16"/>
    <x v="18"/>
    <n v="384"/>
    <n v="76.8"/>
    <x v="1"/>
    <x v="0"/>
    <n v="4879"/>
    <s v="Music"/>
    <x v="0"/>
  </r>
  <r>
    <x v="203"/>
    <x v="103"/>
    <x v="1"/>
    <x v="4"/>
    <x v="2"/>
    <n v="17"/>
    <s v="Madurai"/>
    <s v="2025-09-23"/>
    <x v="30"/>
    <x v="42"/>
    <x v="38"/>
    <x v="58"/>
    <x v="41"/>
    <x v="24"/>
    <n v="281"/>
    <n v="56.2"/>
    <x v="3"/>
    <x v="1"/>
    <n v="3119"/>
    <s v="Art"/>
    <x v="0"/>
  </r>
  <r>
    <x v="204"/>
    <x v="44"/>
    <x v="1"/>
    <x v="11"/>
    <x v="0"/>
    <n v="17"/>
    <s v="Mumbai"/>
    <s v="2025-05-29"/>
    <x v="36"/>
    <x v="2"/>
    <x v="10"/>
    <x v="49"/>
    <x v="60"/>
    <x v="37"/>
    <n v="346"/>
    <n v="69.2"/>
    <x v="0"/>
    <x v="0"/>
    <n v="4575"/>
    <s v="Sports"/>
    <x v="0"/>
  </r>
  <r>
    <x v="205"/>
    <x v="15"/>
    <x v="1"/>
    <x v="2"/>
    <x v="0"/>
    <n v="10"/>
    <s v="Bangalore"/>
    <s v="2024-04-11"/>
    <x v="36"/>
    <x v="25"/>
    <x v="39"/>
    <x v="10"/>
    <x v="5"/>
    <x v="7"/>
    <n v="403"/>
    <n v="80.599999999999994"/>
    <x v="2"/>
    <x v="0"/>
    <n v="2807"/>
    <s v="Art"/>
    <x v="0"/>
  </r>
  <r>
    <x v="206"/>
    <x v="56"/>
    <x v="0"/>
    <x v="3"/>
    <x v="1"/>
    <n v="7"/>
    <s v="Madurai"/>
    <s v="2023-11-24"/>
    <x v="29"/>
    <x v="62"/>
    <x v="1"/>
    <x v="25"/>
    <x v="24"/>
    <x v="5"/>
    <n v="382"/>
    <n v="76.400000000000006"/>
    <x v="1"/>
    <x v="1"/>
    <n v="4495"/>
    <s v="Coding Club"/>
    <x v="0"/>
  </r>
  <r>
    <x v="207"/>
    <x v="32"/>
    <x v="1"/>
    <x v="10"/>
    <x v="1"/>
    <n v="13"/>
    <s v="Hyderabad"/>
    <s v="2025-05-25"/>
    <x v="39"/>
    <x v="51"/>
    <x v="51"/>
    <x v="13"/>
    <x v="16"/>
    <x v="49"/>
    <n v="268"/>
    <n v="53.6"/>
    <x v="3"/>
    <x v="0"/>
    <n v="4183"/>
    <s v="Drama"/>
    <x v="1"/>
  </r>
  <r>
    <x v="208"/>
    <x v="104"/>
    <x v="1"/>
    <x v="9"/>
    <x v="2"/>
    <n v="15"/>
    <s v="Pune"/>
    <s v="2024-04-14"/>
    <x v="3"/>
    <x v="47"/>
    <x v="37"/>
    <x v="58"/>
    <x v="4"/>
    <x v="60"/>
    <n v="307"/>
    <n v="61.4"/>
    <x v="0"/>
    <x v="1"/>
    <n v="3658"/>
    <s v="Music"/>
    <x v="0"/>
  </r>
  <r>
    <x v="209"/>
    <x v="74"/>
    <x v="1"/>
    <x v="1"/>
    <x v="2"/>
    <n v="12"/>
    <s v="Coimbatore"/>
    <s v="2025-01-25"/>
    <x v="37"/>
    <x v="15"/>
    <x v="20"/>
    <x v="49"/>
    <x v="14"/>
    <x v="10"/>
    <n v="329"/>
    <n v="65.8"/>
    <x v="0"/>
    <x v="0"/>
    <n v="4720"/>
    <s v="Art"/>
    <x v="0"/>
  </r>
  <r>
    <x v="210"/>
    <x v="72"/>
    <x v="0"/>
    <x v="10"/>
    <x v="1"/>
    <n v="13"/>
    <s v="Madurai"/>
    <s v="2022-05-08"/>
    <x v="29"/>
    <x v="10"/>
    <x v="24"/>
    <x v="58"/>
    <x v="24"/>
    <x v="59"/>
    <n v="357"/>
    <n v="71.400000000000006"/>
    <x v="1"/>
    <x v="1"/>
    <n v="4498"/>
    <s v="Coding Club"/>
    <x v="0"/>
  </r>
  <r>
    <x v="211"/>
    <x v="105"/>
    <x v="0"/>
    <x v="8"/>
    <x v="0"/>
    <n v="9"/>
    <s v="Coimbatore"/>
    <s v="2022-10-23"/>
    <x v="38"/>
    <x v="8"/>
    <x v="33"/>
    <x v="20"/>
    <x v="33"/>
    <x v="44"/>
    <n v="287"/>
    <n v="57.4"/>
    <x v="3"/>
    <x v="1"/>
    <n v="4421"/>
    <s v="Drama"/>
    <x v="0"/>
  </r>
  <r>
    <x v="212"/>
    <x v="47"/>
    <x v="1"/>
    <x v="11"/>
    <x v="1"/>
    <n v="17"/>
    <s v="Chennai"/>
    <s v="2022-04-12"/>
    <x v="4"/>
    <x v="33"/>
    <x v="30"/>
    <x v="62"/>
    <x v="20"/>
    <x v="47"/>
    <n v="389"/>
    <n v="77.8"/>
    <x v="1"/>
    <x v="0"/>
    <n v="2188"/>
    <s v="Music"/>
    <x v="0"/>
  </r>
  <r>
    <x v="213"/>
    <x v="77"/>
    <x v="1"/>
    <x v="1"/>
    <x v="3"/>
    <n v="12"/>
    <s v="Chennai"/>
    <s v="2022-07-17"/>
    <x v="39"/>
    <x v="20"/>
    <x v="57"/>
    <x v="18"/>
    <x v="46"/>
    <x v="60"/>
    <n v="339"/>
    <n v="67.8"/>
    <x v="0"/>
    <x v="1"/>
    <n v="4838"/>
    <s v="Music"/>
    <x v="0"/>
  </r>
  <r>
    <x v="214"/>
    <x v="80"/>
    <x v="0"/>
    <x v="7"/>
    <x v="0"/>
    <n v="9"/>
    <s v="Hyderabad"/>
    <s v="2022-11-26"/>
    <x v="14"/>
    <x v="7"/>
    <x v="28"/>
    <x v="15"/>
    <x v="34"/>
    <x v="40"/>
    <n v="300"/>
    <n v="60"/>
    <x v="0"/>
    <x v="1"/>
    <n v="2740"/>
    <s v="Sports"/>
    <x v="0"/>
  </r>
  <r>
    <x v="215"/>
    <x v="12"/>
    <x v="1"/>
    <x v="11"/>
    <x v="0"/>
    <n v="17"/>
    <s v="Mumbai"/>
    <s v="2025-11-17"/>
    <x v="20"/>
    <x v="25"/>
    <x v="54"/>
    <x v="57"/>
    <x v="27"/>
    <x v="15"/>
    <n v="359"/>
    <n v="71.8"/>
    <x v="1"/>
    <x v="1"/>
    <n v="4461"/>
    <s v="Music"/>
    <x v="0"/>
  </r>
  <r>
    <x v="216"/>
    <x v="56"/>
    <x v="0"/>
    <x v="1"/>
    <x v="0"/>
    <n v="12"/>
    <s v="Mumbai"/>
    <s v="2021-07-20"/>
    <x v="9"/>
    <x v="63"/>
    <x v="4"/>
    <x v="12"/>
    <x v="4"/>
    <x v="4"/>
    <n v="352"/>
    <n v="70.400000000000006"/>
    <x v="1"/>
    <x v="0"/>
    <n v="4800"/>
    <s v="Art"/>
    <x v="0"/>
  </r>
  <r>
    <x v="217"/>
    <x v="39"/>
    <x v="1"/>
    <x v="0"/>
    <x v="0"/>
    <n v="14"/>
    <s v="Pune"/>
    <s v="2024-06-29"/>
    <x v="18"/>
    <x v="10"/>
    <x v="12"/>
    <x v="11"/>
    <x v="4"/>
    <x v="51"/>
    <n v="346"/>
    <n v="69.2"/>
    <x v="0"/>
    <x v="1"/>
    <n v="3999"/>
    <s v="Dance"/>
    <x v="0"/>
  </r>
  <r>
    <x v="218"/>
    <x v="43"/>
    <x v="1"/>
    <x v="10"/>
    <x v="0"/>
    <n v="12"/>
    <s v="Coimbatore"/>
    <s v="2024-01-24"/>
    <x v="9"/>
    <x v="23"/>
    <x v="7"/>
    <x v="45"/>
    <x v="13"/>
    <x v="9"/>
    <n v="295"/>
    <n v="59"/>
    <x v="3"/>
    <x v="1"/>
    <n v="2067"/>
    <s v="Art"/>
    <x v="0"/>
  </r>
  <r>
    <x v="219"/>
    <x v="106"/>
    <x v="1"/>
    <x v="8"/>
    <x v="2"/>
    <n v="9"/>
    <s v="Bangalore"/>
    <s v="2022-05-02"/>
    <x v="34"/>
    <x v="53"/>
    <x v="5"/>
    <x v="43"/>
    <x v="60"/>
    <x v="18"/>
    <n v="336"/>
    <n v="67.2"/>
    <x v="0"/>
    <x v="1"/>
    <n v="3597"/>
    <s v="Art"/>
    <x v="0"/>
  </r>
  <r>
    <x v="220"/>
    <x v="107"/>
    <x v="0"/>
    <x v="10"/>
    <x v="2"/>
    <n v="12"/>
    <s v="Pune"/>
    <s v="2022-04-01"/>
    <x v="35"/>
    <x v="59"/>
    <x v="32"/>
    <x v="40"/>
    <x v="63"/>
    <x v="26"/>
    <n v="348"/>
    <n v="69.599999999999994"/>
    <x v="0"/>
    <x v="0"/>
    <n v="4581"/>
    <s v="Music"/>
    <x v="0"/>
  </r>
  <r>
    <x v="221"/>
    <x v="100"/>
    <x v="1"/>
    <x v="7"/>
    <x v="2"/>
    <n v="11"/>
    <s v="Pune"/>
    <s v="2021-12-06"/>
    <x v="20"/>
    <x v="64"/>
    <x v="48"/>
    <x v="23"/>
    <x v="50"/>
    <x v="40"/>
    <n v="311"/>
    <n v="62.2"/>
    <x v="0"/>
    <x v="0"/>
    <n v="1635"/>
    <s v="Drama"/>
    <x v="0"/>
  </r>
  <r>
    <x v="222"/>
    <x v="108"/>
    <x v="0"/>
    <x v="5"/>
    <x v="0"/>
    <n v="7"/>
    <s v="Madurai"/>
    <s v="2025-08-08"/>
    <x v="37"/>
    <x v="17"/>
    <x v="19"/>
    <x v="16"/>
    <x v="50"/>
    <x v="29"/>
    <n v="347"/>
    <n v="69.400000000000006"/>
    <x v="0"/>
    <x v="0"/>
    <n v="3221"/>
    <s v="Drama"/>
    <x v="0"/>
  </r>
  <r>
    <x v="223"/>
    <x v="54"/>
    <x v="0"/>
    <x v="7"/>
    <x v="3"/>
    <n v="10"/>
    <s v="Hyderabad"/>
    <s v="2025-04-29"/>
    <x v="7"/>
    <x v="62"/>
    <x v="24"/>
    <x v="41"/>
    <x v="12"/>
    <x v="62"/>
    <n v="364"/>
    <n v="72.8"/>
    <x v="1"/>
    <x v="1"/>
    <n v="3311"/>
    <s v="Art"/>
    <x v="0"/>
  </r>
  <r>
    <x v="224"/>
    <x v="109"/>
    <x v="0"/>
    <x v="4"/>
    <x v="3"/>
    <n v="17"/>
    <s v="Pune"/>
    <s v="2021-10-23"/>
    <x v="37"/>
    <x v="56"/>
    <x v="45"/>
    <x v="6"/>
    <x v="52"/>
    <x v="3"/>
    <n v="374"/>
    <n v="74.8"/>
    <x v="1"/>
    <x v="0"/>
    <n v="3885"/>
    <s v="Coding Club"/>
    <x v="0"/>
  </r>
  <r>
    <x v="225"/>
    <x v="110"/>
    <x v="1"/>
    <x v="7"/>
    <x v="3"/>
    <n v="9"/>
    <s v="Pune"/>
    <s v="2022-02-23"/>
    <x v="14"/>
    <x v="22"/>
    <x v="50"/>
    <x v="36"/>
    <x v="15"/>
    <x v="14"/>
    <n v="327"/>
    <n v="65.400000000000006"/>
    <x v="0"/>
    <x v="1"/>
    <n v="4249"/>
    <s v="Music"/>
    <x v="0"/>
  </r>
  <r>
    <x v="226"/>
    <x v="89"/>
    <x v="0"/>
    <x v="0"/>
    <x v="0"/>
    <n v="16"/>
    <s v="Mumbai"/>
    <s v="2021-03-23"/>
    <x v="21"/>
    <x v="1"/>
    <x v="9"/>
    <x v="50"/>
    <x v="15"/>
    <x v="45"/>
    <n v="322"/>
    <n v="64.400000000000006"/>
    <x v="0"/>
    <x v="1"/>
    <n v="3093"/>
    <s v="Drama"/>
    <x v="0"/>
  </r>
  <r>
    <x v="227"/>
    <x v="26"/>
    <x v="1"/>
    <x v="5"/>
    <x v="3"/>
    <n v="8"/>
    <s v="Mumbai"/>
    <s v="2022-10-25"/>
    <x v="6"/>
    <x v="7"/>
    <x v="3"/>
    <x v="53"/>
    <x v="46"/>
    <x v="9"/>
    <n v="383"/>
    <n v="76.599999999999994"/>
    <x v="1"/>
    <x v="1"/>
    <n v="4868"/>
    <s v="Art"/>
    <x v="0"/>
  </r>
  <r>
    <x v="228"/>
    <x v="102"/>
    <x v="1"/>
    <x v="0"/>
    <x v="0"/>
    <n v="16"/>
    <s v="Bangalore"/>
    <s v="2024-02-15"/>
    <x v="2"/>
    <x v="38"/>
    <x v="32"/>
    <x v="3"/>
    <x v="36"/>
    <x v="34"/>
    <n v="392"/>
    <n v="78.400000000000006"/>
    <x v="1"/>
    <x v="0"/>
    <n v="3868"/>
    <s v="Music"/>
    <x v="0"/>
  </r>
  <r>
    <x v="229"/>
    <x v="111"/>
    <x v="1"/>
    <x v="1"/>
    <x v="0"/>
    <n v="14"/>
    <s v="Hyderabad"/>
    <s v="2021-05-11"/>
    <x v="15"/>
    <x v="9"/>
    <x v="40"/>
    <x v="35"/>
    <x v="26"/>
    <x v="25"/>
    <n v="314"/>
    <n v="62.8"/>
    <x v="0"/>
    <x v="1"/>
    <n v="4457"/>
    <s v="Dance"/>
    <x v="0"/>
  </r>
  <r>
    <x v="230"/>
    <x v="90"/>
    <x v="1"/>
    <x v="11"/>
    <x v="3"/>
    <n v="17"/>
    <s v="Chennai"/>
    <s v="2025-11-22"/>
    <x v="27"/>
    <x v="0"/>
    <x v="63"/>
    <x v="28"/>
    <x v="30"/>
    <x v="46"/>
    <n v="300"/>
    <n v="60"/>
    <x v="0"/>
    <x v="1"/>
    <n v="1850"/>
    <s v="Sports"/>
    <x v="0"/>
  </r>
  <r>
    <x v="231"/>
    <x v="112"/>
    <x v="1"/>
    <x v="4"/>
    <x v="1"/>
    <n v="16"/>
    <s v="Madurai"/>
    <s v="2024-03-10"/>
    <x v="12"/>
    <x v="51"/>
    <x v="52"/>
    <x v="25"/>
    <x v="9"/>
    <x v="20"/>
    <n v="342"/>
    <n v="68.400000000000006"/>
    <x v="0"/>
    <x v="1"/>
    <n v="3974"/>
    <s v="Music"/>
    <x v="0"/>
  </r>
  <r>
    <x v="232"/>
    <x v="34"/>
    <x v="0"/>
    <x v="6"/>
    <x v="2"/>
    <n v="12"/>
    <s v="Hyderabad"/>
    <s v="2024-10-27"/>
    <x v="38"/>
    <x v="40"/>
    <x v="11"/>
    <x v="26"/>
    <x v="6"/>
    <x v="34"/>
    <n v="382"/>
    <n v="76.400000000000006"/>
    <x v="1"/>
    <x v="0"/>
    <n v="4040"/>
    <s v="Drama"/>
    <x v="0"/>
  </r>
  <r>
    <x v="233"/>
    <x v="88"/>
    <x v="1"/>
    <x v="11"/>
    <x v="1"/>
    <n v="16"/>
    <s v="Madurai"/>
    <s v="2023-11-06"/>
    <x v="15"/>
    <x v="59"/>
    <x v="10"/>
    <x v="3"/>
    <x v="36"/>
    <x v="18"/>
    <n v="341"/>
    <n v="68.2"/>
    <x v="0"/>
    <x v="0"/>
    <n v="3118"/>
    <s v="Drama"/>
    <x v="0"/>
  </r>
  <r>
    <x v="234"/>
    <x v="113"/>
    <x v="1"/>
    <x v="11"/>
    <x v="1"/>
    <n v="15"/>
    <s v="Mumbai"/>
    <s v="2024-03-09"/>
    <x v="34"/>
    <x v="2"/>
    <x v="16"/>
    <x v="5"/>
    <x v="16"/>
    <x v="41"/>
    <n v="312"/>
    <n v="62.4"/>
    <x v="0"/>
    <x v="0"/>
    <n v="4997"/>
    <s v="Music"/>
    <x v="0"/>
  </r>
  <r>
    <x v="235"/>
    <x v="106"/>
    <x v="1"/>
    <x v="4"/>
    <x v="2"/>
    <n v="16"/>
    <s v="Chennai"/>
    <s v="2023-08-16"/>
    <x v="26"/>
    <x v="31"/>
    <x v="13"/>
    <x v="8"/>
    <x v="51"/>
    <x v="14"/>
    <n v="284"/>
    <n v="56.8"/>
    <x v="3"/>
    <x v="0"/>
    <n v="4757"/>
    <s v="Dance"/>
    <x v="0"/>
  </r>
  <r>
    <x v="236"/>
    <x v="59"/>
    <x v="0"/>
    <x v="9"/>
    <x v="1"/>
    <n v="13"/>
    <s v="Chennai"/>
    <s v="2025-11-10"/>
    <x v="16"/>
    <x v="57"/>
    <x v="54"/>
    <x v="38"/>
    <x v="60"/>
    <x v="57"/>
    <n v="337"/>
    <n v="67.400000000000006"/>
    <x v="0"/>
    <x v="0"/>
    <n v="2851"/>
    <s v="Art"/>
    <x v="0"/>
  </r>
  <r>
    <x v="237"/>
    <x v="92"/>
    <x v="1"/>
    <x v="7"/>
    <x v="2"/>
    <n v="11"/>
    <s v="Mumbai"/>
    <s v="2021-03-07"/>
    <x v="11"/>
    <x v="55"/>
    <x v="60"/>
    <x v="3"/>
    <x v="29"/>
    <x v="49"/>
    <n v="324"/>
    <n v="64.8"/>
    <x v="0"/>
    <x v="0"/>
    <n v="2001"/>
    <s v="Music"/>
    <x v="0"/>
  </r>
  <r>
    <x v="238"/>
    <x v="114"/>
    <x v="1"/>
    <x v="1"/>
    <x v="0"/>
    <n v="13"/>
    <s v="Hyderabad"/>
    <s v="2023-09-11"/>
    <x v="13"/>
    <x v="39"/>
    <x v="21"/>
    <x v="19"/>
    <x v="54"/>
    <x v="56"/>
    <n v="337"/>
    <n v="67.400000000000006"/>
    <x v="0"/>
    <x v="0"/>
    <n v="2099"/>
    <s v="Music"/>
    <x v="0"/>
  </r>
  <r>
    <x v="239"/>
    <x v="115"/>
    <x v="1"/>
    <x v="5"/>
    <x v="0"/>
    <n v="8"/>
    <s v="Hyderabad"/>
    <s v="2025-07-10"/>
    <x v="2"/>
    <x v="47"/>
    <x v="52"/>
    <x v="58"/>
    <x v="10"/>
    <x v="61"/>
    <n v="361"/>
    <n v="72.2"/>
    <x v="1"/>
    <x v="1"/>
    <n v="2647"/>
    <s v="Sports"/>
    <x v="0"/>
  </r>
  <r>
    <x v="240"/>
    <x v="116"/>
    <x v="0"/>
    <x v="1"/>
    <x v="0"/>
    <n v="12"/>
    <s v="Mumbai"/>
    <s v="2025-09-13"/>
    <x v="39"/>
    <x v="56"/>
    <x v="30"/>
    <x v="16"/>
    <x v="23"/>
    <x v="30"/>
    <n v="350"/>
    <n v="70"/>
    <x v="1"/>
    <x v="1"/>
    <n v="4656"/>
    <s v="Dance"/>
    <x v="0"/>
  </r>
  <r>
    <x v="241"/>
    <x v="16"/>
    <x v="0"/>
    <x v="4"/>
    <x v="2"/>
    <n v="16"/>
    <s v="Hyderabad"/>
    <s v="2022-12-26"/>
    <x v="28"/>
    <x v="54"/>
    <x v="55"/>
    <x v="34"/>
    <x v="54"/>
    <x v="13"/>
    <n v="318"/>
    <n v="63.6"/>
    <x v="0"/>
    <x v="0"/>
    <n v="3527"/>
    <s v="Dance"/>
    <x v="0"/>
  </r>
  <r>
    <x v="242"/>
    <x v="6"/>
    <x v="1"/>
    <x v="6"/>
    <x v="2"/>
    <n v="12"/>
    <s v="Mumbai"/>
    <s v="2024-10-23"/>
    <x v="26"/>
    <x v="59"/>
    <x v="9"/>
    <x v="25"/>
    <x v="41"/>
    <x v="54"/>
    <n v="315"/>
    <n v="63"/>
    <x v="0"/>
    <x v="0"/>
    <n v="2002"/>
    <s v="Coding Club"/>
    <x v="0"/>
  </r>
  <r>
    <x v="243"/>
    <x v="104"/>
    <x v="0"/>
    <x v="1"/>
    <x v="2"/>
    <n v="14"/>
    <s v="Madurai"/>
    <s v="2023-04-23"/>
    <x v="3"/>
    <x v="50"/>
    <x v="45"/>
    <x v="60"/>
    <x v="57"/>
    <x v="34"/>
    <n v="386"/>
    <n v="77.2"/>
    <x v="1"/>
    <x v="1"/>
    <n v="4590"/>
    <s v="Art"/>
    <x v="0"/>
  </r>
  <r>
    <x v="244"/>
    <x v="31"/>
    <x v="1"/>
    <x v="11"/>
    <x v="3"/>
    <n v="15"/>
    <s v="Bangalore"/>
    <s v="2023-03-02"/>
    <x v="10"/>
    <x v="42"/>
    <x v="62"/>
    <x v="26"/>
    <x v="52"/>
    <x v="19"/>
    <n v="308"/>
    <n v="61.6"/>
    <x v="0"/>
    <x v="0"/>
    <n v="2564"/>
    <s v="Art"/>
    <x v="0"/>
  </r>
  <r>
    <x v="245"/>
    <x v="32"/>
    <x v="1"/>
    <x v="9"/>
    <x v="3"/>
    <n v="13"/>
    <s v="Bangalore"/>
    <s v="2024-03-15"/>
    <x v="31"/>
    <x v="41"/>
    <x v="5"/>
    <x v="45"/>
    <x v="64"/>
    <x v="19"/>
    <n v="300"/>
    <n v="60"/>
    <x v="0"/>
    <x v="1"/>
    <n v="2808"/>
    <s v="Music"/>
    <x v="0"/>
  </r>
  <r>
    <x v="246"/>
    <x v="68"/>
    <x v="0"/>
    <x v="7"/>
    <x v="1"/>
    <n v="11"/>
    <s v="Chennai"/>
    <s v="2025-01-06"/>
    <x v="27"/>
    <x v="32"/>
    <x v="56"/>
    <x v="34"/>
    <x v="52"/>
    <x v="59"/>
    <n v="331"/>
    <n v="66.2"/>
    <x v="0"/>
    <x v="0"/>
    <n v="4970"/>
    <s v="Dance"/>
    <x v="0"/>
  </r>
  <r>
    <x v="247"/>
    <x v="76"/>
    <x v="1"/>
    <x v="4"/>
    <x v="3"/>
    <n v="18"/>
    <s v="Bangalore"/>
    <s v="2021-03-04"/>
    <x v="37"/>
    <x v="64"/>
    <x v="32"/>
    <x v="13"/>
    <x v="54"/>
    <x v="57"/>
    <n v="410"/>
    <n v="82"/>
    <x v="2"/>
    <x v="0"/>
    <n v="4996"/>
    <s v="Coding Club"/>
    <x v="0"/>
  </r>
  <r>
    <x v="248"/>
    <x v="55"/>
    <x v="1"/>
    <x v="3"/>
    <x v="2"/>
    <n v="7"/>
    <s v="Pune"/>
    <s v="2025-02-20"/>
    <x v="4"/>
    <x v="10"/>
    <x v="19"/>
    <x v="5"/>
    <x v="48"/>
    <x v="54"/>
    <n v="323"/>
    <n v="64.599999999999994"/>
    <x v="0"/>
    <x v="0"/>
    <n v="3955"/>
    <s v="Coding Club"/>
    <x v="0"/>
  </r>
  <r>
    <x v="249"/>
    <x v="33"/>
    <x v="1"/>
    <x v="5"/>
    <x v="1"/>
    <n v="7"/>
    <s v="Hyderabad"/>
    <s v="2021-01-06"/>
    <x v="22"/>
    <x v="47"/>
    <x v="54"/>
    <x v="24"/>
    <x v="61"/>
    <x v="50"/>
    <n v="366"/>
    <n v="73.2"/>
    <x v="1"/>
    <x v="1"/>
    <n v="4452"/>
    <s v="Art"/>
    <x v="0"/>
  </r>
  <r>
    <x v="250"/>
    <x v="32"/>
    <x v="1"/>
    <x v="1"/>
    <x v="3"/>
    <n v="13"/>
    <s v="Bangalore"/>
    <s v="2023-10-07"/>
    <x v="20"/>
    <x v="40"/>
    <x v="4"/>
    <x v="3"/>
    <x v="7"/>
    <x v="49"/>
    <n v="394"/>
    <n v="78.8"/>
    <x v="1"/>
    <x v="1"/>
    <n v="4836"/>
    <s v="Drama"/>
    <x v="0"/>
  </r>
  <r>
    <x v="251"/>
    <x v="66"/>
    <x v="1"/>
    <x v="7"/>
    <x v="3"/>
    <n v="9"/>
    <s v="Pune"/>
    <s v="2022-08-11"/>
    <x v="16"/>
    <x v="2"/>
    <x v="24"/>
    <x v="27"/>
    <x v="42"/>
    <x v="20"/>
    <n v="355"/>
    <n v="71"/>
    <x v="1"/>
    <x v="0"/>
    <n v="4038"/>
    <s v="Music"/>
    <x v="0"/>
  </r>
  <r>
    <x v="252"/>
    <x v="117"/>
    <x v="0"/>
    <x v="11"/>
    <x v="3"/>
    <n v="16"/>
    <s v="Mumbai"/>
    <s v="2024-06-18"/>
    <x v="39"/>
    <x v="28"/>
    <x v="34"/>
    <x v="46"/>
    <x v="37"/>
    <x v="10"/>
    <n v="338"/>
    <n v="67.599999999999994"/>
    <x v="0"/>
    <x v="0"/>
    <n v="3203"/>
    <s v="Sports"/>
    <x v="0"/>
  </r>
  <r>
    <x v="253"/>
    <x v="51"/>
    <x v="1"/>
    <x v="1"/>
    <x v="1"/>
    <n v="13"/>
    <s v="Bangalore"/>
    <s v="2021-03-28"/>
    <x v="21"/>
    <x v="31"/>
    <x v="49"/>
    <x v="35"/>
    <x v="14"/>
    <x v="63"/>
    <n v="248"/>
    <n v="49.6"/>
    <x v="4"/>
    <x v="1"/>
    <n v="3819"/>
    <s v="Drama"/>
    <x v="1"/>
  </r>
  <r>
    <x v="254"/>
    <x v="59"/>
    <x v="1"/>
    <x v="3"/>
    <x v="3"/>
    <n v="6"/>
    <s v="Bangalore"/>
    <s v="2021-02-03"/>
    <x v="0"/>
    <x v="4"/>
    <x v="53"/>
    <x v="5"/>
    <x v="4"/>
    <x v="48"/>
    <n v="296"/>
    <n v="59.2"/>
    <x v="3"/>
    <x v="1"/>
    <n v="3999"/>
    <s v="Art"/>
    <x v="0"/>
  </r>
  <r>
    <x v="255"/>
    <x v="48"/>
    <x v="0"/>
    <x v="5"/>
    <x v="1"/>
    <n v="6"/>
    <s v="Coimbatore"/>
    <s v="2025-06-04"/>
    <x v="3"/>
    <x v="21"/>
    <x v="59"/>
    <x v="49"/>
    <x v="27"/>
    <x v="22"/>
    <n v="345"/>
    <n v="69"/>
    <x v="0"/>
    <x v="0"/>
    <n v="3684"/>
    <s v="Sports"/>
    <x v="0"/>
  </r>
  <r>
    <x v="256"/>
    <x v="1"/>
    <x v="1"/>
    <x v="3"/>
    <x v="2"/>
    <n v="6"/>
    <s v="Coimbatore"/>
    <s v="2021-09-03"/>
    <x v="31"/>
    <x v="42"/>
    <x v="3"/>
    <x v="7"/>
    <x v="33"/>
    <x v="3"/>
    <n v="351"/>
    <n v="70.2"/>
    <x v="1"/>
    <x v="1"/>
    <n v="4884"/>
    <s v="Art"/>
    <x v="0"/>
  </r>
  <r>
    <x v="257"/>
    <x v="84"/>
    <x v="1"/>
    <x v="9"/>
    <x v="0"/>
    <n v="15"/>
    <s v="Chennai"/>
    <s v="2024-04-28"/>
    <x v="17"/>
    <x v="3"/>
    <x v="28"/>
    <x v="34"/>
    <x v="14"/>
    <x v="20"/>
    <n v="357"/>
    <n v="71.400000000000006"/>
    <x v="1"/>
    <x v="0"/>
    <n v="3691"/>
    <s v="Drama"/>
    <x v="0"/>
  </r>
  <r>
    <x v="258"/>
    <x v="93"/>
    <x v="0"/>
    <x v="9"/>
    <x v="2"/>
    <n v="15"/>
    <s v="Coimbatore"/>
    <s v="2023-01-04"/>
    <x v="17"/>
    <x v="25"/>
    <x v="1"/>
    <x v="7"/>
    <x v="0"/>
    <x v="64"/>
    <n v="329"/>
    <n v="65.8"/>
    <x v="0"/>
    <x v="0"/>
    <n v="3555"/>
    <s v="Music"/>
    <x v="0"/>
  </r>
  <r>
    <x v="259"/>
    <x v="110"/>
    <x v="0"/>
    <x v="6"/>
    <x v="3"/>
    <n v="12"/>
    <s v="Bangalore"/>
    <s v="2023-01-30"/>
    <x v="31"/>
    <x v="21"/>
    <x v="64"/>
    <x v="40"/>
    <x v="0"/>
    <x v="35"/>
    <n v="249"/>
    <n v="49.8"/>
    <x v="4"/>
    <x v="0"/>
    <n v="1738"/>
    <s v="Dance"/>
    <x v="1"/>
  </r>
  <r>
    <x v="260"/>
    <x v="68"/>
    <x v="0"/>
    <x v="4"/>
    <x v="1"/>
    <n v="16"/>
    <s v="Bangalore"/>
    <s v="2022-11-27"/>
    <x v="21"/>
    <x v="9"/>
    <x v="11"/>
    <x v="63"/>
    <x v="50"/>
    <x v="3"/>
    <n v="382"/>
    <n v="76.400000000000006"/>
    <x v="1"/>
    <x v="0"/>
    <n v="1867"/>
    <s v="Sports"/>
    <x v="0"/>
  </r>
  <r>
    <x v="261"/>
    <x v="55"/>
    <x v="0"/>
    <x v="7"/>
    <x v="3"/>
    <n v="9"/>
    <s v="Pune"/>
    <s v="2025-07-10"/>
    <x v="21"/>
    <x v="60"/>
    <x v="31"/>
    <x v="29"/>
    <x v="19"/>
    <x v="51"/>
    <n v="347"/>
    <n v="69.400000000000006"/>
    <x v="0"/>
    <x v="0"/>
    <n v="3732"/>
    <s v="Drama"/>
    <x v="0"/>
  </r>
  <r>
    <x v="262"/>
    <x v="4"/>
    <x v="0"/>
    <x v="11"/>
    <x v="3"/>
    <n v="17"/>
    <s v="Hyderabad"/>
    <s v="2022-02-23"/>
    <x v="19"/>
    <x v="46"/>
    <x v="16"/>
    <x v="4"/>
    <x v="17"/>
    <x v="21"/>
    <n v="326"/>
    <n v="65.2"/>
    <x v="0"/>
    <x v="0"/>
    <n v="2430"/>
    <s v="Coding Club"/>
    <x v="0"/>
  </r>
  <r>
    <x v="263"/>
    <x v="71"/>
    <x v="0"/>
    <x v="6"/>
    <x v="2"/>
    <n v="10"/>
    <s v="Mumbai"/>
    <s v="2021-08-26"/>
    <x v="4"/>
    <x v="60"/>
    <x v="38"/>
    <x v="35"/>
    <x v="36"/>
    <x v="18"/>
    <n v="262"/>
    <n v="52.4"/>
    <x v="3"/>
    <x v="1"/>
    <n v="4465"/>
    <s v="Art"/>
    <x v="1"/>
  </r>
  <r>
    <x v="264"/>
    <x v="105"/>
    <x v="0"/>
    <x v="10"/>
    <x v="1"/>
    <n v="12"/>
    <s v="Chennai"/>
    <s v="2025-02-02"/>
    <x v="12"/>
    <x v="58"/>
    <x v="7"/>
    <x v="43"/>
    <x v="27"/>
    <x v="34"/>
    <n v="318"/>
    <n v="63.6"/>
    <x v="0"/>
    <x v="1"/>
    <n v="3686"/>
    <s v="Music"/>
    <x v="0"/>
  </r>
  <r>
    <x v="265"/>
    <x v="42"/>
    <x v="1"/>
    <x v="11"/>
    <x v="2"/>
    <n v="17"/>
    <s v="Madurai"/>
    <s v="2023-07-30"/>
    <x v="5"/>
    <x v="37"/>
    <x v="38"/>
    <x v="48"/>
    <x v="33"/>
    <x v="10"/>
    <n v="296"/>
    <n v="59.2"/>
    <x v="3"/>
    <x v="0"/>
    <n v="2572"/>
    <s v="Music"/>
    <x v="0"/>
  </r>
  <r>
    <x v="266"/>
    <x v="28"/>
    <x v="1"/>
    <x v="7"/>
    <x v="1"/>
    <n v="9"/>
    <s v="Mumbai"/>
    <s v="2022-04-29"/>
    <x v="7"/>
    <x v="4"/>
    <x v="34"/>
    <x v="30"/>
    <x v="33"/>
    <x v="40"/>
    <n v="313"/>
    <n v="62.6"/>
    <x v="0"/>
    <x v="1"/>
    <n v="2764"/>
    <s v="Coding Club"/>
    <x v="0"/>
  </r>
  <r>
    <x v="267"/>
    <x v="118"/>
    <x v="1"/>
    <x v="6"/>
    <x v="2"/>
    <n v="12"/>
    <s v="Chennai"/>
    <s v="2021-01-24"/>
    <x v="27"/>
    <x v="31"/>
    <x v="44"/>
    <x v="45"/>
    <x v="63"/>
    <x v="12"/>
    <n v="358"/>
    <n v="71.599999999999994"/>
    <x v="1"/>
    <x v="1"/>
    <n v="3947"/>
    <s v="Music"/>
    <x v="0"/>
  </r>
  <r>
    <x v="268"/>
    <x v="16"/>
    <x v="0"/>
    <x v="8"/>
    <x v="0"/>
    <n v="9"/>
    <s v="Madurai"/>
    <s v="2022-09-23"/>
    <x v="9"/>
    <x v="21"/>
    <x v="21"/>
    <x v="29"/>
    <x v="31"/>
    <x v="41"/>
    <n v="363"/>
    <n v="72.599999999999994"/>
    <x v="1"/>
    <x v="1"/>
    <n v="2390"/>
    <s v="Coding Club"/>
    <x v="0"/>
  </r>
  <r>
    <x v="269"/>
    <x v="64"/>
    <x v="0"/>
    <x v="6"/>
    <x v="0"/>
    <n v="12"/>
    <s v="Bangalore"/>
    <s v="2023-05-25"/>
    <x v="24"/>
    <x v="1"/>
    <x v="45"/>
    <x v="28"/>
    <x v="4"/>
    <x v="35"/>
    <n v="285"/>
    <n v="57"/>
    <x v="3"/>
    <x v="0"/>
    <n v="1769"/>
    <s v="Dance"/>
    <x v="0"/>
  </r>
  <r>
    <x v="270"/>
    <x v="64"/>
    <x v="0"/>
    <x v="9"/>
    <x v="0"/>
    <n v="15"/>
    <s v="Madurai"/>
    <s v="2022-06-02"/>
    <x v="8"/>
    <x v="57"/>
    <x v="17"/>
    <x v="58"/>
    <x v="14"/>
    <x v="55"/>
    <n v="290"/>
    <n v="58"/>
    <x v="3"/>
    <x v="1"/>
    <n v="3288"/>
    <s v="Sports"/>
    <x v="0"/>
  </r>
  <r>
    <x v="271"/>
    <x v="29"/>
    <x v="1"/>
    <x v="2"/>
    <x v="3"/>
    <n v="8"/>
    <s v="Coimbatore"/>
    <s v="2023-01-18"/>
    <x v="1"/>
    <x v="42"/>
    <x v="33"/>
    <x v="29"/>
    <x v="61"/>
    <x v="28"/>
    <n v="392"/>
    <n v="78.400000000000006"/>
    <x v="1"/>
    <x v="0"/>
    <n v="4650"/>
    <s v="Music"/>
    <x v="0"/>
  </r>
  <r>
    <x v="272"/>
    <x v="106"/>
    <x v="0"/>
    <x v="5"/>
    <x v="3"/>
    <n v="8"/>
    <s v="Pune"/>
    <s v="2025-11-21"/>
    <x v="14"/>
    <x v="16"/>
    <x v="19"/>
    <x v="20"/>
    <x v="4"/>
    <x v="19"/>
    <n v="277"/>
    <n v="55.4"/>
    <x v="3"/>
    <x v="1"/>
    <n v="4568"/>
    <s v="Drama"/>
    <x v="0"/>
  </r>
  <r>
    <x v="273"/>
    <x v="81"/>
    <x v="0"/>
    <x v="5"/>
    <x v="2"/>
    <n v="8"/>
    <s v="Bangalore"/>
    <s v="2023-08-08"/>
    <x v="14"/>
    <x v="36"/>
    <x v="17"/>
    <x v="15"/>
    <x v="64"/>
    <x v="60"/>
    <n v="283"/>
    <n v="56.6"/>
    <x v="3"/>
    <x v="0"/>
    <n v="2734"/>
    <s v="Dance"/>
    <x v="0"/>
  </r>
  <r>
    <x v="274"/>
    <x v="116"/>
    <x v="0"/>
    <x v="1"/>
    <x v="3"/>
    <n v="12"/>
    <s v="Pune"/>
    <s v="2021-01-24"/>
    <x v="35"/>
    <x v="30"/>
    <x v="30"/>
    <x v="52"/>
    <x v="51"/>
    <x v="48"/>
    <n v="317"/>
    <n v="63.4"/>
    <x v="0"/>
    <x v="1"/>
    <n v="2498"/>
    <s v="Music"/>
    <x v="0"/>
  </r>
  <r>
    <x v="275"/>
    <x v="93"/>
    <x v="0"/>
    <x v="2"/>
    <x v="3"/>
    <n v="10"/>
    <s v="Coimbatore"/>
    <s v="2025-08-14"/>
    <x v="5"/>
    <x v="65"/>
    <x v="65"/>
    <x v="35"/>
    <x v="30"/>
    <x v="49"/>
    <n v="254"/>
    <n v="50.8"/>
    <x v="3"/>
    <x v="0"/>
    <n v="2254"/>
    <s v="Coding Club"/>
    <x v="1"/>
  </r>
  <r>
    <x v="276"/>
    <x v="108"/>
    <x v="1"/>
    <x v="3"/>
    <x v="2"/>
    <n v="6"/>
    <s v="Bangalore"/>
    <s v="2024-12-04"/>
    <x v="25"/>
    <x v="58"/>
    <x v="33"/>
    <x v="2"/>
    <x v="40"/>
    <x v="11"/>
    <n v="194"/>
    <n v="38.799999999999997"/>
    <x v="4"/>
    <x v="0"/>
    <n v="3937"/>
    <s v="Coding Club"/>
    <x v="1"/>
  </r>
  <r>
    <x v="277"/>
    <x v="10"/>
    <x v="1"/>
    <x v="5"/>
    <x v="1"/>
    <n v="8"/>
    <s v="Chennai"/>
    <s v="2022-06-08"/>
    <x v="21"/>
    <x v="64"/>
    <x v="17"/>
    <x v="10"/>
    <x v="57"/>
    <x v="64"/>
    <n v="410"/>
    <n v="82"/>
    <x v="2"/>
    <x v="0"/>
    <n v="4412"/>
    <s v="Drama"/>
    <x v="0"/>
  </r>
  <r>
    <x v="278"/>
    <x v="113"/>
    <x v="0"/>
    <x v="3"/>
    <x v="0"/>
    <n v="6"/>
    <s v="Coimbatore"/>
    <s v="2024-08-17"/>
    <x v="24"/>
    <x v="9"/>
    <x v="45"/>
    <x v="11"/>
    <x v="0"/>
    <x v="13"/>
    <n v="339"/>
    <n v="67.8"/>
    <x v="0"/>
    <x v="1"/>
    <n v="2165"/>
    <s v="Coding Club"/>
    <x v="0"/>
  </r>
  <r>
    <x v="279"/>
    <x v="17"/>
    <x v="1"/>
    <x v="6"/>
    <x v="3"/>
    <n v="11"/>
    <s v="Bangalore"/>
    <s v="2022-07-25"/>
    <x v="5"/>
    <x v="62"/>
    <x v="56"/>
    <x v="49"/>
    <x v="45"/>
    <x v="47"/>
    <n v="353"/>
    <n v="70.599999999999994"/>
    <x v="1"/>
    <x v="0"/>
    <n v="4619"/>
    <s v="Drama"/>
    <x v="0"/>
  </r>
  <r>
    <x v="280"/>
    <x v="32"/>
    <x v="0"/>
    <x v="7"/>
    <x v="2"/>
    <n v="11"/>
    <s v="Mumbai"/>
    <s v="2024-10-19"/>
    <x v="26"/>
    <x v="50"/>
    <x v="27"/>
    <x v="3"/>
    <x v="49"/>
    <x v="12"/>
    <n v="386"/>
    <n v="77.2"/>
    <x v="1"/>
    <x v="0"/>
    <n v="3201"/>
    <s v="Sports"/>
    <x v="0"/>
  </r>
  <r>
    <x v="281"/>
    <x v="40"/>
    <x v="0"/>
    <x v="9"/>
    <x v="2"/>
    <n v="15"/>
    <s v="Chennai"/>
    <s v="2021-11-19"/>
    <x v="38"/>
    <x v="38"/>
    <x v="64"/>
    <x v="39"/>
    <x v="8"/>
    <x v="32"/>
    <n v="379"/>
    <n v="75.8"/>
    <x v="1"/>
    <x v="0"/>
    <n v="3925"/>
    <s v="Music"/>
    <x v="0"/>
  </r>
  <r>
    <x v="282"/>
    <x v="8"/>
    <x v="0"/>
    <x v="3"/>
    <x v="0"/>
    <n v="6"/>
    <s v="Chennai"/>
    <s v="2021-01-26"/>
    <x v="33"/>
    <x v="8"/>
    <x v="3"/>
    <x v="29"/>
    <x v="26"/>
    <x v="34"/>
    <n v="419"/>
    <n v="83.8"/>
    <x v="2"/>
    <x v="0"/>
    <n v="4925"/>
    <s v="Music"/>
    <x v="0"/>
  </r>
  <r>
    <x v="283"/>
    <x v="119"/>
    <x v="0"/>
    <x v="5"/>
    <x v="3"/>
    <n v="7"/>
    <s v="Chennai"/>
    <s v="2024-01-19"/>
    <x v="18"/>
    <x v="4"/>
    <x v="55"/>
    <x v="13"/>
    <x v="63"/>
    <x v="62"/>
    <n v="356"/>
    <n v="71.2"/>
    <x v="1"/>
    <x v="0"/>
    <n v="4157"/>
    <s v="Sports"/>
    <x v="0"/>
  </r>
  <r>
    <x v="284"/>
    <x v="22"/>
    <x v="1"/>
    <x v="10"/>
    <x v="3"/>
    <n v="12"/>
    <s v="Madurai"/>
    <s v="2021-09-30"/>
    <x v="10"/>
    <x v="18"/>
    <x v="65"/>
    <x v="64"/>
    <x v="54"/>
    <x v="49"/>
    <n v="326"/>
    <n v="65.2"/>
    <x v="0"/>
    <x v="0"/>
    <n v="2357"/>
    <s v="Coding Club"/>
    <x v="0"/>
  </r>
  <r>
    <x v="285"/>
    <x v="54"/>
    <x v="0"/>
    <x v="0"/>
    <x v="2"/>
    <n v="16"/>
    <s v="Pune"/>
    <s v="2022-09-10"/>
    <x v="24"/>
    <x v="20"/>
    <x v="54"/>
    <x v="52"/>
    <x v="4"/>
    <x v="37"/>
    <n v="356"/>
    <n v="71.2"/>
    <x v="1"/>
    <x v="1"/>
    <n v="4630"/>
    <s v="Coding Club"/>
    <x v="0"/>
  </r>
  <r>
    <x v="286"/>
    <x v="120"/>
    <x v="1"/>
    <x v="2"/>
    <x v="3"/>
    <n v="8"/>
    <s v="Bangalore"/>
    <s v="2021-01-15"/>
    <x v="16"/>
    <x v="1"/>
    <x v="30"/>
    <x v="33"/>
    <x v="62"/>
    <x v="25"/>
    <n v="323"/>
    <n v="64.599999999999994"/>
    <x v="0"/>
    <x v="0"/>
    <n v="4486"/>
    <s v="Music"/>
    <x v="0"/>
  </r>
  <r>
    <x v="287"/>
    <x v="2"/>
    <x v="1"/>
    <x v="10"/>
    <x v="2"/>
    <n v="13"/>
    <s v="Mumbai"/>
    <s v="2022-05-23"/>
    <x v="18"/>
    <x v="37"/>
    <x v="28"/>
    <x v="9"/>
    <x v="45"/>
    <x v="48"/>
    <n v="249"/>
    <n v="49.8"/>
    <x v="4"/>
    <x v="1"/>
    <n v="2130"/>
    <s v="Sports"/>
    <x v="1"/>
  </r>
  <r>
    <x v="288"/>
    <x v="41"/>
    <x v="1"/>
    <x v="10"/>
    <x v="3"/>
    <n v="12"/>
    <s v="Hyderabad"/>
    <s v="2023-09-19"/>
    <x v="17"/>
    <x v="14"/>
    <x v="36"/>
    <x v="52"/>
    <x v="58"/>
    <x v="43"/>
    <n v="384"/>
    <n v="76.8"/>
    <x v="1"/>
    <x v="0"/>
    <n v="2941"/>
    <s v="Art"/>
    <x v="0"/>
  </r>
  <r>
    <x v="289"/>
    <x v="66"/>
    <x v="1"/>
    <x v="11"/>
    <x v="0"/>
    <n v="16"/>
    <s v="Hyderabad"/>
    <s v="2024-07-24"/>
    <x v="6"/>
    <x v="48"/>
    <x v="59"/>
    <x v="53"/>
    <x v="39"/>
    <x v="65"/>
    <n v="356"/>
    <n v="71.2"/>
    <x v="1"/>
    <x v="1"/>
    <n v="3833"/>
    <s v="Art"/>
    <x v="0"/>
  </r>
  <r>
    <x v="290"/>
    <x v="97"/>
    <x v="0"/>
    <x v="0"/>
    <x v="1"/>
    <n v="15"/>
    <s v="Pune"/>
    <s v="2025-11-05"/>
    <x v="9"/>
    <x v="31"/>
    <x v="39"/>
    <x v="40"/>
    <x v="14"/>
    <x v="30"/>
    <n v="270"/>
    <n v="54"/>
    <x v="3"/>
    <x v="1"/>
    <n v="2795"/>
    <s v="Dance"/>
    <x v="1"/>
  </r>
  <r>
    <x v="291"/>
    <x v="50"/>
    <x v="0"/>
    <x v="5"/>
    <x v="0"/>
    <n v="8"/>
    <s v="Bangalore"/>
    <s v="2022-12-08"/>
    <x v="27"/>
    <x v="52"/>
    <x v="2"/>
    <x v="15"/>
    <x v="44"/>
    <x v="24"/>
    <n v="316"/>
    <n v="63.2"/>
    <x v="0"/>
    <x v="0"/>
    <n v="4040"/>
    <s v="Sports"/>
    <x v="0"/>
  </r>
  <r>
    <x v="292"/>
    <x v="0"/>
    <x v="0"/>
    <x v="6"/>
    <x v="3"/>
    <n v="10"/>
    <s v="Coimbatore"/>
    <s v="2022-06-19"/>
    <x v="19"/>
    <x v="15"/>
    <x v="13"/>
    <x v="55"/>
    <x v="15"/>
    <x v="21"/>
    <n v="386"/>
    <n v="77.2"/>
    <x v="1"/>
    <x v="1"/>
    <n v="2895"/>
    <s v="Drama"/>
    <x v="0"/>
  </r>
  <r>
    <x v="293"/>
    <x v="14"/>
    <x v="0"/>
    <x v="6"/>
    <x v="1"/>
    <n v="11"/>
    <s v="Pune"/>
    <s v="2022-09-01"/>
    <x v="9"/>
    <x v="12"/>
    <x v="53"/>
    <x v="4"/>
    <x v="31"/>
    <x v="31"/>
    <n v="413"/>
    <n v="82.6"/>
    <x v="2"/>
    <x v="0"/>
    <n v="2303"/>
    <s v="Music"/>
    <x v="0"/>
  </r>
  <r>
    <x v="294"/>
    <x v="73"/>
    <x v="1"/>
    <x v="10"/>
    <x v="2"/>
    <n v="12"/>
    <s v="Hyderabad"/>
    <s v="2021-04-25"/>
    <x v="35"/>
    <x v="44"/>
    <x v="6"/>
    <x v="6"/>
    <x v="58"/>
    <x v="20"/>
    <n v="328"/>
    <n v="65.599999999999994"/>
    <x v="0"/>
    <x v="1"/>
    <n v="2055"/>
    <s v="Sports"/>
    <x v="0"/>
  </r>
  <r>
    <x v="295"/>
    <x v="54"/>
    <x v="1"/>
    <x v="5"/>
    <x v="3"/>
    <n v="8"/>
    <s v="Coimbatore"/>
    <s v="2021-04-18"/>
    <x v="2"/>
    <x v="7"/>
    <x v="33"/>
    <x v="1"/>
    <x v="60"/>
    <x v="59"/>
    <n v="298"/>
    <n v="59.6"/>
    <x v="3"/>
    <x v="0"/>
    <n v="4606"/>
    <s v="Drama"/>
    <x v="0"/>
  </r>
  <r>
    <x v="296"/>
    <x v="121"/>
    <x v="1"/>
    <x v="5"/>
    <x v="1"/>
    <n v="8"/>
    <s v="Mumbai"/>
    <s v="2023-01-11"/>
    <x v="0"/>
    <x v="35"/>
    <x v="59"/>
    <x v="5"/>
    <x v="46"/>
    <x v="36"/>
    <n v="285"/>
    <n v="57"/>
    <x v="3"/>
    <x v="0"/>
    <n v="2431"/>
    <s v="Drama"/>
    <x v="0"/>
  </r>
  <r>
    <x v="297"/>
    <x v="33"/>
    <x v="1"/>
    <x v="5"/>
    <x v="3"/>
    <n v="6"/>
    <s v="Pune"/>
    <s v="2024-02-21"/>
    <x v="32"/>
    <x v="25"/>
    <x v="15"/>
    <x v="42"/>
    <x v="51"/>
    <x v="36"/>
    <n v="251"/>
    <n v="50.2"/>
    <x v="3"/>
    <x v="0"/>
    <n v="4228"/>
    <s v="Music"/>
    <x v="1"/>
  </r>
  <r>
    <x v="298"/>
    <x v="69"/>
    <x v="0"/>
    <x v="9"/>
    <x v="2"/>
    <n v="13"/>
    <s v="Coimbatore"/>
    <s v="2022-07-29"/>
    <x v="24"/>
    <x v="32"/>
    <x v="48"/>
    <x v="61"/>
    <x v="62"/>
    <x v="1"/>
    <n v="284"/>
    <n v="56.8"/>
    <x v="3"/>
    <x v="0"/>
    <n v="4658"/>
    <s v="Music"/>
    <x v="0"/>
  </r>
  <r>
    <x v="299"/>
    <x v="65"/>
    <x v="1"/>
    <x v="7"/>
    <x v="3"/>
    <n v="10"/>
    <s v="Mumbai"/>
    <s v="2021-03-18"/>
    <x v="35"/>
    <x v="55"/>
    <x v="51"/>
    <x v="43"/>
    <x v="44"/>
    <x v="8"/>
    <n v="348"/>
    <n v="69.599999999999994"/>
    <x v="0"/>
    <x v="0"/>
    <n v="2568"/>
    <s v="Music"/>
    <x v="0"/>
  </r>
  <r>
    <x v="300"/>
    <x v="61"/>
    <x v="0"/>
    <x v="11"/>
    <x v="1"/>
    <n v="15"/>
    <s v="Chennai"/>
    <s v="2025-01-18"/>
    <x v="13"/>
    <x v="6"/>
    <x v="2"/>
    <x v="54"/>
    <x v="3"/>
    <x v="57"/>
    <n v="398"/>
    <n v="79.599999999999994"/>
    <x v="1"/>
    <x v="1"/>
    <n v="4943"/>
    <s v="Coding Club"/>
    <x v="0"/>
  </r>
  <r>
    <x v="301"/>
    <x v="26"/>
    <x v="1"/>
    <x v="11"/>
    <x v="1"/>
    <n v="16"/>
    <s v="Madurai"/>
    <s v="2025-02-11"/>
    <x v="4"/>
    <x v="50"/>
    <x v="4"/>
    <x v="45"/>
    <x v="43"/>
    <x v="25"/>
    <n v="367"/>
    <n v="73.400000000000006"/>
    <x v="1"/>
    <x v="0"/>
    <n v="4329"/>
    <s v="Drama"/>
    <x v="0"/>
  </r>
  <r>
    <x v="302"/>
    <x v="122"/>
    <x v="1"/>
    <x v="3"/>
    <x v="3"/>
    <n v="7"/>
    <s v="Mumbai"/>
    <s v="2021-06-02"/>
    <x v="29"/>
    <x v="58"/>
    <x v="45"/>
    <x v="19"/>
    <x v="14"/>
    <x v="45"/>
    <n v="291"/>
    <n v="58.2"/>
    <x v="3"/>
    <x v="0"/>
    <n v="1742"/>
    <s v="Coding Club"/>
    <x v="0"/>
  </r>
  <r>
    <x v="303"/>
    <x v="38"/>
    <x v="1"/>
    <x v="0"/>
    <x v="0"/>
    <n v="15"/>
    <s v="Hyderabad"/>
    <s v="2023-02-22"/>
    <x v="17"/>
    <x v="28"/>
    <x v="47"/>
    <x v="19"/>
    <x v="38"/>
    <x v="36"/>
    <n v="287"/>
    <n v="57.4"/>
    <x v="3"/>
    <x v="0"/>
    <n v="2134"/>
    <s v="Coding Club"/>
    <x v="0"/>
  </r>
  <r>
    <x v="304"/>
    <x v="105"/>
    <x v="0"/>
    <x v="0"/>
    <x v="1"/>
    <n v="16"/>
    <s v="Bangalore"/>
    <s v="2021-06-01"/>
    <x v="16"/>
    <x v="16"/>
    <x v="54"/>
    <x v="34"/>
    <x v="8"/>
    <x v="65"/>
    <n v="273"/>
    <n v="54.6"/>
    <x v="3"/>
    <x v="0"/>
    <n v="4528"/>
    <s v="Sports"/>
    <x v="1"/>
  </r>
  <r>
    <x v="305"/>
    <x v="73"/>
    <x v="0"/>
    <x v="7"/>
    <x v="3"/>
    <n v="10"/>
    <s v="Chennai"/>
    <s v="2025-01-19"/>
    <x v="35"/>
    <x v="12"/>
    <x v="41"/>
    <x v="28"/>
    <x v="65"/>
    <x v="40"/>
    <n v="394"/>
    <n v="78.8"/>
    <x v="1"/>
    <x v="1"/>
    <n v="1800"/>
    <s v="Coding Club"/>
    <x v="0"/>
  </r>
  <r>
    <x v="306"/>
    <x v="78"/>
    <x v="1"/>
    <x v="4"/>
    <x v="3"/>
    <n v="16"/>
    <s v="Pune"/>
    <s v="2023-04-24"/>
    <x v="39"/>
    <x v="31"/>
    <x v="4"/>
    <x v="47"/>
    <x v="5"/>
    <x v="47"/>
    <n v="368"/>
    <n v="73.599999999999994"/>
    <x v="1"/>
    <x v="0"/>
    <n v="4626"/>
    <s v="Sports"/>
    <x v="0"/>
  </r>
  <r>
    <x v="307"/>
    <x v="62"/>
    <x v="1"/>
    <x v="1"/>
    <x v="3"/>
    <n v="13"/>
    <s v="Hyderabad"/>
    <s v="2024-02-19"/>
    <x v="14"/>
    <x v="7"/>
    <x v="14"/>
    <x v="37"/>
    <x v="48"/>
    <x v="1"/>
    <n v="295"/>
    <n v="59"/>
    <x v="3"/>
    <x v="1"/>
    <n v="1717"/>
    <s v="Music"/>
    <x v="0"/>
  </r>
  <r>
    <x v="308"/>
    <x v="81"/>
    <x v="1"/>
    <x v="7"/>
    <x v="0"/>
    <n v="11"/>
    <s v="Madurai"/>
    <s v="2023-05-01"/>
    <x v="36"/>
    <x v="6"/>
    <x v="26"/>
    <x v="17"/>
    <x v="61"/>
    <x v="16"/>
    <n v="465"/>
    <n v="93"/>
    <x v="5"/>
    <x v="1"/>
    <n v="1655"/>
    <s v="Drama"/>
    <x v="0"/>
  </r>
  <r>
    <x v="309"/>
    <x v="76"/>
    <x v="1"/>
    <x v="7"/>
    <x v="0"/>
    <n v="9"/>
    <s v="Chennai"/>
    <s v="2021-05-08"/>
    <x v="10"/>
    <x v="48"/>
    <x v="12"/>
    <x v="57"/>
    <x v="42"/>
    <x v="46"/>
    <n v="338"/>
    <n v="67.599999999999994"/>
    <x v="0"/>
    <x v="0"/>
    <n v="4494"/>
    <s v="Music"/>
    <x v="0"/>
  </r>
  <r>
    <x v="310"/>
    <x v="53"/>
    <x v="1"/>
    <x v="5"/>
    <x v="2"/>
    <n v="8"/>
    <s v="Chennai"/>
    <s v="2022-12-12"/>
    <x v="10"/>
    <x v="27"/>
    <x v="61"/>
    <x v="39"/>
    <x v="58"/>
    <x v="10"/>
    <n v="311"/>
    <n v="62.2"/>
    <x v="0"/>
    <x v="0"/>
    <n v="2278"/>
    <s v="Coding Club"/>
    <x v="0"/>
  </r>
  <r>
    <x v="311"/>
    <x v="9"/>
    <x v="0"/>
    <x v="1"/>
    <x v="1"/>
    <n v="14"/>
    <s v="Chennai"/>
    <s v="2021-12-17"/>
    <x v="36"/>
    <x v="25"/>
    <x v="2"/>
    <x v="5"/>
    <x v="2"/>
    <x v="8"/>
    <n v="337"/>
    <n v="67.400000000000006"/>
    <x v="0"/>
    <x v="1"/>
    <n v="2389"/>
    <s v="Music"/>
    <x v="0"/>
  </r>
  <r>
    <x v="312"/>
    <x v="123"/>
    <x v="1"/>
    <x v="11"/>
    <x v="2"/>
    <n v="17"/>
    <s v="Mumbai"/>
    <s v="2024-01-10"/>
    <x v="7"/>
    <x v="0"/>
    <x v="17"/>
    <x v="16"/>
    <x v="22"/>
    <x v="30"/>
    <n v="333"/>
    <n v="66.599999999999994"/>
    <x v="0"/>
    <x v="0"/>
    <n v="3467"/>
    <s v="Dance"/>
    <x v="0"/>
  </r>
  <r>
    <x v="313"/>
    <x v="30"/>
    <x v="0"/>
    <x v="1"/>
    <x v="2"/>
    <n v="12"/>
    <s v="Mumbai"/>
    <s v="2022-02-01"/>
    <x v="18"/>
    <x v="46"/>
    <x v="15"/>
    <x v="52"/>
    <x v="30"/>
    <x v="62"/>
    <n v="323"/>
    <n v="64.599999999999994"/>
    <x v="0"/>
    <x v="0"/>
    <n v="2048"/>
    <s v="Sports"/>
    <x v="0"/>
  </r>
  <r>
    <x v="314"/>
    <x v="109"/>
    <x v="1"/>
    <x v="4"/>
    <x v="1"/>
    <n v="18"/>
    <s v="Hyderabad"/>
    <s v="2024-06-20"/>
    <x v="19"/>
    <x v="30"/>
    <x v="41"/>
    <x v="5"/>
    <x v="4"/>
    <x v="0"/>
    <n v="342"/>
    <n v="68.400000000000006"/>
    <x v="0"/>
    <x v="0"/>
    <n v="4896"/>
    <s v="Drama"/>
    <x v="0"/>
  </r>
  <r>
    <x v="315"/>
    <x v="81"/>
    <x v="0"/>
    <x v="9"/>
    <x v="2"/>
    <n v="15"/>
    <s v="Madurai"/>
    <s v="2021-12-08"/>
    <x v="9"/>
    <x v="50"/>
    <x v="14"/>
    <x v="25"/>
    <x v="23"/>
    <x v="47"/>
    <n v="398"/>
    <n v="79.599999999999994"/>
    <x v="1"/>
    <x v="0"/>
    <n v="3659"/>
    <s v="Drama"/>
    <x v="0"/>
  </r>
  <r>
    <x v="316"/>
    <x v="31"/>
    <x v="0"/>
    <x v="3"/>
    <x v="3"/>
    <n v="6"/>
    <s v="Mumbai"/>
    <s v="2021-10-10"/>
    <x v="33"/>
    <x v="27"/>
    <x v="48"/>
    <x v="24"/>
    <x v="5"/>
    <x v="12"/>
    <n v="291"/>
    <n v="58.2"/>
    <x v="3"/>
    <x v="1"/>
    <n v="2720"/>
    <s v="Drama"/>
    <x v="0"/>
  </r>
  <r>
    <x v="317"/>
    <x v="124"/>
    <x v="0"/>
    <x v="10"/>
    <x v="2"/>
    <n v="11"/>
    <s v="Madurai"/>
    <s v="2024-08-13"/>
    <x v="2"/>
    <x v="22"/>
    <x v="62"/>
    <x v="22"/>
    <x v="65"/>
    <x v="57"/>
    <n v="372"/>
    <n v="74.400000000000006"/>
    <x v="1"/>
    <x v="0"/>
    <n v="3551"/>
    <s v="Coding Club"/>
    <x v="0"/>
  </r>
  <r>
    <x v="318"/>
    <x v="37"/>
    <x v="0"/>
    <x v="2"/>
    <x v="3"/>
    <n v="10"/>
    <s v="Chennai"/>
    <s v="2023-06-28"/>
    <x v="33"/>
    <x v="53"/>
    <x v="26"/>
    <x v="41"/>
    <x v="62"/>
    <x v="43"/>
    <n v="340"/>
    <n v="68"/>
    <x v="0"/>
    <x v="1"/>
    <n v="4547"/>
    <s v="Sports"/>
    <x v="0"/>
  </r>
  <r>
    <x v="319"/>
    <x v="116"/>
    <x v="0"/>
    <x v="4"/>
    <x v="3"/>
    <n v="17"/>
    <s v="Pune"/>
    <s v="2022-03-27"/>
    <x v="31"/>
    <x v="6"/>
    <x v="15"/>
    <x v="7"/>
    <x v="46"/>
    <x v="9"/>
    <n v="338"/>
    <n v="67.599999999999994"/>
    <x v="0"/>
    <x v="0"/>
    <n v="1822"/>
    <s v="Music"/>
    <x v="0"/>
  </r>
  <r>
    <x v="320"/>
    <x v="74"/>
    <x v="0"/>
    <x v="4"/>
    <x v="0"/>
    <n v="17"/>
    <s v="Chennai"/>
    <s v="2024-08-20"/>
    <x v="16"/>
    <x v="35"/>
    <x v="20"/>
    <x v="10"/>
    <x v="64"/>
    <x v="30"/>
    <n v="325"/>
    <n v="65"/>
    <x v="0"/>
    <x v="1"/>
    <n v="1938"/>
    <s v="Coding Club"/>
    <x v="0"/>
  </r>
  <r>
    <x v="321"/>
    <x v="54"/>
    <x v="0"/>
    <x v="5"/>
    <x v="0"/>
    <n v="7"/>
    <s v="Bangalore"/>
    <s v="2021-02-26"/>
    <x v="3"/>
    <x v="52"/>
    <x v="12"/>
    <x v="9"/>
    <x v="3"/>
    <x v="22"/>
    <n v="291"/>
    <n v="58.2"/>
    <x v="3"/>
    <x v="0"/>
    <n v="2117"/>
    <s v="Coding Club"/>
    <x v="0"/>
  </r>
  <r>
    <x v="322"/>
    <x v="121"/>
    <x v="1"/>
    <x v="5"/>
    <x v="0"/>
    <n v="7"/>
    <s v="Hyderabad"/>
    <s v="2021-08-31"/>
    <x v="39"/>
    <x v="10"/>
    <x v="30"/>
    <x v="37"/>
    <x v="40"/>
    <x v="2"/>
    <n v="321"/>
    <n v="64.2"/>
    <x v="0"/>
    <x v="0"/>
    <n v="3451"/>
    <s v="Drama"/>
    <x v="0"/>
  </r>
  <r>
    <x v="323"/>
    <x v="91"/>
    <x v="1"/>
    <x v="2"/>
    <x v="3"/>
    <n v="8"/>
    <s v="Mumbai"/>
    <s v="2023-12-02"/>
    <x v="4"/>
    <x v="25"/>
    <x v="30"/>
    <x v="7"/>
    <x v="6"/>
    <x v="22"/>
    <n v="353"/>
    <n v="70.599999999999994"/>
    <x v="1"/>
    <x v="1"/>
    <n v="1738"/>
    <s v="Drama"/>
    <x v="0"/>
  </r>
  <r>
    <x v="324"/>
    <x v="5"/>
    <x v="1"/>
    <x v="0"/>
    <x v="1"/>
    <n v="14"/>
    <s v="Bangalore"/>
    <s v="2024-04-24"/>
    <x v="18"/>
    <x v="25"/>
    <x v="5"/>
    <x v="32"/>
    <x v="35"/>
    <x v="65"/>
    <n v="351"/>
    <n v="70.2"/>
    <x v="1"/>
    <x v="0"/>
    <n v="3785"/>
    <s v="Music"/>
    <x v="0"/>
  </r>
  <r>
    <x v="325"/>
    <x v="77"/>
    <x v="0"/>
    <x v="3"/>
    <x v="2"/>
    <n v="6"/>
    <s v="Pune"/>
    <s v="2021-09-06"/>
    <x v="32"/>
    <x v="15"/>
    <x v="18"/>
    <x v="23"/>
    <x v="34"/>
    <x v="22"/>
    <n v="309"/>
    <n v="61.8"/>
    <x v="0"/>
    <x v="0"/>
    <n v="2066"/>
    <s v="Music"/>
    <x v="0"/>
  </r>
  <r>
    <x v="326"/>
    <x v="5"/>
    <x v="1"/>
    <x v="7"/>
    <x v="3"/>
    <n v="11"/>
    <s v="Hyderabad"/>
    <s v="2025-08-18"/>
    <x v="17"/>
    <x v="49"/>
    <x v="28"/>
    <x v="20"/>
    <x v="25"/>
    <x v="50"/>
    <n v="339"/>
    <n v="67.8"/>
    <x v="0"/>
    <x v="0"/>
    <n v="1857"/>
    <s v="Coding Club"/>
    <x v="0"/>
  </r>
  <r>
    <x v="327"/>
    <x v="125"/>
    <x v="1"/>
    <x v="8"/>
    <x v="2"/>
    <n v="8"/>
    <s v="Mumbai"/>
    <s v="2023-10-22"/>
    <x v="23"/>
    <x v="49"/>
    <x v="26"/>
    <x v="64"/>
    <x v="31"/>
    <x v="65"/>
    <n v="383"/>
    <n v="76.599999999999994"/>
    <x v="1"/>
    <x v="0"/>
    <n v="3686"/>
    <s v="Sports"/>
    <x v="0"/>
  </r>
  <r>
    <x v="328"/>
    <x v="24"/>
    <x v="1"/>
    <x v="6"/>
    <x v="1"/>
    <n v="10"/>
    <s v="Bangalore"/>
    <s v="2023-08-22"/>
    <x v="39"/>
    <x v="37"/>
    <x v="51"/>
    <x v="62"/>
    <x v="3"/>
    <x v="19"/>
    <n v="293"/>
    <n v="58.6"/>
    <x v="3"/>
    <x v="0"/>
    <n v="1893"/>
    <s v="Art"/>
    <x v="0"/>
  </r>
  <r>
    <x v="329"/>
    <x v="70"/>
    <x v="1"/>
    <x v="4"/>
    <x v="2"/>
    <n v="17"/>
    <s v="Bangalore"/>
    <s v="2024-01-18"/>
    <x v="29"/>
    <x v="25"/>
    <x v="64"/>
    <x v="55"/>
    <x v="24"/>
    <x v="11"/>
    <n v="361"/>
    <n v="72.2"/>
    <x v="1"/>
    <x v="1"/>
    <n v="4342"/>
    <s v="Sports"/>
    <x v="0"/>
  </r>
  <r>
    <x v="330"/>
    <x v="78"/>
    <x v="0"/>
    <x v="0"/>
    <x v="2"/>
    <n v="14"/>
    <s v="Coimbatore"/>
    <s v="2025-03-01"/>
    <x v="21"/>
    <x v="18"/>
    <x v="36"/>
    <x v="21"/>
    <x v="63"/>
    <x v="1"/>
    <n v="315"/>
    <n v="63"/>
    <x v="0"/>
    <x v="1"/>
    <n v="4678"/>
    <s v="Music"/>
    <x v="0"/>
  </r>
  <r>
    <x v="331"/>
    <x v="125"/>
    <x v="0"/>
    <x v="4"/>
    <x v="1"/>
    <n v="18"/>
    <s v="Coimbatore"/>
    <s v="2021-03-04"/>
    <x v="11"/>
    <x v="37"/>
    <x v="57"/>
    <x v="22"/>
    <x v="14"/>
    <x v="54"/>
    <n v="247"/>
    <n v="49.4"/>
    <x v="4"/>
    <x v="1"/>
    <n v="4582"/>
    <s v="Drama"/>
    <x v="1"/>
  </r>
  <r>
    <x v="332"/>
    <x v="126"/>
    <x v="1"/>
    <x v="3"/>
    <x v="0"/>
    <n v="6"/>
    <s v="Chennai"/>
    <s v="2025-11-05"/>
    <x v="29"/>
    <x v="28"/>
    <x v="9"/>
    <x v="10"/>
    <x v="58"/>
    <x v="18"/>
    <n v="298"/>
    <n v="59.6"/>
    <x v="3"/>
    <x v="0"/>
    <n v="1962"/>
    <s v="Music"/>
    <x v="0"/>
  </r>
  <r>
    <x v="333"/>
    <x v="9"/>
    <x v="1"/>
    <x v="4"/>
    <x v="1"/>
    <n v="17"/>
    <s v="Madurai"/>
    <s v="2021-04-04"/>
    <x v="6"/>
    <x v="25"/>
    <x v="51"/>
    <x v="6"/>
    <x v="27"/>
    <x v="29"/>
    <n v="341"/>
    <n v="68.2"/>
    <x v="0"/>
    <x v="0"/>
    <n v="2487"/>
    <s v="Dance"/>
    <x v="0"/>
  </r>
  <r>
    <x v="334"/>
    <x v="123"/>
    <x v="1"/>
    <x v="4"/>
    <x v="3"/>
    <n v="17"/>
    <s v="Hyderabad"/>
    <s v="2023-07-30"/>
    <x v="5"/>
    <x v="53"/>
    <x v="19"/>
    <x v="38"/>
    <x v="32"/>
    <x v="20"/>
    <n v="366"/>
    <n v="73.2"/>
    <x v="1"/>
    <x v="0"/>
    <n v="4673"/>
    <s v="Drama"/>
    <x v="0"/>
  </r>
  <r>
    <x v="335"/>
    <x v="73"/>
    <x v="0"/>
    <x v="11"/>
    <x v="3"/>
    <n v="15"/>
    <s v="Chennai"/>
    <s v="2025-06-03"/>
    <x v="27"/>
    <x v="59"/>
    <x v="16"/>
    <x v="65"/>
    <x v="62"/>
    <x v="52"/>
    <n v="280"/>
    <n v="56"/>
    <x v="3"/>
    <x v="1"/>
    <n v="1777"/>
    <s v="Sports"/>
    <x v="0"/>
  </r>
  <r>
    <x v="336"/>
    <x v="78"/>
    <x v="0"/>
    <x v="3"/>
    <x v="3"/>
    <n v="6"/>
    <s v="Bangalore"/>
    <s v="2025-03-09"/>
    <x v="17"/>
    <x v="56"/>
    <x v="11"/>
    <x v="36"/>
    <x v="12"/>
    <x v="31"/>
    <n v="428"/>
    <n v="85.6"/>
    <x v="2"/>
    <x v="1"/>
    <n v="3592"/>
    <s v="Art"/>
    <x v="0"/>
  </r>
  <r>
    <x v="337"/>
    <x v="113"/>
    <x v="0"/>
    <x v="10"/>
    <x v="2"/>
    <n v="12"/>
    <s v="Bangalore"/>
    <s v="2025-07-19"/>
    <x v="33"/>
    <x v="59"/>
    <x v="50"/>
    <x v="2"/>
    <x v="16"/>
    <x v="47"/>
    <n v="344"/>
    <n v="68.8"/>
    <x v="0"/>
    <x v="1"/>
    <n v="1997"/>
    <s v="Drama"/>
    <x v="0"/>
  </r>
  <r>
    <x v="338"/>
    <x v="127"/>
    <x v="1"/>
    <x v="6"/>
    <x v="1"/>
    <n v="12"/>
    <s v="Coimbatore"/>
    <s v="2022-01-20"/>
    <x v="34"/>
    <x v="37"/>
    <x v="37"/>
    <x v="35"/>
    <x v="2"/>
    <x v="22"/>
    <n v="293"/>
    <n v="58.6"/>
    <x v="3"/>
    <x v="0"/>
    <n v="4970"/>
    <s v="Music"/>
    <x v="0"/>
  </r>
  <r>
    <x v="339"/>
    <x v="117"/>
    <x v="0"/>
    <x v="4"/>
    <x v="0"/>
    <n v="18"/>
    <s v="Bangalore"/>
    <s v="2025-04-27"/>
    <x v="13"/>
    <x v="51"/>
    <x v="33"/>
    <x v="38"/>
    <x v="41"/>
    <x v="41"/>
    <n v="279"/>
    <n v="55.8"/>
    <x v="3"/>
    <x v="1"/>
    <n v="4587"/>
    <s v="Drama"/>
    <x v="0"/>
  </r>
  <r>
    <x v="340"/>
    <x v="128"/>
    <x v="0"/>
    <x v="5"/>
    <x v="0"/>
    <n v="6"/>
    <s v="Hyderabad"/>
    <s v="2025-09-13"/>
    <x v="5"/>
    <x v="24"/>
    <x v="0"/>
    <x v="20"/>
    <x v="42"/>
    <x v="57"/>
    <n v="366"/>
    <n v="73.2"/>
    <x v="1"/>
    <x v="0"/>
    <n v="4929"/>
    <s v="Music"/>
    <x v="0"/>
  </r>
  <r>
    <x v="341"/>
    <x v="128"/>
    <x v="1"/>
    <x v="1"/>
    <x v="3"/>
    <n v="12"/>
    <s v="Madurai"/>
    <s v="2024-10-11"/>
    <x v="33"/>
    <x v="40"/>
    <x v="22"/>
    <x v="10"/>
    <x v="19"/>
    <x v="13"/>
    <n v="400"/>
    <n v="80"/>
    <x v="2"/>
    <x v="1"/>
    <n v="2137"/>
    <s v="Dance"/>
    <x v="0"/>
  </r>
  <r>
    <x v="342"/>
    <x v="105"/>
    <x v="1"/>
    <x v="2"/>
    <x v="2"/>
    <n v="8"/>
    <s v="Mumbai"/>
    <s v="2021-10-30"/>
    <x v="39"/>
    <x v="50"/>
    <x v="45"/>
    <x v="26"/>
    <x v="20"/>
    <x v="54"/>
    <n v="349"/>
    <n v="69.8"/>
    <x v="0"/>
    <x v="0"/>
    <n v="4682"/>
    <s v="Sports"/>
    <x v="0"/>
  </r>
  <r>
    <x v="343"/>
    <x v="52"/>
    <x v="1"/>
    <x v="2"/>
    <x v="1"/>
    <n v="10"/>
    <s v="Madurai"/>
    <s v="2022-04-30"/>
    <x v="34"/>
    <x v="16"/>
    <x v="17"/>
    <x v="20"/>
    <x v="26"/>
    <x v="31"/>
    <n v="355"/>
    <n v="71"/>
    <x v="1"/>
    <x v="0"/>
    <n v="2866"/>
    <s v="Coding Club"/>
    <x v="0"/>
  </r>
  <r>
    <x v="344"/>
    <x v="129"/>
    <x v="0"/>
    <x v="10"/>
    <x v="1"/>
    <n v="11"/>
    <s v="Mumbai"/>
    <s v="2021-02-15"/>
    <x v="19"/>
    <x v="60"/>
    <x v="11"/>
    <x v="17"/>
    <x v="6"/>
    <x v="30"/>
    <n v="390"/>
    <n v="78"/>
    <x v="1"/>
    <x v="1"/>
    <n v="1902"/>
    <s v="Music"/>
    <x v="0"/>
  </r>
  <r>
    <x v="345"/>
    <x v="130"/>
    <x v="0"/>
    <x v="0"/>
    <x v="1"/>
    <n v="14"/>
    <s v="Chennai"/>
    <s v="2024-10-12"/>
    <x v="40"/>
    <x v="45"/>
    <x v="25"/>
    <x v="55"/>
    <x v="9"/>
    <x v="37"/>
    <n v="348"/>
    <n v="69.599999999999994"/>
    <x v="0"/>
    <x v="0"/>
    <n v="3476"/>
    <s v="Sports"/>
    <x v="0"/>
  </r>
  <r>
    <x v="346"/>
    <x v="2"/>
    <x v="1"/>
    <x v="3"/>
    <x v="3"/>
    <n v="6"/>
    <s v="Chennai"/>
    <s v="2021-09-22"/>
    <x v="7"/>
    <x v="17"/>
    <x v="54"/>
    <x v="54"/>
    <x v="33"/>
    <x v="0"/>
    <n v="327"/>
    <n v="65.400000000000006"/>
    <x v="0"/>
    <x v="1"/>
    <n v="3408"/>
    <s v="Sports"/>
    <x v="0"/>
  </r>
  <r>
    <x v="347"/>
    <x v="36"/>
    <x v="0"/>
    <x v="4"/>
    <x v="1"/>
    <n v="16"/>
    <s v="Madurai"/>
    <s v="2025-07-07"/>
    <x v="2"/>
    <x v="42"/>
    <x v="36"/>
    <x v="53"/>
    <x v="44"/>
    <x v="22"/>
    <n v="373"/>
    <n v="74.599999999999994"/>
    <x v="1"/>
    <x v="0"/>
    <n v="4776"/>
    <s v="Art"/>
    <x v="0"/>
  </r>
  <r>
    <x v="348"/>
    <x v="85"/>
    <x v="1"/>
    <x v="2"/>
    <x v="0"/>
    <n v="8"/>
    <s v="Mumbai"/>
    <s v="2021-02-10"/>
    <x v="20"/>
    <x v="50"/>
    <x v="60"/>
    <x v="6"/>
    <x v="53"/>
    <x v="34"/>
    <n v="336"/>
    <n v="67.2"/>
    <x v="0"/>
    <x v="0"/>
    <n v="4010"/>
    <s v="Sports"/>
    <x v="0"/>
  </r>
  <r>
    <x v="349"/>
    <x v="131"/>
    <x v="1"/>
    <x v="2"/>
    <x v="0"/>
    <n v="9"/>
    <s v="Mumbai"/>
    <s v="2023-01-03"/>
    <x v="37"/>
    <x v="38"/>
    <x v="57"/>
    <x v="12"/>
    <x v="61"/>
    <x v="24"/>
    <n v="360"/>
    <n v="72"/>
    <x v="1"/>
    <x v="0"/>
    <n v="2192"/>
    <s v="Music"/>
    <x v="0"/>
  </r>
  <r>
    <x v="350"/>
    <x v="75"/>
    <x v="0"/>
    <x v="7"/>
    <x v="0"/>
    <n v="11"/>
    <s v="Pune"/>
    <s v="2024-04-18"/>
    <x v="14"/>
    <x v="2"/>
    <x v="41"/>
    <x v="10"/>
    <x v="25"/>
    <x v="1"/>
    <n v="408"/>
    <n v="81.599999999999994"/>
    <x v="2"/>
    <x v="0"/>
    <n v="3471"/>
    <s v="Sports"/>
    <x v="0"/>
  </r>
  <r>
    <x v="351"/>
    <x v="35"/>
    <x v="0"/>
    <x v="3"/>
    <x v="1"/>
    <n v="6"/>
    <s v="Hyderabad"/>
    <s v="2021-04-28"/>
    <x v="24"/>
    <x v="62"/>
    <x v="44"/>
    <x v="62"/>
    <x v="43"/>
    <x v="54"/>
    <n v="377"/>
    <n v="75.400000000000006"/>
    <x v="1"/>
    <x v="1"/>
    <n v="4956"/>
    <s v="Music"/>
    <x v="0"/>
  </r>
  <r>
    <x v="352"/>
    <x v="81"/>
    <x v="1"/>
    <x v="3"/>
    <x v="1"/>
    <n v="7"/>
    <s v="Chennai"/>
    <s v="2024-04-10"/>
    <x v="4"/>
    <x v="52"/>
    <x v="38"/>
    <x v="15"/>
    <x v="30"/>
    <x v="17"/>
    <n v="241"/>
    <n v="48.2"/>
    <x v="4"/>
    <x v="0"/>
    <n v="2688"/>
    <s v="Sports"/>
    <x v="1"/>
  </r>
  <r>
    <x v="353"/>
    <x v="90"/>
    <x v="1"/>
    <x v="9"/>
    <x v="3"/>
    <n v="13"/>
    <s v="Bangalore"/>
    <s v="2025-05-17"/>
    <x v="10"/>
    <x v="43"/>
    <x v="17"/>
    <x v="65"/>
    <x v="20"/>
    <x v="33"/>
    <n v="355"/>
    <n v="71"/>
    <x v="1"/>
    <x v="1"/>
    <n v="2160"/>
    <s v="Drama"/>
    <x v="0"/>
  </r>
  <r>
    <x v="354"/>
    <x v="51"/>
    <x v="0"/>
    <x v="10"/>
    <x v="0"/>
    <n v="11"/>
    <s v="Hyderabad"/>
    <s v="2023-08-01"/>
    <x v="4"/>
    <x v="4"/>
    <x v="27"/>
    <x v="16"/>
    <x v="28"/>
    <x v="7"/>
    <n v="410"/>
    <n v="82"/>
    <x v="2"/>
    <x v="1"/>
    <n v="4077"/>
    <s v="Drama"/>
    <x v="0"/>
  </r>
  <r>
    <x v="355"/>
    <x v="116"/>
    <x v="1"/>
    <x v="10"/>
    <x v="0"/>
    <n v="12"/>
    <s v="Pune"/>
    <s v="2024-01-14"/>
    <x v="23"/>
    <x v="42"/>
    <x v="37"/>
    <x v="0"/>
    <x v="0"/>
    <x v="46"/>
    <n v="326"/>
    <n v="65.2"/>
    <x v="0"/>
    <x v="0"/>
    <n v="4542"/>
    <s v="Coding Club"/>
    <x v="0"/>
  </r>
  <r>
    <x v="356"/>
    <x v="108"/>
    <x v="1"/>
    <x v="9"/>
    <x v="0"/>
    <n v="15"/>
    <s v="Mumbai"/>
    <s v="2021-03-27"/>
    <x v="9"/>
    <x v="7"/>
    <x v="59"/>
    <x v="7"/>
    <x v="60"/>
    <x v="42"/>
    <n v="374"/>
    <n v="74.8"/>
    <x v="1"/>
    <x v="1"/>
    <n v="4796"/>
    <s v="Dance"/>
    <x v="0"/>
  </r>
  <r>
    <x v="357"/>
    <x v="128"/>
    <x v="0"/>
    <x v="4"/>
    <x v="1"/>
    <n v="17"/>
    <s v="Pune"/>
    <s v="2023-06-06"/>
    <x v="18"/>
    <x v="31"/>
    <x v="60"/>
    <x v="22"/>
    <x v="0"/>
    <x v="65"/>
    <n v="252"/>
    <n v="50.4"/>
    <x v="3"/>
    <x v="1"/>
    <n v="1706"/>
    <s v="Coding Club"/>
    <x v="1"/>
  </r>
  <r>
    <x v="358"/>
    <x v="73"/>
    <x v="1"/>
    <x v="11"/>
    <x v="3"/>
    <n v="17"/>
    <s v="Mumbai"/>
    <s v="2022-02-26"/>
    <x v="23"/>
    <x v="40"/>
    <x v="56"/>
    <x v="44"/>
    <x v="38"/>
    <x v="22"/>
    <n v="322"/>
    <n v="64.400000000000006"/>
    <x v="0"/>
    <x v="0"/>
    <n v="1718"/>
    <s v="Sports"/>
    <x v="0"/>
  </r>
  <r>
    <x v="359"/>
    <x v="12"/>
    <x v="0"/>
    <x v="7"/>
    <x v="2"/>
    <n v="9"/>
    <s v="Coimbatore"/>
    <s v="2025-07-27"/>
    <x v="5"/>
    <x v="4"/>
    <x v="21"/>
    <x v="33"/>
    <x v="8"/>
    <x v="10"/>
    <n v="451"/>
    <n v="90.2"/>
    <x v="5"/>
    <x v="1"/>
    <n v="2200"/>
    <s v="Dance"/>
    <x v="0"/>
  </r>
  <r>
    <x v="360"/>
    <x v="6"/>
    <x v="0"/>
    <x v="10"/>
    <x v="1"/>
    <n v="13"/>
    <s v="Hyderabad"/>
    <s v="2024-02-15"/>
    <x v="12"/>
    <x v="27"/>
    <x v="36"/>
    <x v="57"/>
    <x v="21"/>
    <x v="38"/>
    <n v="319"/>
    <n v="63.8"/>
    <x v="0"/>
    <x v="1"/>
    <n v="2949"/>
    <s v="Music"/>
    <x v="0"/>
  </r>
  <r>
    <x v="361"/>
    <x v="107"/>
    <x v="1"/>
    <x v="7"/>
    <x v="1"/>
    <n v="11"/>
    <s v="Pune"/>
    <s v="2025-03-28"/>
    <x v="29"/>
    <x v="42"/>
    <x v="20"/>
    <x v="23"/>
    <x v="56"/>
    <x v="47"/>
    <n v="361"/>
    <n v="72.2"/>
    <x v="1"/>
    <x v="0"/>
    <n v="2332"/>
    <s v="Drama"/>
    <x v="0"/>
  </r>
  <r>
    <x v="362"/>
    <x v="91"/>
    <x v="0"/>
    <x v="7"/>
    <x v="0"/>
    <n v="11"/>
    <s v="Bangalore"/>
    <s v="2021-03-09"/>
    <x v="20"/>
    <x v="57"/>
    <x v="45"/>
    <x v="13"/>
    <x v="41"/>
    <x v="59"/>
    <n v="333"/>
    <n v="66.599999999999994"/>
    <x v="0"/>
    <x v="1"/>
    <n v="1848"/>
    <s v="Drama"/>
    <x v="0"/>
  </r>
  <r>
    <x v="363"/>
    <x v="56"/>
    <x v="1"/>
    <x v="8"/>
    <x v="1"/>
    <n v="7"/>
    <s v="Madurai"/>
    <s v="2025-01-04"/>
    <x v="32"/>
    <x v="7"/>
    <x v="13"/>
    <x v="14"/>
    <x v="18"/>
    <x v="3"/>
    <n v="400"/>
    <n v="80"/>
    <x v="2"/>
    <x v="0"/>
    <n v="2571"/>
    <s v="Dance"/>
    <x v="0"/>
  </r>
  <r>
    <x v="364"/>
    <x v="28"/>
    <x v="0"/>
    <x v="3"/>
    <x v="0"/>
    <n v="6"/>
    <s v="Pune"/>
    <s v="2025-11-30"/>
    <x v="15"/>
    <x v="38"/>
    <x v="32"/>
    <x v="49"/>
    <x v="27"/>
    <x v="52"/>
    <n v="374"/>
    <n v="74.8"/>
    <x v="1"/>
    <x v="1"/>
    <n v="3930"/>
    <s v="Art"/>
    <x v="0"/>
  </r>
  <r>
    <x v="365"/>
    <x v="84"/>
    <x v="0"/>
    <x v="10"/>
    <x v="3"/>
    <n v="12"/>
    <s v="Pune"/>
    <s v="2024-09-15"/>
    <x v="22"/>
    <x v="56"/>
    <x v="57"/>
    <x v="37"/>
    <x v="17"/>
    <x v="64"/>
    <n v="314"/>
    <n v="62.8"/>
    <x v="0"/>
    <x v="0"/>
    <n v="4854"/>
    <s v="Music"/>
    <x v="0"/>
  </r>
  <r>
    <x v="366"/>
    <x v="108"/>
    <x v="1"/>
    <x v="7"/>
    <x v="3"/>
    <n v="11"/>
    <s v="Hyderabad"/>
    <s v="2025-07-01"/>
    <x v="1"/>
    <x v="61"/>
    <x v="45"/>
    <x v="31"/>
    <x v="20"/>
    <x v="63"/>
    <n v="310"/>
    <n v="62"/>
    <x v="0"/>
    <x v="0"/>
    <n v="3183"/>
    <s v="Art"/>
    <x v="0"/>
  </r>
  <r>
    <x v="367"/>
    <x v="132"/>
    <x v="0"/>
    <x v="11"/>
    <x v="1"/>
    <n v="15"/>
    <s v="Coimbatore"/>
    <s v="2022-09-03"/>
    <x v="4"/>
    <x v="37"/>
    <x v="24"/>
    <x v="58"/>
    <x v="1"/>
    <x v="37"/>
    <n v="309"/>
    <n v="61.8"/>
    <x v="0"/>
    <x v="1"/>
    <n v="4452"/>
    <s v="Sports"/>
    <x v="0"/>
  </r>
  <r>
    <x v="368"/>
    <x v="83"/>
    <x v="1"/>
    <x v="9"/>
    <x v="1"/>
    <n v="15"/>
    <s v="Chennai"/>
    <s v="2021-07-27"/>
    <x v="35"/>
    <x v="26"/>
    <x v="23"/>
    <x v="52"/>
    <x v="26"/>
    <x v="41"/>
    <n v="372"/>
    <n v="74.400000000000006"/>
    <x v="1"/>
    <x v="0"/>
    <n v="2756"/>
    <s v="Drama"/>
    <x v="0"/>
  </r>
  <r>
    <x v="369"/>
    <x v="133"/>
    <x v="1"/>
    <x v="3"/>
    <x v="0"/>
    <n v="6"/>
    <s v="Mumbai"/>
    <s v="2022-10-29"/>
    <x v="17"/>
    <x v="29"/>
    <x v="8"/>
    <x v="46"/>
    <x v="55"/>
    <x v="39"/>
    <n v="349"/>
    <n v="69.8"/>
    <x v="0"/>
    <x v="0"/>
    <n v="2219"/>
    <s v="Dance"/>
    <x v="0"/>
  </r>
  <r>
    <x v="370"/>
    <x v="1"/>
    <x v="1"/>
    <x v="8"/>
    <x v="0"/>
    <n v="8"/>
    <s v="Mumbai"/>
    <s v="2021-03-09"/>
    <x v="11"/>
    <x v="50"/>
    <x v="1"/>
    <x v="64"/>
    <x v="47"/>
    <x v="12"/>
    <n v="417"/>
    <n v="83.4"/>
    <x v="2"/>
    <x v="1"/>
    <n v="3266"/>
    <s v="Dance"/>
    <x v="0"/>
  </r>
  <r>
    <x v="371"/>
    <x v="98"/>
    <x v="0"/>
    <x v="3"/>
    <x v="1"/>
    <n v="6"/>
    <s v="Pune"/>
    <s v="2025-05-08"/>
    <x v="10"/>
    <x v="21"/>
    <x v="26"/>
    <x v="6"/>
    <x v="65"/>
    <x v="48"/>
    <n v="365"/>
    <n v="73"/>
    <x v="1"/>
    <x v="0"/>
    <n v="2357"/>
    <s v="Dance"/>
    <x v="0"/>
  </r>
  <r>
    <x v="372"/>
    <x v="17"/>
    <x v="1"/>
    <x v="6"/>
    <x v="2"/>
    <n v="12"/>
    <s v="Chennai"/>
    <s v="2022-03-04"/>
    <x v="29"/>
    <x v="63"/>
    <x v="10"/>
    <x v="28"/>
    <x v="6"/>
    <x v="19"/>
    <n v="302"/>
    <n v="60.4"/>
    <x v="0"/>
    <x v="0"/>
    <n v="2140"/>
    <s v="Music"/>
    <x v="0"/>
  </r>
  <r>
    <x v="373"/>
    <x v="70"/>
    <x v="1"/>
    <x v="7"/>
    <x v="3"/>
    <n v="9"/>
    <s v="Hyderabad"/>
    <s v="2024-03-26"/>
    <x v="12"/>
    <x v="8"/>
    <x v="25"/>
    <x v="65"/>
    <x v="22"/>
    <x v="4"/>
    <n v="397"/>
    <n v="79.400000000000006"/>
    <x v="1"/>
    <x v="1"/>
    <n v="3638"/>
    <s v="Dance"/>
    <x v="0"/>
  </r>
  <r>
    <x v="374"/>
    <x v="132"/>
    <x v="1"/>
    <x v="10"/>
    <x v="3"/>
    <n v="12"/>
    <s v="Bangalore"/>
    <s v="2023-05-13"/>
    <x v="10"/>
    <x v="65"/>
    <x v="30"/>
    <x v="37"/>
    <x v="42"/>
    <x v="40"/>
    <n v="261"/>
    <n v="52.2"/>
    <x v="3"/>
    <x v="0"/>
    <n v="2585"/>
    <s v="Dance"/>
    <x v="1"/>
  </r>
  <r>
    <x v="375"/>
    <x v="134"/>
    <x v="0"/>
    <x v="8"/>
    <x v="2"/>
    <n v="9"/>
    <s v="Pune"/>
    <s v="2025-08-22"/>
    <x v="20"/>
    <x v="42"/>
    <x v="5"/>
    <x v="42"/>
    <x v="63"/>
    <x v="54"/>
    <n v="336"/>
    <n v="67.2"/>
    <x v="0"/>
    <x v="1"/>
    <n v="4846"/>
    <s v="Coding Club"/>
    <x v="0"/>
  </r>
  <r>
    <x v="376"/>
    <x v="12"/>
    <x v="1"/>
    <x v="11"/>
    <x v="0"/>
    <n v="15"/>
    <s v="Madurai"/>
    <s v="2025-01-08"/>
    <x v="28"/>
    <x v="42"/>
    <x v="44"/>
    <x v="54"/>
    <x v="48"/>
    <x v="27"/>
    <n v="398"/>
    <n v="79.599999999999994"/>
    <x v="1"/>
    <x v="1"/>
    <n v="1687"/>
    <s v="Art"/>
    <x v="0"/>
  </r>
  <r>
    <x v="377"/>
    <x v="135"/>
    <x v="1"/>
    <x v="6"/>
    <x v="0"/>
    <n v="11"/>
    <s v="Pune"/>
    <s v="2023-06-16"/>
    <x v="13"/>
    <x v="54"/>
    <x v="44"/>
    <x v="50"/>
    <x v="50"/>
    <x v="40"/>
    <n v="362"/>
    <n v="72.400000000000006"/>
    <x v="1"/>
    <x v="0"/>
    <n v="2670"/>
    <s v="Dance"/>
    <x v="0"/>
  </r>
  <r>
    <x v="378"/>
    <x v="75"/>
    <x v="1"/>
    <x v="10"/>
    <x v="1"/>
    <n v="12"/>
    <s v="Chennai"/>
    <s v="2025-12-02"/>
    <x v="9"/>
    <x v="16"/>
    <x v="24"/>
    <x v="16"/>
    <x v="65"/>
    <x v="5"/>
    <n v="306"/>
    <n v="61.2"/>
    <x v="0"/>
    <x v="0"/>
    <n v="3213"/>
    <s v="Music"/>
    <x v="0"/>
  </r>
  <r>
    <x v="379"/>
    <x v="103"/>
    <x v="1"/>
    <x v="9"/>
    <x v="2"/>
    <n v="13"/>
    <s v="Coimbatore"/>
    <s v="2022-01-28"/>
    <x v="1"/>
    <x v="1"/>
    <x v="40"/>
    <x v="0"/>
    <x v="20"/>
    <x v="36"/>
    <n v="295"/>
    <n v="59"/>
    <x v="3"/>
    <x v="1"/>
    <n v="2542"/>
    <s v="Sports"/>
    <x v="0"/>
  </r>
  <r>
    <x v="380"/>
    <x v="96"/>
    <x v="1"/>
    <x v="7"/>
    <x v="1"/>
    <n v="9"/>
    <s v="Madurai"/>
    <s v="2022-04-09"/>
    <x v="4"/>
    <x v="40"/>
    <x v="33"/>
    <x v="60"/>
    <x v="12"/>
    <x v="55"/>
    <n v="348"/>
    <n v="69.599999999999994"/>
    <x v="0"/>
    <x v="0"/>
    <n v="1899"/>
    <s v="Coding Club"/>
    <x v="0"/>
  </r>
  <r>
    <x v="381"/>
    <x v="17"/>
    <x v="0"/>
    <x v="7"/>
    <x v="1"/>
    <n v="10"/>
    <s v="Hyderabad"/>
    <s v="2023-11-30"/>
    <x v="39"/>
    <x v="1"/>
    <x v="52"/>
    <x v="2"/>
    <x v="23"/>
    <x v="1"/>
    <n v="308"/>
    <n v="61.6"/>
    <x v="0"/>
    <x v="1"/>
    <n v="4914"/>
    <s v="Music"/>
    <x v="0"/>
  </r>
  <r>
    <x v="382"/>
    <x v="94"/>
    <x v="1"/>
    <x v="3"/>
    <x v="2"/>
    <n v="6"/>
    <s v="Bangalore"/>
    <s v="2021-08-16"/>
    <x v="27"/>
    <x v="46"/>
    <x v="28"/>
    <x v="32"/>
    <x v="52"/>
    <x v="18"/>
    <n v="382"/>
    <n v="76.400000000000006"/>
    <x v="1"/>
    <x v="1"/>
    <n v="4424"/>
    <s v="Dance"/>
    <x v="0"/>
  </r>
  <r>
    <x v="383"/>
    <x v="136"/>
    <x v="0"/>
    <x v="7"/>
    <x v="0"/>
    <n v="11"/>
    <s v="Bangalore"/>
    <s v="2022-09-08"/>
    <x v="27"/>
    <x v="32"/>
    <x v="28"/>
    <x v="29"/>
    <x v="27"/>
    <x v="30"/>
    <n v="371"/>
    <n v="74.2"/>
    <x v="1"/>
    <x v="0"/>
    <n v="2693"/>
    <s v="Coding Club"/>
    <x v="0"/>
  </r>
  <r>
    <x v="384"/>
    <x v="49"/>
    <x v="0"/>
    <x v="5"/>
    <x v="1"/>
    <n v="6"/>
    <s v="Chennai"/>
    <s v="2021-09-06"/>
    <x v="33"/>
    <x v="37"/>
    <x v="52"/>
    <x v="49"/>
    <x v="0"/>
    <x v="56"/>
    <n v="261"/>
    <n v="52.2"/>
    <x v="3"/>
    <x v="0"/>
    <n v="4287"/>
    <s v="Music"/>
    <x v="1"/>
  </r>
  <r>
    <x v="385"/>
    <x v="45"/>
    <x v="0"/>
    <x v="2"/>
    <x v="1"/>
    <n v="9"/>
    <s v="Chennai"/>
    <s v="2023-01-20"/>
    <x v="34"/>
    <x v="56"/>
    <x v="7"/>
    <x v="29"/>
    <x v="24"/>
    <x v="62"/>
    <n v="376"/>
    <n v="75.2"/>
    <x v="1"/>
    <x v="1"/>
    <n v="2694"/>
    <s v="Coding Club"/>
    <x v="0"/>
  </r>
  <r>
    <x v="386"/>
    <x v="102"/>
    <x v="0"/>
    <x v="4"/>
    <x v="2"/>
    <n v="18"/>
    <s v="Madurai"/>
    <s v="2025-05-12"/>
    <x v="1"/>
    <x v="21"/>
    <x v="21"/>
    <x v="58"/>
    <x v="64"/>
    <x v="25"/>
    <n v="324"/>
    <n v="64.8"/>
    <x v="0"/>
    <x v="1"/>
    <n v="2433"/>
    <s v="Sports"/>
    <x v="0"/>
  </r>
  <r>
    <x v="387"/>
    <x v="14"/>
    <x v="1"/>
    <x v="8"/>
    <x v="0"/>
    <n v="8"/>
    <s v="Bangalore"/>
    <s v="2025-01-21"/>
    <x v="19"/>
    <x v="60"/>
    <x v="47"/>
    <x v="50"/>
    <x v="10"/>
    <x v="14"/>
    <n v="288"/>
    <n v="57.6"/>
    <x v="3"/>
    <x v="0"/>
    <n v="3831"/>
    <s v="Dance"/>
    <x v="0"/>
  </r>
  <r>
    <x v="388"/>
    <x v="135"/>
    <x v="1"/>
    <x v="8"/>
    <x v="1"/>
    <n v="8"/>
    <s v="Bangalore"/>
    <s v="2022-09-27"/>
    <x v="5"/>
    <x v="58"/>
    <x v="4"/>
    <x v="20"/>
    <x v="52"/>
    <x v="29"/>
    <n v="317"/>
    <n v="63.4"/>
    <x v="0"/>
    <x v="1"/>
    <n v="3730"/>
    <s v="Coding Club"/>
    <x v="0"/>
  </r>
  <r>
    <x v="389"/>
    <x v="127"/>
    <x v="1"/>
    <x v="11"/>
    <x v="2"/>
    <n v="16"/>
    <s v="Coimbatore"/>
    <s v="2022-05-07"/>
    <x v="8"/>
    <x v="54"/>
    <x v="20"/>
    <x v="4"/>
    <x v="53"/>
    <x v="5"/>
    <n v="333"/>
    <n v="66.599999999999994"/>
    <x v="0"/>
    <x v="0"/>
    <n v="4871"/>
    <s v="Art"/>
    <x v="0"/>
  </r>
  <r>
    <x v="390"/>
    <x v="137"/>
    <x v="1"/>
    <x v="5"/>
    <x v="0"/>
    <n v="7"/>
    <s v="Hyderabad"/>
    <s v="2022-10-09"/>
    <x v="1"/>
    <x v="4"/>
    <x v="26"/>
    <x v="10"/>
    <x v="22"/>
    <x v="25"/>
    <n v="428"/>
    <n v="85.6"/>
    <x v="2"/>
    <x v="0"/>
    <n v="2676"/>
    <s v="Drama"/>
    <x v="0"/>
  </r>
  <r>
    <x v="391"/>
    <x v="66"/>
    <x v="0"/>
    <x v="4"/>
    <x v="3"/>
    <n v="17"/>
    <s v="Madurai"/>
    <s v="2024-10-20"/>
    <x v="8"/>
    <x v="34"/>
    <x v="63"/>
    <x v="24"/>
    <x v="22"/>
    <x v="47"/>
    <n v="433"/>
    <n v="86.6"/>
    <x v="2"/>
    <x v="0"/>
    <n v="3373"/>
    <s v="Music"/>
    <x v="0"/>
  </r>
  <r>
    <x v="392"/>
    <x v="44"/>
    <x v="0"/>
    <x v="7"/>
    <x v="1"/>
    <n v="9"/>
    <s v="Hyderabad"/>
    <s v="2021-09-07"/>
    <x v="20"/>
    <x v="49"/>
    <x v="10"/>
    <x v="51"/>
    <x v="24"/>
    <x v="46"/>
    <n v="312"/>
    <n v="62.4"/>
    <x v="0"/>
    <x v="1"/>
    <n v="3453"/>
    <s v="Music"/>
    <x v="0"/>
  </r>
  <r>
    <x v="393"/>
    <x v="81"/>
    <x v="0"/>
    <x v="2"/>
    <x v="3"/>
    <n v="10"/>
    <s v="Hyderabad"/>
    <s v="2023-04-05"/>
    <x v="38"/>
    <x v="46"/>
    <x v="29"/>
    <x v="26"/>
    <x v="31"/>
    <x v="20"/>
    <n v="413"/>
    <n v="82.6"/>
    <x v="2"/>
    <x v="0"/>
    <n v="2458"/>
    <s v="Art"/>
    <x v="0"/>
  </r>
  <r>
    <x v="394"/>
    <x v="5"/>
    <x v="0"/>
    <x v="3"/>
    <x v="0"/>
    <n v="7"/>
    <s v="Madurai"/>
    <s v="2025-01-26"/>
    <x v="13"/>
    <x v="63"/>
    <x v="30"/>
    <x v="41"/>
    <x v="60"/>
    <x v="22"/>
    <n v="346"/>
    <n v="69.2"/>
    <x v="0"/>
    <x v="1"/>
    <n v="3854"/>
    <s v="Sports"/>
    <x v="0"/>
  </r>
  <r>
    <x v="395"/>
    <x v="10"/>
    <x v="1"/>
    <x v="9"/>
    <x v="2"/>
    <n v="13"/>
    <s v="Hyderabad"/>
    <s v="2024-07-09"/>
    <x v="1"/>
    <x v="11"/>
    <x v="35"/>
    <x v="55"/>
    <x v="56"/>
    <x v="47"/>
    <n v="366"/>
    <n v="73.2"/>
    <x v="1"/>
    <x v="0"/>
    <n v="3208"/>
    <s v="Drama"/>
    <x v="0"/>
  </r>
  <r>
    <x v="396"/>
    <x v="97"/>
    <x v="1"/>
    <x v="11"/>
    <x v="3"/>
    <n v="16"/>
    <s v="Madurai"/>
    <s v="2022-11-24"/>
    <x v="23"/>
    <x v="29"/>
    <x v="20"/>
    <x v="38"/>
    <x v="7"/>
    <x v="55"/>
    <n v="372"/>
    <n v="74.400000000000006"/>
    <x v="1"/>
    <x v="0"/>
    <n v="3786"/>
    <s v="Dance"/>
    <x v="0"/>
  </r>
  <r>
    <x v="397"/>
    <x v="69"/>
    <x v="0"/>
    <x v="4"/>
    <x v="0"/>
    <n v="16"/>
    <s v="Madurai"/>
    <s v="2023-06-03"/>
    <x v="3"/>
    <x v="45"/>
    <x v="10"/>
    <x v="24"/>
    <x v="25"/>
    <x v="2"/>
    <n v="305"/>
    <n v="61"/>
    <x v="0"/>
    <x v="0"/>
    <n v="3612"/>
    <s v="Coding Club"/>
    <x v="0"/>
  </r>
  <r>
    <x v="398"/>
    <x v="13"/>
    <x v="1"/>
    <x v="11"/>
    <x v="2"/>
    <n v="16"/>
    <s v="Hyderabad"/>
    <s v="2025-08-29"/>
    <x v="14"/>
    <x v="18"/>
    <x v="8"/>
    <x v="46"/>
    <x v="1"/>
    <x v="0"/>
    <n v="393"/>
    <n v="78.599999999999994"/>
    <x v="1"/>
    <x v="0"/>
    <n v="3273"/>
    <s v="Coding Club"/>
    <x v="0"/>
  </r>
  <r>
    <x v="399"/>
    <x v="21"/>
    <x v="1"/>
    <x v="0"/>
    <x v="1"/>
    <n v="14"/>
    <s v="Bangalore"/>
    <s v="2023-12-24"/>
    <x v="6"/>
    <x v="23"/>
    <x v="10"/>
    <x v="13"/>
    <x v="65"/>
    <x v="6"/>
    <n v="348"/>
    <n v="69.599999999999994"/>
    <x v="0"/>
    <x v="0"/>
    <n v="2120"/>
    <s v="Art"/>
    <x v="0"/>
  </r>
  <r>
    <x v="400"/>
    <x v="44"/>
    <x v="0"/>
    <x v="7"/>
    <x v="1"/>
    <n v="11"/>
    <s v="Madurai"/>
    <s v="2022-02-21"/>
    <x v="21"/>
    <x v="12"/>
    <x v="41"/>
    <x v="37"/>
    <x v="0"/>
    <x v="49"/>
    <n v="330"/>
    <n v="66"/>
    <x v="0"/>
    <x v="0"/>
    <n v="1542"/>
    <s v="Dance"/>
    <x v="0"/>
  </r>
  <r>
    <x v="401"/>
    <x v="109"/>
    <x v="0"/>
    <x v="11"/>
    <x v="1"/>
    <n v="16"/>
    <s v="Pune"/>
    <s v="2022-06-14"/>
    <x v="4"/>
    <x v="25"/>
    <x v="50"/>
    <x v="2"/>
    <x v="38"/>
    <x v="0"/>
    <n v="324"/>
    <n v="64.8"/>
    <x v="0"/>
    <x v="0"/>
    <n v="3500"/>
    <s v="Music"/>
    <x v="0"/>
  </r>
  <r>
    <x v="402"/>
    <x v="122"/>
    <x v="1"/>
    <x v="1"/>
    <x v="1"/>
    <n v="13"/>
    <s v="Madurai"/>
    <s v="2021-08-29"/>
    <x v="9"/>
    <x v="45"/>
    <x v="15"/>
    <x v="6"/>
    <x v="60"/>
    <x v="24"/>
    <n v="312"/>
    <n v="62.4"/>
    <x v="0"/>
    <x v="1"/>
    <n v="4043"/>
    <s v="Art"/>
    <x v="0"/>
  </r>
  <r>
    <x v="403"/>
    <x v="61"/>
    <x v="1"/>
    <x v="10"/>
    <x v="1"/>
    <n v="12"/>
    <s v="Hyderabad"/>
    <s v="2021-08-10"/>
    <x v="10"/>
    <x v="5"/>
    <x v="4"/>
    <x v="30"/>
    <x v="2"/>
    <x v="35"/>
    <n v="363"/>
    <n v="72.599999999999994"/>
    <x v="1"/>
    <x v="0"/>
    <n v="4615"/>
    <s v="Art"/>
    <x v="0"/>
  </r>
  <r>
    <x v="404"/>
    <x v="5"/>
    <x v="0"/>
    <x v="8"/>
    <x v="2"/>
    <n v="9"/>
    <s v="Pune"/>
    <s v="2024-01-04"/>
    <x v="14"/>
    <x v="29"/>
    <x v="33"/>
    <x v="8"/>
    <x v="7"/>
    <x v="15"/>
    <n v="327"/>
    <n v="65.400000000000006"/>
    <x v="0"/>
    <x v="1"/>
    <n v="2243"/>
    <s v="Drama"/>
    <x v="0"/>
  </r>
  <r>
    <x v="405"/>
    <x v="88"/>
    <x v="1"/>
    <x v="11"/>
    <x v="2"/>
    <n v="17"/>
    <s v="Mumbai"/>
    <s v="2024-05-28"/>
    <x v="39"/>
    <x v="33"/>
    <x v="8"/>
    <x v="39"/>
    <x v="1"/>
    <x v="49"/>
    <n v="329"/>
    <n v="65.8"/>
    <x v="0"/>
    <x v="1"/>
    <n v="2913"/>
    <s v="Sports"/>
    <x v="0"/>
  </r>
  <r>
    <x v="406"/>
    <x v="4"/>
    <x v="1"/>
    <x v="5"/>
    <x v="0"/>
    <n v="8"/>
    <s v="Madurai"/>
    <s v="2022-12-27"/>
    <x v="7"/>
    <x v="14"/>
    <x v="23"/>
    <x v="51"/>
    <x v="59"/>
    <x v="65"/>
    <n v="387"/>
    <n v="77.400000000000006"/>
    <x v="1"/>
    <x v="1"/>
    <n v="2042"/>
    <s v="Dance"/>
    <x v="0"/>
  </r>
  <r>
    <x v="407"/>
    <x v="53"/>
    <x v="0"/>
    <x v="1"/>
    <x v="2"/>
    <n v="12"/>
    <s v="Coimbatore"/>
    <s v="2023-09-17"/>
    <x v="9"/>
    <x v="23"/>
    <x v="27"/>
    <x v="24"/>
    <x v="57"/>
    <x v="40"/>
    <n v="361"/>
    <n v="72.2"/>
    <x v="1"/>
    <x v="0"/>
    <n v="4709"/>
    <s v="Sports"/>
    <x v="0"/>
  </r>
  <r>
    <x v="408"/>
    <x v="35"/>
    <x v="0"/>
    <x v="4"/>
    <x v="3"/>
    <n v="18"/>
    <s v="Pune"/>
    <s v="2021-05-09"/>
    <x v="35"/>
    <x v="13"/>
    <x v="60"/>
    <x v="15"/>
    <x v="22"/>
    <x v="41"/>
    <n v="306"/>
    <n v="61.2"/>
    <x v="0"/>
    <x v="0"/>
    <n v="4852"/>
    <s v="Coding Club"/>
    <x v="0"/>
  </r>
  <r>
    <x v="409"/>
    <x v="99"/>
    <x v="0"/>
    <x v="3"/>
    <x v="2"/>
    <n v="6"/>
    <s v="Bangalore"/>
    <s v="2021-08-04"/>
    <x v="1"/>
    <x v="26"/>
    <x v="26"/>
    <x v="65"/>
    <x v="52"/>
    <x v="57"/>
    <n v="332"/>
    <n v="66.400000000000006"/>
    <x v="0"/>
    <x v="1"/>
    <n v="1792"/>
    <s v="Sports"/>
    <x v="0"/>
  </r>
  <r>
    <x v="410"/>
    <x v="121"/>
    <x v="1"/>
    <x v="0"/>
    <x v="2"/>
    <n v="16"/>
    <s v="Mumbai"/>
    <s v="2024-12-16"/>
    <x v="12"/>
    <x v="18"/>
    <x v="16"/>
    <x v="56"/>
    <x v="12"/>
    <x v="25"/>
    <n v="294"/>
    <n v="58.8"/>
    <x v="3"/>
    <x v="1"/>
    <n v="3251"/>
    <s v="Drama"/>
    <x v="0"/>
  </r>
  <r>
    <x v="411"/>
    <x v="79"/>
    <x v="0"/>
    <x v="7"/>
    <x v="0"/>
    <n v="9"/>
    <s v="Madurai"/>
    <s v="2025-11-27"/>
    <x v="11"/>
    <x v="50"/>
    <x v="53"/>
    <x v="53"/>
    <x v="15"/>
    <x v="51"/>
    <n v="363"/>
    <n v="72.599999999999994"/>
    <x v="1"/>
    <x v="1"/>
    <n v="1677"/>
    <s v="Coding Club"/>
    <x v="0"/>
  </r>
  <r>
    <x v="412"/>
    <x v="24"/>
    <x v="1"/>
    <x v="4"/>
    <x v="3"/>
    <n v="18"/>
    <s v="Coimbatore"/>
    <s v="2024-08-17"/>
    <x v="0"/>
    <x v="5"/>
    <x v="4"/>
    <x v="42"/>
    <x v="61"/>
    <x v="50"/>
    <n v="377"/>
    <n v="75.400000000000006"/>
    <x v="1"/>
    <x v="1"/>
    <n v="4491"/>
    <s v="Art"/>
    <x v="0"/>
  </r>
  <r>
    <x v="413"/>
    <x v="104"/>
    <x v="0"/>
    <x v="8"/>
    <x v="1"/>
    <n v="8"/>
    <s v="Chennai"/>
    <s v="2023-03-29"/>
    <x v="27"/>
    <x v="31"/>
    <x v="11"/>
    <x v="14"/>
    <x v="49"/>
    <x v="18"/>
    <n v="350"/>
    <n v="70"/>
    <x v="1"/>
    <x v="1"/>
    <n v="1804"/>
    <s v="Dance"/>
    <x v="0"/>
  </r>
  <r>
    <x v="414"/>
    <x v="22"/>
    <x v="0"/>
    <x v="6"/>
    <x v="3"/>
    <n v="11"/>
    <s v="Hyderabad"/>
    <s v="2025-10-14"/>
    <x v="26"/>
    <x v="48"/>
    <x v="57"/>
    <x v="38"/>
    <x v="16"/>
    <x v="47"/>
    <n v="378"/>
    <n v="75.599999999999994"/>
    <x v="1"/>
    <x v="1"/>
    <n v="4376"/>
    <s v="Art"/>
    <x v="0"/>
  </r>
  <r>
    <x v="415"/>
    <x v="135"/>
    <x v="1"/>
    <x v="0"/>
    <x v="0"/>
    <n v="14"/>
    <s v="Chennai"/>
    <s v="2023-03-15"/>
    <x v="22"/>
    <x v="4"/>
    <x v="35"/>
    <x v="62"/>
    <x v="46"/>
    <x v="34"/>
    <n v="351"/>
    <n v="70.2"/>
    <x v="1"/>
    <x v="0"/>
    <n v="4259"/>
    <s v="Dance"/>
    <x v="0"/>
  </r>
  <r>
    <x v="416"/>
    <x v="41"/>
    <x v="1"/>
    <x v="3"/>
    <x v="1"/>
    <n v="7"/>
    <s v="Chennai"/>
    <s v="2023-10-08"/>
    <x v="5"/>
    <x v="12"/>
    <x v="50"/>
    <x v="35"/>
    <x v="31"/>
    <x v="52"/>
    <n v="326"/>
    <n v="65.2"/>
    <x v="0"/>
    <x v="1"/>
    <n v="3275"/>
    <s v="Art"/>
    <x v="0"/>
  </r>
  <r>
    <x v="417"/>
    <x v="48"/>
    <x v="0"/>
    <x v="8"/>
    <x v="1"/>
    <n v="9"/>
    <s v="Madurai"/>
    <s v="2025-04-21"/>
    <x v="9"/>
    <x v="62"/>
    <x v="12"/>
    <x v="12"/>
    <x v="47"/>
    <x v="50"/>
    <n v="365"/>
    <n v="73"/>
    <x v="1"/>
    <x v="1"/>
    <n v="4469"/>
    <s v="Drama"/>
    <x v="0"/>
  </r>
  <r>
    <x v="418"/>
    <x v="138"/>
    <x v="0"/>
    <x v="5"/>
    <x v="3"/>
    <n v="7"/>
    <s v="Coimbatore"/>
    <s v="2023-03-01"/>
    <x v="13"/>
    <x v="26"/>
    <x v="6"/>
    <x v="46"/>
    <x v="32"/>
    <x v="14"/>
    <n v="310"/>
    <n v="62"/>
    <x v="0"/>
    <x v="1"/>
    <n v="2769"/>
    <s v="Art"/>
    <x v="0"/>
  </r>
  <r>
    <x v="419"/>
    <x v="23"/>
    <x v="0"/>
    <x v="10"/>
    <x v="0"/>
    <n v="12"/>
    <s v="Chennai"/>
    <s v="2022-12-15"/>
    <x v="2"/>
    <x v="47"/>
    <x v="16"/>
    <x v="56"/>
    <x v="64"/>
    <x v="61"/>
    <n v="359"/>
    <n v="71.8"/>
    <x v="1"/>
    <x v="1"/>
    <n v="3780"/>
    <s v="Sports"/>
    <x v="0"/>
  </r>
  <r>
    <x v="420"/>
    <x v="139"/>
    <x v="0"/>
    <x v="11"/>
    <x v="3"/>
    <n v="16"/>
    <s v="Pune"/>
    <s v="2024-02-25"/>
    <x v="5"/>
    <x v="23"/>
    <x v="12"/>
    <x v="11"/>
    <x v="36"/>
    <x v="32"/>
    <n v="361"/>
    <n v="72.2"/>
    <x v="1"/>
    <x v="0"/>
    <n v="4885"/>
    <s v="Dance"/>
    <x v="0"/>
  </r>
  <r>
    <x v="421"/>
    <x v="120"/>
    <x v="0"/>
    <x v="7"/>
    <x v="1"/>
    <n v="11"/>
    <s v="Mumbai"/>
    <s v="2024-05-23"/>
    <x v="38"/>
    <x v="20"/>
    <x v="1"/>
    <x v="23"/>
    <x v="35"/>
    <x v="10"/>
    <n v="345"/>
    <n v="69"/>
    <x v="0"/>
    <x v="0"/>
    <n v="2517"/>
    <s v="Art"/>
    <x v="0"/>
  </r>
  <r>
    <x v="422"/>
    <x v="113"/>
    <x v="1"/>
    <x v="9"/>
    <x v="0"/>
    <n v="14"/>
    <s v="Madurai"/>
    <s v="2021-06-04"/>
    <x v="13"/>
    <x v="40"/>
    <x v="48"/>
    <x v="62"/>
    <x v="31"/>
    <x v="16"/>
    <n v="360"/>
    <n v="72"/>
    <x v="1"/>
    <x v="1"/>
    <n v="4685"/>
    <s v="Dance"/>
    <x v="0"/>
  </r>
  <r>
    <x v="423"/>
    <x v="108"/>
    <x v="0"/>
    <x v="3"/>
    <x v="2"/>
    <n v="6"/>
    <s v="Chennai"/>
    <s v="2021-05-06"/>
    <x v="18"/>
    <x v="15"/>
    <x v="22"/>
    <x v="60"/>
    <x v="26"/>
    <x v="64"/>
    <n v="364"/>
    <n v="72.8"/>
    <x v="1"/>
    <x v="0"/>
    <n v="3585"/>
    <s v="Coding Club"/>
    <x v="0"/>
  </r>
  <r>
    <x v="424"/>
    <x v="68"/>
    <x v="0"/>
    <x v="6"/>
    <x v="2"/>
    <n v="10"/>
    <s v="Mumbai"/>
    <s v="2024-06-01"/>
    <x v="27"/>
    <x v="58"/>
    <x v="53"/>
    <x v="49"/>
    <x v="13"/>
    <x v="46"/>
    <n v="261"/>
    <n v="52.2"/>
    <x v="3"/>
    <x v="0"/>
    <n v="4853"/>
    <s v="Music"/>
    <x v="1"/>
  </r>
  <r>
    <x v="425"/>
    <x v="27"/>
    <x v="0"/>
    <x v="5"/>
    <x v="3"/>
    <n v="7"/>
    <s v="Hyderabad"/>
    <s v="2022-12-18"/>
    <x v="6"/>
    <x v="6"/>
    <x v="6"/>
    <x v="24"/>
    <x v="11"/>
    <x v="15"/>
    <n v="365"/>
    <n v="73"/>
    <x v="1"/>
    <x v="0"/>
    <n v="1853"/>
    <s v="Coding Club"/>
    <x v="0"/>
  </r>
  <r>
    <x v="426"/>
    <x v="124"/>
    <x v="1"/>
    <x v="1"/>
    <x v="0"/>
    <n v="12"/>
    <s v="Coimbatore"/>
    <s v="2023-05-22"/>
    <x v="35"/>
    <x v="12"/>
    <x v="8"/>
    <x v="14"/>
    <x v="51"/>
    <x v="5"/>
    <n v="377"/>
    <n v="75.400000000000006"/>
    <x v="1"/>
    <x v="0"/>
    <n v="4510"/>
    <s v="Coding Club"/>
    <x v="0"/>
  </r>
  <r>
    <x v="427"/>
    <x v="106"/>
    <x v="0"/>
    <x v="4"/>
    <x v="2"/>
    <n v="18"/>
    <s v="Bangalore"/>
    <s v="2023-03-10"/>
    <x v="40"/>
    <x v="6"/>
    <x v="51"/>
    <x v="38"/>
    <x v="14"/>
    <x v="21"/>
    <n v="313"/>
    <n v="62.6"/>
    <x v="0"/>
    <x v="1"/>
    <n v="3355"/>
    <s v="Coding Club"/>
    <x v="0"/>
  </r>
  <r>
    <x v="428"/>
    <x v="55"/>
    <x v="0"/>
    <x v="8"/>
    <x v="3"/>
    <n v="7"/>
    <s v="Coimbatore"/>
    <s v="2021-10-06"/>
    <x v="4"/>
    <x v="44"/>
    <x v="59"/>
    <x v="39"/>
    <x v="27"/>
    <x v="39"/>
    <n v="323"/>
    <n v="64.599999999999994"/>
    <x v="0"/>
    <x v="0"/>
    <n v="2863"/>
    <s v="Dance"/>
    <x v="0"/>
  </r>
  <r>
    <x v="429"/>
    <x v="57"/>
    <x v="1"/>
    <x v="8"/>
    <x v="2"/>
    <n v="9"/>
    <s v="Coimbatore"/>
    <s v="2021-12-25"/>
    <x v="5"/>
    <x v="37"/>
    <x v="15"/>
    <x v="22"/>
    <x v="47"/>
    <x v="32"/>
    <n v="310"/>
    <n v="62"/>
    <x v="0"/>
    <x v="0"/>
    <n v="4386"/>
    <s v="Coding Club"/>
    <x v="0"/>
  </r>
  <r>
    <x v="430"/>
    <x v="30"/>
    <x v="1"/>
    <x v="4"/>
    <x v="2"/>
    <n v="18"/>
    <s v="Pune"/>
    <s v="2023-07-17"/>
    <x v="25"/>
    <x v="0"/>
    <x v="41"/>
    <x v="49"/>
    <x v="62"/>
    <x v="11"/>
    <n v="296"/>
    <n v="59.2"/>
    <x v="3"/>
    <x v="1"/>
    <n v="2600"/>
    <s v="Coding Club"/>
    <x v="0"/>
  </r>
  <r>
    <x v="431"/>
    <x v="86"/>
    <x v="1"/>
    <x v="11"/>
    <x v="3"/>
    <n v="17"/>
    <s v="Mumbai"/>
    <s v="2022-01-13"/>
    <x v="27"/>
    <x v="41"/>
    <x v="11"/>
    <x v="4"/>
    <x v="11"/>
    <x v="31"/>
    <n v="410"/>
    <n v="82"/>
    <x v="2"/>
    <x v="0"/>
    <n v="2028"/>
    <s v="Drama"/>
    <x v="0"/>
  </r>
  <r>
    <x v="432"/>
    <x v="61"/>
    <x v="1"/>
    <x v="10"/>
    <x v="3"/>
    <n v="12"/>
    <s v="Coimbatore"/>
    <s v="2023-07-06"/>
    <x v="18"/>
    <x v="56"/>
    <x v="36"/>
    <x v="14"/>
    <x v="46"/>
    <x v="43"/>
    <n v="380"/>
    <n v="76"/>
    <x v="1"/>
    <x v="1"/>
    <n v="2242"/>
    <s v="Coding Club"/>
    <x v="0"/>
  </r>
  <r>
    <x v="433"/>
    <x v="100"/>
    <x v="0"/>
    <x v="0"/>
    <x v="3"/>
    <n v="14"/>
    <s v="Bangalore"/>
    <s v="2023-09-21"/>
    <x v="32"/>
    <x v="2"/>
    <x v="42"/>
    <x v="57"/>
    <x v="24"/>
    <x v="41"/>
    <n v="401"/>
    <n v="80.2"/>
    <x v="2"/>
    <x v="1"/>
    <n v="3052"/>
    <s v="Music"/>
    <x v="0"/>
  </r>
  <r>
    <x v="434"/>
    <x v="13"/>
    <x v="1"/>
    <x v="4"/>
    <x v="1"/>
    <n v="16"/>
    <s v="Mumbai"/>
    <s v="2024-11-23"/>
    <x v="40"/>
    <x v="47"/>
    <x v="54"/>
    <x v="21"/>
    <x v="48"/>
    <x v="56"/>
    <n v="264"/>
    <n v="52.8"/>
    <x v="3"/>
    <x v="1"/>
    <n v="2610"/>
    <s v="Coding Club"/>
    <x v="1"/>
  </r>
  <r>
    <x v="435"/>
    <x v="101"/>
    <x v="1"/>
    <x v="6"/>
    <x v="0"/>
    <n v="10"/>
    <s v="Madurai"/>
    <s v="2024-08-16"/>
    <x v="12"/>
    <x v="30"/>
    <x v="41"/>
    <x v="7"/>
    <x v="40"/>
    <x v="55"/>
    <n v="350"/>
    <n v="70"/>
    <x v="1"/>
    <x v="0"/>
    <n v="3734"/>
    <s v="Art"/>
    <x v="0"/>
  </r>
  <r>
    <x v="436"/>
    <x v="27"/>
    <x v="0"/>
    <x v="2"/>
    <x v="3"/>
    <n v="8"/>
    <s v="Coimbatore"/>
    <s v="2025-11-10"/>
    <x v="13"/>
    <x v="23"/>
    <x v="63"/>
    <x v="20"/>
    <x v="11"/>
    <x v="46"/>
    <n v="364"/>
    <n v="72.8"/>
    <x v="1"/>
    <x v="1"/>
    <n v="3836"/>
    <s v="Coding Club"/>
    <x v="0"/>
  </r>
  <r>
    <x v="437"/>
    <x v="68"/>
    <x v="1"/>
    <x v="0"/>
    <x v="3"/>
    <n v="14"/>
    <s v="Chennai"/>
    <s v="2022-05-25"/>
    <x v="6"/>
    <x v="54"/>
    <x v="51"/>
    <x v="2"/>
    <x v="2"/>
    <x v="26"/>
    <n v="286"/>
    <n v="57.2"/>
    <x v="3"/>
    <x v="1"/>
    <n v="3738"/>
    <s v="Dance"/>
    <x v="0"/>
  </r>
  <r>
    <x v="438"/>
    <x v="135"/>
    <x v="0"/>
    <x v="4"/>
    <x v="2"/>
    <n v="17"/>
    <s v="Chennai"/>
    <s v="2025-04-25"/>
    <x v="23"/>
    <x v="49"/>
    <x v="1"/>
    <x v="46"/>
    <x v="32"/>
    <x v="10"/>
    <n v="389"/>
    <n v="77.8"/>
    <x v="1"/>
    <x v="0"/>
    <n v="2920"/>
    <s v="Drama"/>
    <x v="0"/>
  </r>
  <r>
    <x v="439"/>
    <x v="71"/>
    <x v="0"/>
    <x v="2"/>
    <x v="1"/>
    <n v="8"/>
    <s v="Pune"/>
    <s v="2024-06-30"/>
    <x v="3"/>
    <x v="35"/>
    <x v="36"/>
    <x v="23"/>
    <x v="45"/>
    <x v="7"/>
    <n v="325"/>
    <n v="65"/>
    <x v="0"/>
    <x v="0"/>
    <n v="4516"/>
    <s v="Drama"/>
    <x v="0"/>
  </r>
  <r>
    <x v="440"/>
    <x v="65"/>
    <x v="0"/>
    <x v="0"/>
    <x v="2"/>
    <n v="15"/>
    <s v="Coimbatore"/>
    <s v="2023-10-02"/>
    <x v="6"/>
    <x v="30"/>
    <x v="39"/>
    <x v="38"/>
    <x v="32"/>
    <x v="62"/>
    <n v="339"/>
    <n v="67.8"/>
    <x v="0"/>
    <x v="1"/>
    <n v="2349"/>
    <s v="Dance"/>
    <x v="0"/>
  </r>
  <r>
    <x v="441"/>
    <x v="128"/>
    <x v="0"/>
    <x v="2"/>
    <x v="0"/>
    <n v="8"/>
    <s v="Coimbatore"/>
    <s v="2025-04-11"/>
    <x v="2"/>
    <x v="59"/>
    <x v="14"/>
    <x v="61"/>
    <x v="41"/>
    <x v="23"/>
    <n v="317"/>
    <n v="63.4"/>
    <x v="0"/>
    <x v="0"/>
    <n v="4719"/>
    <s v="Coding Club"/>
    <x v="0"/>
  </r>
  <r>
    <x v="442"/>
    <x v="88"/>
    <x v="0"/>
    <x v="4"/>
    <x v="0"/>
    <n v="18"/>
    <s v="Chennai"/>
    <s v="2025-10-11"/>
    <x v="27"/>
    <x v="38"/>
    <x v="0"/>
    <x v="35"/>
    <x v="20"/>
    <x v="5"/>
    <n v="363"/>
    <n v="72.599999999999994"/>
    <x v="1"/>
    <x v="1"/>
    <n v="3106"/>
    <s v="Art"/>
    <x v="0"/>
  </r>
  <r>
    <x v="443"/>
    <x v="63"/>
    <x v="1"/>
    <x v="7"/>
    <x v="0"/>
    <n v="9"/>
    <s v="Chennai"/>
    <s v="2024-12-10"/>
    <x v="25"/>
    <x v="56"/>
    <x v="5"/>
    <x v="44"/>
    <x v="24"/>
    <x v="25"/>
    <n v="382"/>
    <n v="76.400000000000006"/>
    <x v="1"/>
    <x v="1"/>
    <n v="2127"/>
    <s v="Drama"/>
    <x v="0"/>
  </r>
  <r>
    <x v="444"/>
    <x v="72"/>
    <x v="0"/>
    <x v="6"/>
    <x v="2"/>
    <n v="12"/>
    <s v="Hyderabad"/>
    <s v="2023-08-16"/>
    <x v="11"/>
    <x v="21"/>
    <x v="46"/>
    <x v="27"/>
    <x v="25"/>
    <x v="2"/>
    <n v="353"/>
    <n v="70.599999999999994"/>
    <x v="1"/>
    <x v="1"/>
    <n v="2909"/>
    <s v="Sports"/>
    <x v="0"/>
  </r>
  <r>
    <x v="445"/>
    <x v="98"/>
    <x v="1"/>
    <x v="1"/>
    <x v="2"/>
    <n v="13"/>
    <s v="Madurai"/>
    <s v="2025-05-04"/>
    <x v="24"/>
    <x v="36"/>
    <x v="48"/>
    <x v="64"/>
    <x v="45"/>
    <x v="25"/>
    <n v="267"/>
    <n v="53.4"/>
    <x v="3"/>
    <x v="1"/>
    <n v="4168"/>
    <s v="Drama"/>
    <x v="1"/>
  </r>
  <r>
    <x v="446"/>
    <x v="106"/>
    <x v="1"/>
    <x v="3"/>
    <x v="3"/>
    <n v="6"/>
    <s v="Pune"/>
    <s v="2021-04-14"/>
    <x v="28"/>
    <x v="52"/>
    <x v="27"/>
    <x v="8"/>
    <x v="2"/>
    <x v="36"/>
    <n v="283"/>
    <n v="56.6"/>
    <x v="3"/>
    <x v="0"/>
    <n v="2039"/>
    <s v="Sports"/>
    <x v="0"/>
  </r>
  <r>
    <x v="447"/>
    <x v="19"/>
    <x v="1"/>
    <x v="5"/>
    <x v="2"/>
    <n v="6"/>
    <s v="Pune"/>
    <s v="2022-11-22"/>
    <x v="4"/>
    <x v="15"/>
    <x v="60"/>
    <x v="3"/>
    <x v="34"/>
    <x v="2"/>
    <n v="337"/>
    <n v="67.400000000000006"/>
    <x v="0"/>
    <x v="1"/>
    <n v="4522"/>
    <s v="Art"/>
    <x v="0"/>
  </r>
  <r>
    <x v="448"/>
    <x v="57"/>
    <x v="0"/>
    <x v="6"/>
    <x v="2"/>
    <n v="12"/>
    <s v="Pune"/>
    <s v="2022-03-07"/>
    <x v="10"/>
    <x v="13"/>
    <x v="16"/>
    <x v="21"/>
    <x v="19"/>
    <x v="59"/>
    <n v="275"/>
    <n v="55"/>
    <x v="3"/>
    <x v="1"/>
    <n v="3390"/>
    <s v="Art"/>
    <x v="1"/>
  </r>
  <r>
    <x v="449"/>
    <x v="34"/>
    <x v="1"/>
    <x v="5"/>
    <x v="0"/>
    <n v="8"/>
    <s v="Chennai"/>
    <s v="2025-02-23"/>
    <x v="8"/>
    <x v="58"/>
    <x v="62"/>
    <x v="37"/>
    <x v="32"/>
    <x v="54"/>
    <n v="261"/>
    <n v="52.2"/>
    <x v="3"/>
    <x v="1"/>
    <n v="3820"/>
    <s v="Music"/>
    <x v="1"/>
  </r>
  <r>
    <x v="450"/>
    <x v="136"/>
    <x v="0"/>
    <x v="11"/>
    <x v="1"/>
    <n v="16"/>
    <s v="Coimbatore"/>
    <s v="2025-01-12"/>
    <x v="7"/>
    <x v="54"/>
    <x v="65"/>
    <x v="6"/>
    <x v="49"/>
    <x v="57"/>
    <n v="379"/>
    <n v="75.8"/>
    <x v="1"/>
    <x v="0"/>
    <n v="1597"/>
    <s v="Music"/>
    <x v="0"/>
  </r>
  <r>
    <x v="451"/>
    <x v="101"/>
    <x v="0"/>
    <x v="1"/>
    <x v="0"/>
    <n v="12"/>
    <s v="Madurai"/>
    <s v="2021-06-22"/>
    <x v="1"/>
    <x v="33"/>
    <x v="1"/>
    <x v="3"/>
    <x v="54"/>
    <x v="64"/>
    <n v="361"/>
    <n v="72.2"/>
    <x v="1"/>
    <x v="1"/>
    <n v="4254"/>
    <s v="Dance"/>
    <x v="0"/>
  </r>
  <r>
    <x v="452"/>
    <x v="1"/>
    <x v="0"/>
    <x v="7"/>
    <x v="3"/>
    <n v="9"/>
    <s v="Chennai"/>
    <s v="2022-02-13"/>
    <x v="15"/>
    <x v="22"/>
    <x v="63"/>
    <x v="20"/>
    <x v="36"/>
    <x v="42"/>
    <n v="388"/>
    <n v="77.599999999999994"/>
    <x v="1"/>
    <x v="1"/>
    <n v="1888"/>
    <s v="Music"/>
    <x v="0"/>
  </r>
  <r>
    <x v="453"/>
    <x v="129"/>
    <x v="1"/>
    <x v="4"/>
    <x v="1"/>
    <n v="18"/>
    <s v="Pune"/>
    <s v="2024-03-13"/>
    <x v="11"/>
    <x v="45"/>
    <x v="20"/>
    <x v="35"/>
    <x v="43"/>
    <x v="7"/>
    <n v="324"/>
    <n v="64.8"/>
    <x v="0"/>
    <x v="0"/>
    <n v="3719"/>
    <s v="Drama"/>
    <x v="0"/>
  </r>
  <r>
    <x v="454"/>
    <x v="117"/>
    <x v="0"/>
    <x v="6"/>
    <x v="3"/>
    <n v="12"/>
    <s v="Hyderabad"/>
    <s v="2024-06-12"/>
    <x v="33"/>
    <x v="61"/>
    <x v="43"/>
    <x v="13"/>
    <x v="55"/>
    <x v="52"/>
    <n v="319"/>
    <n v="63.8"/>
    <x v="0"/>
    <x v="0"/>
    <n v="4658"/>
    <s v="Coding Club"/>
    <x v="0"/>
  </r>
  <r>
    <x v="455"/>
    <x v="107"/>
    <x v="1"/>
    <x v="4"/>
    <x v="1"/>
    <n v="16"/>
    <s v="Madurai"/>
    <s v="2024-08-08"/>
    <x v="29"/>
    <x v="40"/>
    <x v="63"/>
    <x v="17"/>
    <x v="46"/>
    <x v="24"/>
    <n v="386"/>
    <n v="77.2"/>
    <x v="1"/>
    <x v="1"/>
    <n v="3023"/>
    <s v="Sports"/>
    <x v="0"/>
  </r>
  <r>
    <x v="456"/>
    <x v="90"/>
    <x v="0"/>
    <x v="1"/>
    <x v="3"/>
    <n v="12"/>
    <s v="Chennai"/>
    <s v="2021-12-10"/>
    <x v="25"/>
    <x v="9"/>
    <x v="39"/>
    <x v="31"/>
    <x v="14"/>
    <x v="42"/>
    <n v="360"/>
    <n v="72"/>
    <x v="1"/>
    <x v="0"/>
    <n v="2755"/>
    <s v="Art"/>
    <x v="0"/>
  </r>
  <r>
    <x v="457"/>
    <x v="44"/>
    <x v="0"/>
    <x v="2"/>
    <x v="3"/>
    <n v="8"/>
    <s v="Hyderabad"/>
    <s v="2021-09-24"/>
    <x v="14"/>
    <x v="53"/>
    <x v="27"/>
    <x v="45"/>
    <x v="9"/>
    <x v="45"/>
    <n v="269"/>
    <n v="53.8"/>
    <x v="3"/>
    <x v="1"/>
    <n v="4915"/>
    <s v="Drama"/>
    <x v="1"/>
  </r>
  <r>
    <x v="458"/>
    <x v="121"/>
    <x v="1"/>
    <x v="10"/>
    <x v="3"/>
    <n v="13"/>
    <s v="Hyderabad"/>
    <s v="2022-07-05"/>
    <x v="28"/>
    <x v="18"/>
    <x v="61"/>
    <x v="29"/>
    <x v="46"/>
    <x v="36"/>
    <n v="289"/>
    <n v="57.8"/>
    <x v="3"/>
    <x v="0"/>
    <n v="4232"/>
    <s v="Art"/>
    <x v="0"/>
  </r>
  <r>
    <x v="459"/>
    <x v="51"/>
    <x v="1"/>
    <x v="1"/>
    <x v="1"/>
    <n v="13"/>
    <s v="Pune"/>
    <s v="2024-01-13"/>
    <x v="39"/>
    <x v="58"/>
    <x v="12"/>
    <x v="51"/>
    <x v="34"/>
    <x v="52"/>
    <n v="282"/>
    <n v="56.4"/>
    <x v="3"/>
    <x v="0"/>
    <n v="3802"/>
    <s v="Dance"/>
    <x v="0"/>
  </r>
  <r>
    <x v="460"/>
    <x v="124"/>
    <x v="0"/>
    <x v="9"/>
    <x v="2"/>
    <n v="14"/>
    <s v="Chennai"/>
    <s v="2025-05-04"/>
    <x v="7"/>
    <x v="57"/>
    <x v="24"/>
    <x v="49"/>
    <x v="48"/>
    <x v="62"/>
    <n v="289"/>
    <n v="57.8"/>
    <x v="3"/>
    <x v="1"/>
    <n v="4349"/>
    <s v="Dance"/>
    <x v="0"/>
  </r>
  <r>
    <x v="461"/>
    <x v="37"/>
    <x v="1"/>
    <x v="5"/>
    <x v="2"/>
    <n v="8"/>
    <s v="Mumbai"/>
    <s v="2022-09-27"/>
    <x v="35"/>
    <x v="23"/>
    <x v="12"/>
    <x v="38"/>
    <x v="50"/>
    <x v="39"/>
    <n v="362"/>
    <n v="72.400000000000006"/>
    <x v="1"/>
    <x v="1"/>
    <n v="3600"/>
    <s v="Coding Club"/>
    <x v="0"/>
  </r>
  <r>
    <x v="462"/>
    <x v="29"/>
    <x v="0"/>
    <x v="7"/>
    <x v="2"/>
    <n v="11"/>
    <s v="Madurai"/>
    <s v="2024-11-07"/>
    <x v="27"/>
    <x v="30"/>
    <x v="49"/>
    <x v="21"/>
    <x v="30"/>
    <x v="0"/>
    <n v="287"/>
    <n v="57.4"/>
    <x v="3"/>
    <x v="1"/>
    <n v="4258"/>
    <s v="Art"/>
    <x v="0"/>
  </r>
  <r>
    <x v="463"/>
    <x v="101"/>
    <x v="1"/>
    <x v="11"/>
    <x v="1"/>
    <n v="15"/>
    <s v="Chennai"/>
    <s v="2021-08-22"/>
    <x v="10"/>
    <x v="20"/>
    <x v="31"/>
    <x v="0"/>
    <x v="64"/>
    <x v="53"/>
    <n v="401"/>
    <n v="80.2"/>
    <x v="2"/>
    <x v="1"/>
    <n v="2216"/>
    <s v="Art"/>
    <x v="0"/>
  </r>
  <r>
    <x v="464"/>
    <x v="67"/>
    <x v="1"/>
    <x v="5"/>
    <x v="1"/>
    <n v="7"/>
    <s v="Bangalore"/>
    <s v="2022-07-23"/>
    <x v="5"/>
    <x v="27"/>
    <x v="46"/>
    <x v="59"/>
    <x v="11"/>
    <x v="44"/>
    <n v="276"/>
    <n v="55.2"/>
    <x v="3"/>
    <x v="0"/>
    <n v="4300"/>
    <s v="Drama"/>
    <x v="0"/>
  </r>
  <r>
    <x v="465"/>
    <x v="96"/>
    <x v="1"/>
    <x v="0"/>
    <x v="0"/>
    <n v="16"/>
    <s v="Coimbatore"/>
    <s v="2023-11-16"/>
    <x v="23"/>
    <x v="23"/>
    <x v="52"/>
    <x v="36"/>
    <x v="35"/>
    <x v="52"/>
    <n v="282"/>
    <n v="56.4"/>
    <x v="3"/>
    <x v="0"/>
    <n v="3445"/>
    <s v="Coding Club"/>
    <x v="0"/>
  </r>
  <r>
    <x v="466"/>
    <x v="60"/>
    <x v="0"/>
    <x v="8"/>
    <x v="1"/>
    <n v="7"/>
    <s v="Madurai"/>
    <s v="2023-05-08"/>
    <x v="9"/>
    <x v="17"/>
    <x v="25"/>
    <x v="64"/>
    <x v="34"/>
    <x v="4"/>
    <n v="378"/>
    <n v="75.599999999999994"/>
    <x v="1"/>
    <x v="0"/>
    <n v="4560"/>
    <s v="Dance"/>
    <x v="0"/>
  </r>
  <r>
    <x v="467"/>
    <x v="17"/>
    <x v="0"/>
    <x v="0"/>
    <x v="1"/>
    <n v="15"/>
    <s v="Mumbai"/>
    <s v="2024-12-25"/>
    <x v="14"/>
    <x v="23"/>
    <x v="49"/>
    <x v="4"/>
    <x v="37"/>
    <x v="4"/>
    <n v="360"/>
    <n v="72"/>
    <x v="1"/>
    <x v="0"/>
    <n v="3632"/>
    <s v="Art"/>
    <x v="0"/>
  </r>
  <r>
    <x v="468"/>
    <x v="23"/>
    <x v="1"/>
    <x v="2"/>
    <x v="2"/>
    <n v="9"/>
    <s v="Coimbatore"/>
    <s v="2024-10-28"/>
    <x v="38"/>
    <x v="53"/>
    <x v="32"/>
    <x v="50"/>
    <x v="48"/>
    <x v="28"/>
    <n v="334"/>
    <n v="66.8"/>
    <x v="0"/>
    <x v="0"/>
    <n v="2665"/>
    <s v="Sports"/>
    <x v="0"/>
  </r>
  <r>
    <x v="469"/>
    <x v="19"/>
    <x v="1"/>
    <x v="3"/>
    <x v="1"/>
    <n v="7"/>
    <s v="Chennai"/>
    <s v="2025-06-24"/>
    <x v="13"/>
    <x v="23"/>
    <x v="1"/>
    <x v="58"/>
    <x v="15"/>
    <x v="56"/>
    <n v="307"/>
    <n v="61.4"/>
    <x v="0"/>
    <x v="0"/>
    <n v="4643"/>
    <s v="Dance"/>
    <x v="0"/>
  </r>
  <r>
    <x v="470"/>
    <x v="82"/>
    <x v="1"/>
    <x v="11"/>
    <x v="2"/>
    <n v="17"/>
    <s v="Pune"/>
    <s v="2024-07-08"/>
    <x v="37"/>
    <x v="16"/>
    <x v="49"/>
    <x v="41"/>
    <x v="7"/>
    <x v="64"/>
    <n v="371"/>
    <n v="74.2"/>
    <x v="1"/>
    <x v="0"/>
    <n v="2504"/>
    <s v="Art"/>
    <x v="0"/>
  </r>
  <r>
    <x v="471"/>
    <x v="115"/>
    <x v="1"/>
    <x v="4"/>
    <x v="0"/>
    <n v="17"/>
    <s v="Coimbatore"/>
    <s v="2023-06-02"/>
    <x v="25"/>
    <x v="15"/>
    <x v="54"/>
    <x v="59"/>
    <x v="0"/>
    <x v="2"/>
    <n v="271"/>
    <n v="54.2"/>
    <x v="3"/>
    <x v="0"/>
    <n v="3873"/>
    <s v="Dance"/>
    <x v="1"/>
  </r>
  <r>
    <x v="472"/>
    <x v="83"/>
    <x v="1"/>
    <x v="8"/>
    <x v="3"/>
    <n v="8"/>
    <s v="Madurai"/>
    <s v="2024-02-13"/>
    <x v="28"/>
    <x v="27"/>
    <x v="42"/>
    <x v="21"/>
    <x v="29"/>
    <x v="36"/>
    <n v="249"/>
    <n v="49.8"/>
    <x v="4"/>
    <x v="0"/>
    <n v="3269"/>
    <s v="Drama"/>
    <x v="1"/>
  </r>
  <r>
    <x v="473"/>
    <x v="140"/>
    <x v="0"/>
    <x v="6"/>
    <x v="3"/>
    <n v="11"/>
    <s v="Madurai"/>
    <s v="2021-03-05"/>
    <x v="11"/>
    <x v="65"/>
    <x v="26"/>
    <x v="45"/>
    <x v="0"/>
    <x v="7"/>
    <n v="323"/>
    <n v="64.599999999999994"/>
    <x v="0"/>
    <x v="0"/>
    <n v="1998"/>
    <s v="Dance"/>
    <x v="0"/>
  </r>
  <r>
    <x v="474"/>
    <x v="96"/>
    <x v="1"/>
    <x v="1"/>
    <x v="1"/>
    <n v="12"/>
    <s v="Pune"/>
    <s v="2021-04-19"/>
    <x v="23"/>
    <x v="30"/>
    <x v="50"/>
    <x v="58"/>
    <x v="8"/>
    <x v="9"/>
    <n v="321"/>
    <n v="64.2"/>
    <x v="0"/>
    <x v="1"/>
    <n v="4480"/>
    <s v="Music"/>
    <x v="0"/>
  </r>
  <r>
    <x v="475"/>
    <x v="25"/>
    <x v="1"/>
    <x v="3"/>
    <x v="1"/>
    <n v="6"/>
    <s v="Madurai"/>
    <s v="2024-12-30"/>
    <x v="2"/>
    <x v="36"/>
    <x v="47"/>
    <x v="34"/>
    <x v="0"/>
    <x v="8"/>
    <n v="222"/>
    <n v="44.4"/>
    <x v="4"/>
    <x v="1"/>
    <n v="3736"/>
    <s v="Art"/>
    <x v="1"/>
  </r>
  <r>
    <x v="476"/>
    <x v="34"/>
    <x v="0"/>
    <x v="4"/>
    <x v="0"/>
    <n v="17"/>
    <s v="Madurai"/>
    <s v="2021-11-15"/>
    <x v="20"/>
    <x v="50"/>
    <x v="64"/>
    <x v="38"/>
    <x v="2"/>
    <x v="64"/>
    <n v="380"/>
    <n v="76"/>
    <x v="1"/>
    <x v="1"/>
    <n v="4119"/>
    <s v="Art"/>
    <x v="0"/>
  </r>
  <r>
    <x v="477"/>
    <x v="141"/>
    <x v="0"/>
    <x v="8"/>
    <x v="3"/>
    <n v="7"/>
    <s v="Chennai"/>
    <s v="2025-07-19"/>
    <x v="37"/>
    <x v="27"/>
    <x v="16"/>
    <x v="40"/>
    <x v="23"/>
    <x v="3"/>
    <n v="263"/>
    <n v="52.6"/>
    <x v="3"/>
    <x v="1"/>
    <n v="3895"/>
    <s v="Coding Club"/>
    <x v="1"/>
  </r>
  <r>
    <x v="478"/>
    <x v="105"/>
    <x v="1"/>
    <x v="9"/>
    <x v="0"/>
    <n v="14"/>
    <s v="Pune"/>
    <s v="2025-03-10"/>
    <x v="23"/>
    <x v="44"/>
    <x v="0"/>
    <x v="46"/>
    <x v="9"/>
    <x v="34"/>
    <n v="352"/>
    <n v="70.400000000000006"/>
    <x v="1"/>
    <x v="0"/>
    <n v="3190"/>
    <s v="Coding Club"/>
    <x v="0"/>
  </r>
  <r>
    <x v="479"/>
    <x v="31"/>
    <x v="0"/>
    <x v="3"/>
    <x v="3"/>
    <n v="7"/>
    <s v="Madurai"/>
    <s v="2023-01-16"/>
    <x v="24"/>
    <x v="17"/>
    <x v="49"/>
    <x v="9"/>
    <x v="22"/>
    <x v="41"/>
    <n v="343"/>
    <n v="68.599999999999994"/>
    <x v="0"/>
    <x v="1"/>
    <n v="4411"/>
    <s v="Drama"/>
    <x v="0"/>
  </r>
  <r>
    <x v="480"/>
    <x v="52"/>
    <x v="1"/>
    <x v="2"/>
    <x v="2"/>
    <n v="8"/>
    <s v="Hyderabad"/>
    <s v="2021-02-10"/>
    <x v="25"/>
    <x v="48"/>
    <x v="1"/>
    <x v="63"/>
    <x v="23"/>
    <x v="4"/>
    <n v="358"/>
    <n v="71.599999999999994"/>
    <x v="1"/>
    <x v="1"/>
    <n v="2572"/>
    <s v="Music"/>
    <x v="0"/>
  </r>
  <r>
    <x v="481"/>
    <x v="128"/>
    <x v="1"/>
    <x v="6"/>
    <x v="0"/>
    <n v="11"/>
    <s v="Chennai"/>
    <s v="2025-12-01"/>
    <x v="39"/>
    <x v="0"/>
    <x v="15"/>
    <x v="22"/>
    <x v="28"/>
    <x v="5"/>
    <n v="286"/>
    <n v="57.2"/>
    <x v="3"/>
    <x v="0"/>
    <n v="1846"/>
    <s v="Drama"/>
    <x v="0"/>
  </r>
  <r>
    <x v="482"/>
    <x v="65"/>
    <x v="0"/>
    <x v="11"/>
    <x v="2"/>
    <n v="15"/>
    <s v="Coimbatore"/>
    <s v="2021-01-10"/>
    <x v="7"/>
    <x v="7"/>
    <x v="24"/>
    <x v="65"/>
    <x v="48"/>
    <x v="56"/>
    <n v="279"/>
    <n v="55.8"/>
    <x v="3"/>
    <x v="0"/>
    <n v="3432"/>
    <s v="Art"/>
    <x v="0"/>
  </r>
  <r>
    <x v="483"/>
    <x v="36"/>
    <x v="0"/>
    <x v="7"/>
    <x v="3"/>
    <n v="11"/>
    <s v="Hyderabad"/>
    <s v="2025-07-20"/>
    <x v="26"/>
    <x v="19"/>
    <x v="49"/>
    <x v="29"/>
    <x v="2"/>
    <x v="15"/>
    <n v="348"/>
    <n v="69.599999999999994"/>
    <x v="0"/>
    <x v="1"/>
    <n v="2605"/>
    <s v="Dance"/>
    <x v="0"/>
  </r>
  <r>
    <x v="484"/>
    <x v="9"/>
    <x v="0"/>
    <x v="2"/>
    <x v="2"/>
    <n v="9"/>
    <s v="Pune"/>
    <s v="2022-05-01"/>
    <x v="30"/>
    <x v="12"/>
    <x v="18"/>
    <x v="62"/>
    <x v="31"/>
    <x v="23"/>
    <n v="427"/>
    <n v="85.4"/>
    <x v="2"/>
    <x v="0"/>
    <n v="4317"/>
    <s v="Music"/>
    <x v="0"/>
  </r>
  <r>
    <x v="485"/>
    <x v="101"/>
    <x v="0"/>
    <x v="6"/>
    <x v="0"/>
    <n v="10"/>
    <s v="Pune"/>
    <s v="2022-11-15"/>
    <x v="40"/>
    <x v="6"/>
    <x v="18"/>
    <x v="59"/>
    <x v="0"/>
    <x v="11"/>
    <n v="306"/>
    <n v="61.2"/>
    <x v="0"/>
    <x v="0"/>
    <n v="2793"/>
    <s v="Art"/>
    <x v="0"/>
  </r>
  <r>
    <x v="486"/>
    <x v="72"/>
    <x v="1"/>
    <x v="7"/>
    <x v="1"/>
    <n v="9"/>
    <s v="Madurai"/>
    <s v="2023-05-06"/>
    <x v="11"/>
    <x v="30"/>
    <x v="35"/>
    <x v="32"/>
    <x v="0"/>
    <x v="13"/>
    <n v="311"/>
    <n v="62.2"/>
    <x v="0"/>
    <x v="1"/>
    <n v="4565"/>
    <s v="Dance"/>
    <x v="0"/>
  </r>
  <r>
    <x v="487"/>
    <x v="63"/>
    <x v="1"/>
    <x v="7"/>
    <x v="0"/>
    <n v="10"/>
    <s v="Bangalore"/>
    <s v="2025-01-25"/>
    <x v="2"/>
    <x v="57"/>
    <x v="22"/>
    <x v="57"/>
    <x v="21"/>
    <x v="20"/>
    <n v="393"/>
    <n v="78.599999999999994"/>
    <x v="1"/>
    <x v="0"/>
    <n v="4307"/>
    <s v="Music"/>
    <x v="0"/>
  </r>
  <r>
    <x v="488"/>
    <x v="133"/>
    <x v="0"/>
    <x v="5"/>
    <x v="0"/>
    <n v="6"/>
    <s v="Pune"/>
    <s v="2025-01-26"/>
    <x v="13"/>
    <x v="7"/>
    <x v="29"/>
    <x v="35"/>
    <x v="40"/>
    <x v="45"/>
    <n v="305"/>
    <n v="61"/>
    <x v="0"/>
    <x v="0"/>
    <n v="1736"/>
    <s v="Sports"/>
    <x v="0"/>
  </r>
  <r>
    <x v="489"/>
    <x v="72"/>
    <x v="0"/>
    <x v="4"/>
    <x v="2"/>
    <n v="18"/>
    <s v="Pune"/>
    <s v="2021-04-15"/>
    <x v="38"/>
    <x v="6"/>
    <x v="55"/>
    <x v="36"/>
    <x v="50"/>
    <x v="48"/>
    <n v="292"/>
    <n v="58.4"/>
    <x v="3"/>
    <x v="0"/>
    <n v="3813"/>
    <s v="Music"/>
    <x v="0"/>
  </r>
  <r>
    <x v="490"/>
    <x v="99"/>
    <x v="1"/>
    <x v="2"/>
    <x v="0"/>
    <n v="10"/>
    <s v="Madurai"/>
    <s v="2025-09-05"/>
    <x v="34"/>
    <x v="43"/>
    <x v="12"/>
    <x v="18"/>
    <x v="0"/>
    <x v="55"/>
    <n v="370"/>
    <n v="74"/>
    <x v="1"/>
    <x v="0"/>
    <n v="3939"/>
    <s v="Coding Club"/>
    <x v="0"/>
  </r>
  <r>
    <x v="491"/>
    <x v="27"/>
    <x v="0"/>
    <x v="10"/>
    <x v="3"/>
    <n v="13"/>
    <s v="Hyderabad"/>
    <s v="2022-06-11"/>
    <x v="39"/>
    <x v="59"/>
    <x v="43"/>
    <x v="61"/>
    <x v="3"/>
    <x v="51"/>
    <n v="368"/>
    <n v="73.599999999999994"/>
    <x v="1"/>
    <x v="1"/>
    <n v="3421"/>
    <s v="Dance"/>
    <x v="0"/>
  </r>
  <r>
    <x v="492"/>
    <x v="121"/>
    <x v="0"/>
    <x v="5"/>
    <x v="1"/>
    <n v="8"/>
    <s v="Chennai"/>
    <s v="2024-08-21"/>
    <x v="18"/>
    <x v="32"/>
    <x v="60"/>
    <x v="56"/>
    <x v="46"/>
    <x v="5"/>
    <n v="308"/>
    <n v="61.6"/>
    <x v="0"/>
    <x v="0"/>
    <n v="2214"/>
    <s v="Drama"/>
    <x v="0"/>
  </r>
  <r>
    <x v="493"/>
    <x v="14"/>
    <x v="0"/>
    <x v="3"/>
    <x v="0"/>
    <n v="6"/>
    <s v="Mumbai"/>
    <s v="2021-04-15"/>
    <x v="0"/>
    <x v="43"/>
    <x v="42"/>
    <x v="19"/>
    <x v="39"/>
    <x v="23"/>
    <n v="360"/>
    <n v="72"/>
    <x v="1"/>
    <x v="1"/>
    <n v="4780"/>
    <s v="Dance"/>
    <x v="0"/>
  </r>
  <r>
    <x v="494"/>
    <x v="43"/>
    <x v="1"/>
    <x v="11"/>
    <x v="0"/>
    <n v="15"/>
    <s v="Pune"/>
    <s v="2025-07-03"/>
    <x v="38"/>
    <x v="0"/>
    <x v="32"/>
    <x v="64"/>
    <x v="56"/>
    <x v="27"/>
    <n v="382"/>
    <n v="76.400000000000006"/>
    <x v="1"/>
    <x v="1"/>
    <n v="3886"/>
    <s v="Dance"/>
    <x v="0"/>
  </r>
  <r>
    <x v="495"/>
    <x v="133"/>
    <x v="0"/>
    <x v="10"/>
    <x v="1"/>
    <n v="13"/>
    <s v="Madurai"/>
    <s v="2023-05-09"/>
    <x v="22"/>
    <x v="61"/>
    <x v="47"/>
    <x v="37"/>
    <x v="23"/>
    <x v="38"/>
    <n v="250"/>
    <n v="50"/>
    <x v="3"/>
    <x v="1"/>
    <n v="2815"/>
    <s v="Drama"/>
    <x v="1"/>
  </r>
  <r>
    <x v="496"/>
    <x v="38"/>
    <x v="0"/>
    <x v="3"/>
    <x v="3"/>
    <n v="6"/>
    <s v="Hyderabad"/>
    <s v="2025-01-17"/>
    <x v="32"/>
    <x v="37"/>
    <x v="31"/>
    <x v="36"/>
    <x v="51"/>
    <x v="26"/>
    <n v="286"/>
    <n v="57.2"/>
    <x v="3"/>
    <x v="1"/>
    <n v="4803"/>
    <s v="Coding Club"/>
    <x v="0"/>
  </r>
  <r>
    <x v="497"/>
    <x v="114"/>
    <x v="1"/>
    <x v="7"/>
    <x v="0"/>
    <n v="10"/>
    <s v="Pune"/>
    <s v="2023-05-21"/>
    <x v="31"/>
    <x v="31"/>
    <x v="56"/>
    <x v="33"/>
    <x v="9"/>
    <x v="11"/>
    <n v="297"/>
    <n v="59.4"/>
    <x v="3"/>
    <x v="0"/>
    <n v="1525"/>
    <s v="Sports"/>
    <x v="0"/>
  </r>
  <r>
    <x v="498"/>
    <x v="25"/>
    <x v="1"/>
    <x v="6"/>
    <x v="1"/>
    <n v="12"/>
    <s v="Bangalore"/>
    <s v="2023-01-15"/>
    <x v="26"/>
    <x v="63"/>
    <x v="38"/>
    <x v="45"/>
    <x v="5"/>
    <x v="8"/>
    <n v="297"/>
    <n v="59.4"/>
    <x v="3"/>
    <x v="0"/>
    <n v="4535"/>
    <s v="Sports"/>
    <x v="0"/>
  </r>
  <r>
    <x v="499"/>
    <x v="38"/>
    <x v="1"/>
    <x v="0"/>
    <x v="1"/>
    <n v="15"/>
    <s v="Mumbai"/>
    <s v="2023-05-16"/>
    <x v="22"/>
    <x v="3"/>
    <x v="30"/>
    <x v="8"/>
    <x v="8"/>
    <x v="33"/>
    <n v="382"/>
    <n v="76.400000000000006"/>
    <x v="1"/>
    <x v="1"/>
    <n v="2507"/>
    <s v="Coding Club"/>
    <x v="0"/>
  </r>
  <r>
    <x v="500"/>
    <x v="130"/>
    <x v="1"/>
    <x v="7"/>
    <x v="2"/>
    <n v="10"/>
    <s v="Madurai"/>
    <s v="2022-10-12"/>
    <x v="2"/>
    <x v="19"/>
    <x v="1"/>
    <x v="39"/>
    <x v="40"/>
    <x v="25"/>
    <n v="256"/>
    <n v="51.2"/>
    <x v="3"/>
    <x v="0"/>
    <n v="4095"/>
    <s v="Art"/>
    <x v="1"/>
  </r>
  <r>
    <x v="501"/>
    <x v="41"/>
    <x v="0"/>
    <x v="10"/>
    <x v="2"/>
    <n v="12"/>
    <s v="Bangalore"/>
    <s v="2022-01-18"/>
    <x v="9"/>
    <x v="38"/>
    <x v="47"/>
    <x v="52"/>
    <x v="52"/>
    <x v="10"/>
    <n v="403"/>
    <n v="80.599999999999994"/>
    <x v="2"/>
    <x v="0"/>
    <n v="4112"/>
    <s v="Music"/>
    <x v="0"/>
  </r>
  <r>
    <x v="502"/>
    <x v="121"/>
    <x v="1"/>
    <x v="5"/>
    <x v="1"/>
    <n v="7"/>
    <s v="Pune"/>
    <s v="2021-01-04"/>
    <x v="38"/>
    <x v="44"/>
    <x v="0"/>
    <x v="15"/>
    <x v="14"/>
    <x v="13"/>
    <n v="327"/>
    <n v="65.400000000000006"/>
    <x v="0"/>
    <x v="0"/>
    <n v="2533"/>
    <s v="Music"/>
    <x v="0"/>
  </r>
  <r>
    <x v="503"/>
    <x v="54"/>
    <x v="1"/>
    <x v="8"/>
    <x v="1"/>
    <n v="9"/>
    <s v="Coimbatore"/>
    <s v="2021-09-27"/>
    <x v="8"/>
    <x v="9"/>
    <x v="53"/>
    <x v="30"/>
    <x v="24"/>
    <x v="27"/>
    <n v="385"/>
    <n v="77"/>
    <x v="1"/>
    <x v="1"/>
    <n v="1855"/>
    <s v="Coding Club"/>
    <x v="0"/>
  </r>
  <r>
    <x v="504"/>
    <x v="78"/>
    <x v="0"/>
    <x v="11"/>
    <x v="2"/>
    <n v="17"/>
    <s v="Bangalore"/>
    <s v="2023-08-04"/>
    <x v="29"/>
    <x v="37"/>
    <x v="49"/>
    <x v="18"/>
    <x v="58"/>
    <x v="14"/>
    <n v="265"/>
    <n v="53"/>
    <x v="3"/>
    <x v="1"/>
    <n v="3692"/>
    <s v="Dance"/>
    <x v="1"/>
  </r>
  <r>
    <x v="505"/>
    <x v="69"/>
    <x v="1"/>
    <x v="7"/>
    <x v="1"/>
    <n v="9"/>
    <s v="Coimbatore"/>
    <s v="2022-03-18"/>
    <x v="30"/>
    <x v="11"/>
    <x v="34"/>
    <x v="37"/>
    <x v="40"/>
    <x v="48"/>
    <n v="245"/>
    <n v="49"/>
    <x v="4"/>
    <x v="0"/>
    <n v="2300"/>
    <s v="Dance"/>
    <x v="1"/>
  </r>
  <r>
    <x v="506"/>
    <x v="8"/>
    <x v="1"/>
    <x v="5"/>
    <x v="1"/>
    <n v="8"/>
    <s v="Mumbai"/>
    <s v="2021-07-17"/>
    <x v="11"/>
    <x v="7"/>
    <x v="12"/>
    <x v="17"/>
    <x v="30"/>
    <x v="63"/>
    <n v="334"/>
    <n v="66.8"/>
    <x v="0"/>
    <x v="0"/>
    <n v="4835"/>
    <s v="Art"/>
    <x v="0"/>
  </r>
  <r>
    <x v="507"/>
    <x v="142"/>
    <x v="0"/>
    <x v="10"/>
    <x v="3"/>
    <n v="13"/>
    <s v="Chennai"/>
    <s v="2024-04-25"/>
    <x v="26"/>
    <x v="23"/>
    <x v="36"/>
    <x v="46"/>
    <x v="46"/>
    <x v="5"/>
    <n v="364"/>
    <n v="72.8"/>
    <x v="1"/>
    <x v="0"/>
    <n v="2015"/>
    <s v="Music"/>
    <x v="0"/>
  </r>
  <r>
    <x v="508"/>
    <x v="58"/>
    <x v="0"/>
    <x v="4"/>
    <x v="3"/>
    <n v="16"/>
    <s v="Madurai"/>
    <s v="2024-05-31"/>
    <x v="35"/>
    <x v="57"/>
    <x v="37"/>
    <x v="21"/>
    <x v="45"/>
    <x v="55"/>
    <n v="300"/>
    <n v="60"/>
    <x v="0"/>
    <x v="1"/>
    <n v="2160"/>
    <s v="Art"/>
    <x v="0"/>
  </r>
  <r>
    <x v="509"/>
    <x v="58"/>
    <x v="0"/>
    <x v="1"/>
    <x v="3"/>
    <n v="12"/>
    <s v="Mumbai"/>
    <s v="2021-06-14"/>
    <x v="22"/>
    <x v="55"/>
    <x v="48"/>
    <x v="7"/>
    <x v="10"/>
    <x v="16"/>
    <n v="363"/>
    <n v="72.599999999999994"/>
    <x v="1"/>
    <x v="0"/>
    <n v="2698"/>
    <s v="Coding Club"/>
    <x v="0"/>
  </r>
  <r>
    <x v="510"/>
    <x v="89"/>
    <x v="0"/>
    <x v="3"/>
    <x v="3"/>
    <n v="7"/>
    <s v="Pune"/>
    <s v="2021-08-12"/>
    <x v="0"/>
    <x v="55"/>
    <x v="34"/>
    <x v="20"/>
    <x v="26"/>
    <x v="8"/>
    <n v="332"/>
    <n v="66.400000000000006"/>
    <x v="0"/>
    <x v="0"/>
    <n v="3602"/>
    <s v="Music"/>
    <x v="0"/>
  </r>
  <r>
    <x v="511"/>
    <x v="69"/>
    <x v="1"/>
    <x v="1"/>
    <x v="3"/>
    <n v="13"/>
    <s v="Pune"/>
    <s v="2022-04-08"/>
    <x v="5"/>
    <x v="37"/>
    <x v="27"/>
    <x v="28"/>
    <x v="45"/>
    <x v="10"/>
    <n v="307"/>
    <n v="61.4"/>
    <x v="0"/>
    <x v="0"/>
    <n v="3281"/>
    <s v="Music"/>
    <x v="0"/>
  </r>
  <r>
    <x v="512"/>
    <x v="82"/>
    <x v="1"/>
    <x v="1"/>
    <x v="0"/>
    <n v="12"/>
    <s v="Pune"/>
    <s v="2021-06-18"/>
    <x v="16"/>
    <x v="6"/>
    <x v="31"/>
    <x v="46"/>
    <x v="7"/>
    <x v="32"/>
    <n v="469"/>
    <n v="93.8"/>
    <x v="5"/>
    <x v="0"/>
    <n v="3905"/>
    <s v="Music"/>
    <x v="0"/>
  </r>
  <r>
    <x v="513"/>
    <x v="90"/>
    <x v="1"/>
    <x v="3"/>
    <x v="2"/>
    <n v="7"/>
    <s v="Chennai"/>
    <s v="2023-04-19"/>
    <x v="5"/>
    <x v="50"/>
    <x v="28"/>
    <x v="44"/>
    <x v="10"/>
    <x v="5"/>
    <n v="377"/>
    <n v="75.400000000000006"/>
    <x v="1"/>
    <x v="0"/>
    <n v="3097"/>
    <s v="Coding Club"/>
    <x v="0"/>
  </r>
  <r>
    <x v="514"/>
    <x v="93"/>
    <x v="0"/>
    <x v="6"/>
    <x v="2"/>
    <n v="10"/>
    <s v="Hyderabad"/>
    <s v="2022-10-12"/>
    <x v="24"/>
    <x v="9"/>
    <x v="11"/>
    <x v="53"/>
    <x v="46"/>
    <x v="41"/>
    <n v="356"/>
    <n v="71.2"/>
    <x v="1"/>
    <x v="0"/>
    <n v="2558"/>
    <s v="Dance"/>
    <x v="0"/>
  </r>
  <r>
    <x v="515"/>
    <x v="140"/>
    <x v="0"/>
    <x v="8"/>
    <x v="1"/>
    <n v="7"/>
    <s v="Mumbai"/>
    <s v="2021-09-23"/>
    <x v="29"/>
    <x v="56"/>
    <x v="33"/>
    <x v="60"/>
    <x v="8"/>
    <x v="14"/>
    <n v="314"/>
    <n v="62.8"/>
    <x v="0"/>
    <x v="1"/>
    <n v="4555"/>
    <s v="Coding Club"/>
    <x v="0"/>
  </r>
  <r>
    <x v="516"/>
    <x v="135"/>
    <x v="0"/>
    <x v="6"/>
    <x v="3"/>
    <n v="12"/>
    <s v="Mumbai"/>
    <s v="2023-02-03"/>
    <x v="1"/>
    <x v="46"/>
    <x v="56"/>
    <x v="22"/>
    <x v="0"/>
    <x v="21"/>
    <n v="301"/>
    <n v="60.2"/>
    <x v="0"/>
    <x v="0"/>
    <n v="4447"/>
    <s v="Dance"/>
    <x v="0"/>
  </r>
  <r>
    <x v="517"/>
    <x v="89"/>
    <x v="0"/>
    <x v="6"/>
    <x v="0"/>
    <n v="10"/>
    <s v="Hyderabad"/>
    <s v="2022-01-22"/>
    <x v="22"/>
    <x v="13"/>
    <x v="30"/>
    <x v="36"/>
    <x v="17"/>
    <x v="11"/>
    <n v="255"/>
    <n v="51"/>
    <x v="3"/>
    <x v="0"/>
    <n v="3665"/>
    <s v="Music"/>
    <x v="1"/>
  </r>
  <r>
    <x v="518"/>
    <x v="142"/>
    <x v="1"/>
    <x v="10"/>
    <x v="2"/>
    <n v="13"/>
    <s v="Pune"/>
    <s v="2023-12-01"/>
    <x v="19"/>
    <x v="17"/>
    <x v="60"/>
    <x v="44"/>
    <x v="62"/>
    <x v="59"/>
    <n v="319"/>
    <n v="63.8"/>
    <x v="0"/>
    <x v="1"/>
    <n v="4946"/>
    <s v="Drama"/>
    <x v="0"/>
  </r>
  <r>
    <x v="519"/>
    <x v="140"/>
    <x v="0"/>
    <x v="4"/>
    <x v="3"/>
    <n v="18"/>
    <s v="Hyderabad"/>
    <s v="2025-10-26"/>
    <x v="5"/>
    <x v="50"/>
    <x v="26"/>
    <x v="50"/>
    <x v="34"/>
    <x v="64"/>
    <n v="347"/>
    <n v="69.400000000000006"/>
    <x v="0"/>
    <x v="1"/>
    <n v="4918"/>
    <s v="Dance"/>
    <x v="0"/>
  </r>
  <r>
    <x v="520"/>
    <x v="53"/>
    <x v="1"/>
    <x v="2"/>
    <x v="2"/>
    <n v="9"/>
    <s v="Madurai"/>
    <s v="2021-03-19"/>
    <x v="2"/>
    <x v="46"/>
    <x v="20"/>
    <x v="38"/>
    <x v="28"/>
    <x v="62"/>
    <n v="380"/>
    <n v="76"/>
    <x v="1"/>
    <x v="1"/>
    <n v="2861"/>
    <s v="Drama"/>
    <x v="0"/>
  </r>
  <r>
    <x v="521"/>
    <x v="139"/>
    <x v="1"/>
    <x v="2"/>
    <x v="3"/>
    <n v="8"/>
    <s v="Mumbai"/>
    <s v="2022-06-20"/>
    <x v="21"/>
    <x v="54"/>
    <x v="64"/>
    <x v="21"/>
    <x v="37"/>
    <x v="46"/>
    <n v="274"/>
    <n v="54.8"/>
    <x v="3"/>
    <x v="1"/>
    <n v="1926"/>
    <s v="Dance"/>
    <x v="1"/>
  </r>
  <r>
    <x v="522"/>
    <x v="52"/>
    <x v="0"/>
    <x v="7"/>
    <x v="1"/>
    <n v="9"/>
    <s v="Madurai"/>
    <s v="2023-03-13"/>
    <x v="20"/>
    <x v="24"/>
    <x v="5"/>
    <x v="6"/>
    <x v="12"/>
    <x v="32"/>
    <n v="425"/>
    <n v="85"/>
    <x v="2"/>
    <x v="1"/>
    <n v="3753"/>
    <s v="Drama"/>
    <x v="0"/>
  </r>
  <r>
    <x v="523"/>
    <x v="120"/>
    <x v="0"/>
    <x v="2"/>
    <x v="3"/>
    <n v="8"/>
    <s v="Hyderabad"/>
    <s v="2024-03-02"/>
    <x v="33"/>
    <x v="16"/>
    <x v="63"/>
    <x v="50"/>
    <x v="44"/>
    <x v="20"/>
    <n v="388"/>
    <n v="77.599999999999994"/>
    <x v="1"/>
    <x v="0"/>
    <n v="4186"/>
    <s v="Dance"/>
    <x v="0"/>
  </r>
  <r>
    <x v="524"/>
    <x v="124"/>
    <x v="0"/>
    <x v="4"/>
    <x v="0"/>
    <n v="18"/>
    <s v="Coimbatore"/>
    <s v="2024-01-23"/>
    <x v="34"/>
    <x v="17"/>
    <x v="23"/>
    <x v="7"/>
    <x v="45"/>
    <x v="58"/>
    <n v="321"/>
    <n v="64.2"/>
    <x v="0"/>
    <x v="0"/>
    <n v="3870"/>
    <s v="Coding Club"/>
    <x v="0"/>
  </r>
  <r>
    <x v="525"/>
    <x v="98"/>
    <x v="1"/>
    <x v="0"/>
    <x v="3"/>
    <n v="16"/>
    <s v="Chennai"/>
    <s v="2023-06-16"/>
    <x v="9"/>
    <x v="57"/>
    <x v="3"/>
    <x v="17"/>
    <x v="37"/>
    <x v="28"/>
    <n v="375"/>
    <n v="75"/>
    <x v="1"/>
    <x v="1"/>
    <n v="3427"/>
    <s v="Coding Club"/>
    <x v="0"/>
  </r>
  <r>
    <x v="526"/>
    <x v="34"/>
    <x v="0"/>
    <x v="8"/>
    <x v="3"/>
    <n v="9"/>
    <s v="Madurai"/>
    <s v="2022-12-01"/>
    <x v="1"/>
    <x v="44"/>
    <x v="14"/>
    <x v="30"/>
    <x v="38"/>
    <x v="50"/>
    <n v="322"/>
    <n v="64.400000000000006"/>
    <x v="0"/>
    <x v="1"/>
    <n v="3076"/>
    <s v="Coding Club"/>
    <x v="0"/>
  </r>
  <r>
    <x v="527"/>
    <x v="25"/>
    <x v="1"/>
    <x v="3"/>
    <x v="0"/>
    <n v="6"/>
    <s v="Madurai"/>
    <s v="2021-06-30"/>
    <x v="24"/>
    <x v="6"/>
    <x v="64"/>
    <x v="16"/>
    <x v="13"/>
    <x v="46"/>
    <n v="304"/>
    <n v="60.8"/>
    <x v="0"/>
    <x v="1"/>
    <n v="4689"/>
    <s v="Coding Club"/>
    <x v="0"/>
  </r>
  <r>
    <x v="528"/>
    <x v="39"/>
    <x v="1"/>
    <x v="6"/>
    <x v="3"/>
    <n v="10"/>
    <s v="Madurai"/>
    <s v="2025-06-03"/>
    <x v="31"/>
    <x v="59"/>
    <x v="62"/>
    <x v="4"/>
    <x v="53"/>
    <x v="51"/>
    <n v="346"/>
    <n v="69.2"/>
    <x v="0"/>
    <x v="0"/>
    <n v="2979"/>
    <s v="Sports"/>
    <x v="0"/>
  </r>
  <r>
    <x v="529"/>
    <x v="15"/>
    <x v="0"/>
    <x v="6"/>
    <x v="0"/>
    <n v="11"/>
    <s v="Pune"/>
    <s v="2023-03-21"/>
    <x v="1"/>
    <x v="36"/>
    <x v="0"/>
    <x v="16"/>
    <x v="19"/>
    <x v="60"/>
    <n v="304"/>
    <n v="60.8"/>
    <x v="0"/>
    <x v="0"/>
    <n v="4159"/>
    <s v="Music"/>
    <x v="0"/>
  </r>
  <r>
    <x v="530"/>
    <x v="79"/>
    <x v="1"/>
    <x v="1"/>
    <x v="0"/>
    <n v="14"/>
    <s v="Hyderabad"/>
    <s v="2021-11-29"/>
    <x v="30"/>
    <x v="18"/>
    <x v="28"/>
    <x v="39"/>
    <x v="47"/>
    <x v="28"/>
    <n v="354"/>
    <n v="70.8"/>
    <x v="1"/>
    <x v="1"/>
    <n v="3238"/>
    <s v="Music"/>
    <x v="0"/>
  </r>
  <r>
    <x v="531"/>
    <x v="37"/>
    <x v="1"/>
    <x v="1"/>
    <x v="3"/>
    <n v="14"/>
    <s v="Hyderabad"/>
    <s v="2022-07-14"/>
    <x v="15"/>
    <x v="33"/>
    <x v="2"/>
    <x v="6"/>
    <x v="61"/>
    <x v="10"/>
    <n v="396"/>
    <n v="79.2"/>
    <x v="1"/>
    <x v="1"/>
    <n v="2372"/>
    <s v="Sports"/>
    <x v="0"/>
  </r>
  <r>
    <x v="532"/>
    <x v="124"/>
    <x v="0"/>
    <x v="9"/>
    <x v="0"/>
    <n v="15"/>
    <s v="Chennai"/>
    <s v="2024-09-27"/>
    <x v="40"/>
    <x v="52"/>
    <x v="32"/>
    <x v="40"/>
    <x v="36"/>
    <x v="39"/>
    <n v="260"/>
    <n v="52"/>
    <x v="3"/>
    <x v="0"/>
    <n v="1839"/>
    <s v="Sports"/>
    <x v="1"/>
  </r>
  <r>
    <x v="533"/>
    <x v="107"/>
    <x v="0"/>
    <x v="4"/>
    <x v="0"/>
    <n v="18"/>
    <s v="Bangalore"/>
    <s v="2021-12-21"/>
    <x v="10"/>
    <x v="55"/>
    <x v="9"/>
    <x v="62"/>
    <x v="29"/>
    <x v="57"/>
    <n v="354"/>
    <n v="70.8"/>
    <x v="1"/>
    <x v="1"/>
    <n v="3018"/>
    <s v="Coding Club"/>
    <x v="0"/>
  </r>
  <r>
    <x v="534"/>
    <x v="34"/>
    <x v="1"/>
    <x v="6"/>
    <x v="3"/>
    <n v="10"/>
    <s v="Chennai"/>
    <s v="2023-10-09"/>
    <x v="23"/>
    <x v="50"/>
    <x v="33"/>
    <x v="46"/>
    <x v="17"/>
    <x v="1"/>
    <n v="346"/>
    <n v="69.2"/>
    <x v="0"/>
    <x v="1"/>
    <n v="4816"/>
    <s v="Music"/>
    <x v="0"/>
  </r>
  <r>
    <x v="535"/>
    <x v="65"/>
    <x v="0"/>
    <x v="0"/>
    <x v="3"/>
    <n v="16"/>
    <s v="Madurai"/>
    <s v="2024-04-03"/>
    <x v="10"/>
    <x v="27"/>
    <x v="29"/>
    <x v="55"/>
    <x v="18"/>
    <x v="24"/>
    <n v="376"/>
    <n v="75.2"/>
    <x v="1"/>
    <x v="0"/>
    <n v="2454"/>
    <s v="Coding Club"/>
    <x v="0"/>
  </r>
  <r>
    <x v="536"/>
    <x v="101"/>
    <x v="1"/>
    <x v="4"/>
    <x v="3"/>
    <n v="18"/>
    <s v="Hyderabad"/>
    <s v="2022-05-23"/>
    <x v="15"/>
    <x v="44"/>
    <x v="11"/>
    <x v="46"/>
    <x v="39"/>
    <x v="3"/>
    <n v="375"/>
    <n v="75"/>
    <x v="1"/>
    <x v="1"/>
    <n v="4886"/>
    <s v="Sports"/>
    <x v="0"/>
  </r>
  <r>
    <x v="537"/>
    <x v="70"/>
    <x v="0"/>
    <x v="1"/>
    <x v="1"/>
    <n v="13"/>
    <s v="Madurai"/>
    <s v="2021-05-17"/>
    <x v="25"/>
    <x v="12"/>
    <x v="11"/>
    <x v="10"/>
    <x v="29"/>
    <x v="62"/>
    <n v="409"/>
    <n v="81.8"/>
    <x v="2"/>
    <x v="1"/>
    <n v="4201"/>
    <s v="Drama"/>
    <x v="0"/>
  </r>
  <r>
    <x v="538"/>
    <x v="100"/>
    <x v="1"/>
    <x v="10"/>
    <x v="0"/>
    <n v="12"/>
    <s v="Bangalore"/>
    <s v="2024-06-05"/>
    <x v="38"/>
    <x v="38"/>
    <x v="50"/>
    <x v="7"/>
    <x v="48"/>
    <x v="59"/>
    <n v="357"/>
    <n v="71.400000000000006"/>
    <x v="1"/>
    <x v="1"/>
    <n v="4909"/>
    <s v="Art"/>
    <x v="0"/>
  </r>
  <r>
    <x v="539"/>
    <x v="23"/>
    <x v="0"/>
    <x v="6"/>
    <x v="0"/>
    <n v="10"/>
    <s v="Madurai"/>
    <s v="2025-09-23"/>
    <x v="24"/>
    <x v="3"/>
    <x v="34"/>
    <x v="33"/>
    <x v="56"/>
    <x v="49"/>
    <n v="352"/>
    <n v="70.400000000000006"/>
    <x v="1"/>
    <x v="0"/>
    <n v="4819"/>
    <s v="Sports"/>
    <x v="0"/>
  </r>
  <r>
    <x v="540"/>
    <x v="24"/>
    <x v="0"/>
    <x v="2"/>
    <x v="1"/>
    <n v="8"/>
    <s v="Coimbatore"/>
    <s v="2023-07-06"/>
    <x v="27"/>
    <x v="40"/>
    <x v="58"/>
    <x v="63"/>
    <x v="54"/>
    <x v="32"/>
    <n v="383"/>
    <n v="76.599999999999994"/>
    <x v="1"/>
    <x v="0"/>
    <n v="1724"/>
    <s v="Music"/>
    <x v="0"/>
  </r>
  <r>
    <x v="541"/>
    <x v="98"/>
    <x v="1"/>
    <x v="1"/>
    <x v="1"/>
    <n v="13"/>
    <s v="Bangalore"/>
    <s v="2024-02-28"/>
    <x v="22"/>
    <x v="17"/>
    <x v="23"/>
    <x v="46"/>
    <x v="62"/>
    <x v="41"/>
    <n v="359"/>
    <n v="71.8"/>
    <x v="1"/>
    <x v="0"/>
    <n v="1994"/>
    <s v="Sports"/>
    <x v="0"/>
  </r>
  <r>
    <x v="542"/>
    <x v="143"/>
    <x v="1"/>
    <x v="6"/>
    <x v="0"/>
    <n v="11"/>
    <s v="Pune"/>
    <s v="2021-07-19"/>
    <x v="24"/>
    <x v="33"/>
    <x v="42"/>
    <x v="20"/>
    <x v="61"/>
    <x v="58"/>
    <n v="338"/>
    <n v="67.599999999999994"/>
    <x v="0"/>
    <x v="0"/>
    <n v="4567"/>
    <s v="Drama"/>
    <x v="0"/>
  </r>
  <r>
    <x v="543"/>
    <x v="52"/>
    <x v="0"/>
    <x v="4"/>
    <x v="2"/>
    <n v="18"/>
    <s v="Bangalore"/>
    <s v="2021-10-07"/>
    <x v="22"/>
    <x v="12"/>
    <x v="36"/>
    <x v="22"/>
    <x v="24"/>
    <x v="17"/>
    <n v="386"/>
    <n v="77.2"/>
    <x v="1"/>
    <x v="1"/>
    <n v="3548"/>
    <s v="Drama"/>
    <x v="0"/>
  </r>
  <r>
    <x v="544"/>
    <x v="16"/>
    <x v="1"/>
    <x v="8"/>
    <x v="1"/>
    <n v="7"/>
    <s v="Pune"/>
    <s v="2024-10-08"/>
    <x v="5"/>
    <x v="41"/>
    <x v="13"/>
    <x v="34"/>
    <x v="12"/>
    <x v="46"/>
    <n v="349"/>
    <n v="69.8"/>
    <x v="0"/>
    <x v="1"/>
    <n v="3248"/>
    <s v="Coding Club"/>
    <x v="0"/>
  </r>
  <r>
    <x v="545"/>
    <x v="76"/>
    <x v="1"/>
    <x v="4"/>
    <x v="2"/>
    <n v="16"/>
    <s v="Bangalore"/>
    <s v="2021-02-15"/>
    <x v="0"/>
    <x v="25"/>
    <x v="55"/>
    <x v="14"/>
    <x v="25"/>
    <x v="56"/>
    <n v="308"/>
    <n v="61.6"/>
    <x v="0"/>
    <x v="0"/>
    <n v="2461"/>
    <s v="Sports"/>
    <x v="0"/>
  </r>
  <r>
    <x v="546"/>
    <x v="141"/>
    <x v="1"/>
    <x v="9"/>
    <x v="0"/>
    <n v="14"/>
    <s v="Pune"/>
    <s v="2024-06-08"/>
    <x v="37"/>
    <x v="39"/>
    <x v="3"/>
    <x v="39"/>
    <x v="2"/>
    <x v="58"/>
    <n v="326"/>
    <n v="65.2"/>
    <x v="0"/>
    <x v="1"/>
    <n v="2324"/>
    <s v="Music"/>
    <x v="0"/>
  </r>
  <r>
    <x v="547"/>
    <x v="78"/>
    <x v="0"/>
    <x v="1"/>
    <x v="1"/>
    <n v="13"/>
    <s v="Hyderabad"/>
    <s v="2021-05-19"/>
    <x v="6"/>
    <x v="34"/>
    <x v="45"/>
    <x v="3"/>
    <x v="39"/>
    <x v="21"/>
    <n v="344"/>
    <n v="68.8"/>
    <x v="0"/>
    <x v="0"/>
    <n v="3624"/>
    <s v="Sports"/>
    <x v="0"/>
  </r>
  <r>
    <x v="548"/>
    <x v="10"/>
    <x v="1"/>
    <x v="0"/>
    <x v="3"/>
    <n v="14"/>
    <s v="Pune"/>
    <s v="2024-01-30"/>
    <x v="4"/>
    <x v="48"/>
    <x v="18"/>
    <x v="29"/>
    <x v="65"/>
    <x v="41"/>
    <n v="379"/>
    <n v="75.8"/>
    <x v="1"/>
    <x v="0"/>
    <n v="4475"/>
    <s v="Art"/>
    <x v="0"/>
  </r>
  <r>
    <x v="549"/>
    <x v="14"/>
    <x v="0"/>
    <x v="8"/>
    <x v="0"/>
    <n v="9"/>
    <s v="Hyderabad"/>
    <s v="2024-06-26"/>
    <x v="16"/>
    <x v="57"/>
    <x v="0"/>
    <x v="13"/>
    <x v="45"/>
    <x v="48"/>
    <n v="307"/>
    <n v="61.4"/>
    <x v="0"/>
    <x v="0"/>
    <n v="3079"/>
    <s v="Art"/>
    <x v="0"/>
  </r>
  <r>
    <x v="550"/>
    <x v="70"/>
    <x v="0"/>
    <x v="0"/>
    <x v="2"/>
    <n v="14"/>
    <s v="Mumbai"/>
    <s v="2024-07-11"/>
    <x v="24"/>
    <x v="26"/>
    <x v="62"/>
    <x v="34"/>
    <x v="50"/>
    <x v="42"/>
    <n v="295"/>
    <n v="59"/>
    <x v="3"/>
    <x v="0"/>
    <n v="2031"/>
    <s v="Drama"/>
    <x v="0"/>
  </r>
  <r>
    <x v="551"/>
    <x v="20"/>
    <x v="1"/>
    <x v="4"/>
    <x v="1"/>
    <n v="16"/>
    <s v="Pune"/>
    <s v="2021-09-12"/>
    <x v="3"/>
    <x v="31"/>
    <x v="29"/>
    <x v="28"/>
    <x v="11"/>
    <x v="53"/>
    <n v="358"/>
    <n v="71.599999999999994"/>
    <x v="1"/>
    <x v="1"/>
    <n v="2648"/>
    <s v="Dance"/>
    <x v="0"/>
  </r>
  <r>
    <x v="552"/>
    <x v="38"/>
    <x v="0"/>
    <x v="11"/>
    <x v="3"/>
    <n v="17"/>
    <s v="Madurai"/>
    <s v="2022-03-23"/>
    <x v="14"/>
    <x v="39"/>
    <x v="2"/>
    <x v="2"/>
    <x v="62"/>
    <x v="31"/>
    <n v="283"/>
    <n v="56.6"/>
    <x v="3"/>
    <x v="1"/>
    <n v="2702"/>
    <s v="Coding Club"/>
    <x v="0"/>
  </r>
  <r>
    <x v="553"/>
    <x v="96"/>
    <x v="0"/>
    <x v="3"/>
    <x v="2"/>
    <n v="6"/>
    <s v="Pune"/>
    <s v="2025-05-05"/>
    <x v="10"/>
    <x v="34"/>
    <x v="19"/>
    <x v="36"/>
    <x v="15"/>
    <x v="60"/>
    <n v="340"/>
    <n v="68"/>
    <x v="0"/>
    <x v="0"/>
    <n v="4696"/>
    <s v="Drama"/>
    <x v="0"/>
  </r>
  <r>
    <x v="554"/>
    <x v="102"/>
    <x v="0"/>
    <x v="10"/>
    <x v="0"/>
    <n v="12"/>
    <s v="Hyderabad"/>
    <s v="2024-05-18"/>
    <x v="22"/>
    <x v="2"/>
    <x v="12"/>
    <x v="13"/>
    <x v="43"/>
    <x v="42"/>
    <n v="414"/>
    <n v="82.8"/>
    <x v="2"/>
    <x v="1"/>
    <n v="1940"/>
    <s v="Drama"/>
    <x v="0"/>
  </r>
  <r>
    <x v="555"/>
    <x v="143"/>
    <x v="1"/>
    <x v="8"/>
    <x v="2"/>
    <n v="9"/>
    <s v="Mumbai"/>
    <s v="2024-05-26"/>
    <x v="4"/>
    <x v="31"/>
    <x v="23"/>
    <x v="10"/>
    <x v="60"/>
    <x v="33"/>
    <n v="373"/>
    <n v="74.599999999999994"/>
    <x v="1"/>
    <x v="0"/>
    <n v="2616"/>
    <s v="Art"/>
    <x v="0"/>
  </r>
  <r>
    <x v="556"/>
    <x v="144"/>
    <x v="1"/>
    <x v="8"/>
    <x v="2"/>
    <n v="9"/>
    <s v="Mumbai"/>
    <s v="2022-01-24"/>
    <x v="27"/>
    <x v="50"/>
    <x v="35"/>
    <x v="17"/>
    <x v="63"/>
    <x v="11"/>
    <n v="355"/>
    <n v="71"/>
    <x v="1"/>
    <x v="0"/>
    <n v="2597"/>
    <s v="Art"/>
    <x v="0"/>
  </r>
  <r>
    <x v="557"/>
    <x v="100"/>
    <x v="1"/>
    <x v="1"/>
    <x v="3"/>
    <n v="14"/>
    <s v="Chennai"/>
    <s v="2024-07-25"/>
    <x v="12"/>
    <x v="58"/>
    <x v="10"/>
    <x v="65"/>
    <x v="2"/>
    <x v="50"/>
    <n v="286"/>
    <n v="57.2"/>
    <x v="3"/>
    <x v="0"/>
    <n v="4452"/>
    <s v="Coding Club"/>
    <x v="0"/>
  </r>
  <r>
    <x v="558"/>
    <x v="2"/>
    <x v="0"/>
    <x v="3"/>
    <x v="3"/>
    <n v="6"/>
    <s v="Madurai"/>
    <s v="2023-12-17"/>
    <x v="23"/>
    <x v="43"/>
    <x v="6"/>
    <x v="29"/>
    <x v="35"/>
    <x v="23"/>
    <n v="338"/>
    <n v="67.599999999999994"/>
    <x v="0"/>
    <x v="0"/>
    <n v="4465"/>
    <s v="Coding Club"/>
    <x v="0"/>
  </r>
  <r>
    <x v="559"/>
    <x v="139"/>
    <x v="0"/>
    <x v="10"/>
    <x v="2"/>
    <n v="13"/>
    <s v="Mumbai"/>
    <s v="2022-03-20"/>
    <x v="5"/>
    <x v="29"/>
    <x v="41"/>
    <x v="36"/>
    <x v="29"/>
    <x v="63"/>
    <n v="308"/>
    <n v="61.6"/>
    <x v="0"/>
    <x v="1"/>
    <n v="3533"/>
    <s v="Drama"/>
    <x v="0"/>
  </r>
  <r>
    <x v="560"/>
    <x v="122"/>
    <x v="1"/>
    <x v="7"/>
    <x v="1"/>
    <n v="10"/>
    <s v="Hyderabad"/>
    <s v="2024-02-14"/>
    <x v="0"/>
    <x v="32"/>
    <x v="53"/>
    <x v="57"/>
    <x v="35"/>
    <x v="38"/>
    <n v="306"/>
    <n v="61.2"/>
    <x v="0"/>
    <x v="0"/>
    <n v="3423"/>
    <s v="Music"/>
    <x v="0"/>
  </r>
  <r>
    <x v="561"/>
    <x v="36"/>
    <x v="1"/>
    <x v="8"/>
    <x v="3"/>
    <n v="9"/>
    <s v="Coimbatore"/>
    <s v="2025-10-28"/>
    <x v="21"/>
    <x v="38"/>
    <x v="30"/>
    <x v="28"/>
    <x v="34"/>
    <x v="28"/>
    <n v="345"/>
    <n v="69"/>
    <x v="0"/>
    <x v="0"/>
    <n v="1963"/>
    <s v="Sports"/>
    <x v="0"/>
  </r>
  <r>
    <x v="562"/>
    <x v="144"/>
    <x v="0"/>
    <x v="9"/>
    <x v="0"/>
    <n v="14"/>
    <s v="Bangalore"/>
    <s v="2021-06-05"/>
    <x v="38"/>
    <x v="12"/>
    <x v="53"/>
    <x v="55"/>
    <x v="8"/>
    <x v="29"/>
    <n v="382"/>
    <n v="76.400000000000006"/>
    <x v="1"/>
    <x v="1"/>
    <n v="3863"/>
    <s v="Art"/>
    <x v="0"/>
  </r>
  <r>
    <x v="563"/>
    <x v="38"/>
    <x v="1"/>
    <x v="6"/>
    <x v="0"/>
    <n v="12"/>
    <s v="Chennai"/>
    <s v="2022-02-25"/>
    <x v="24"/>
    <x v="21"/>
    <x v="3"/>
    <x v="43"/>
    <x v="12"/>
    <x v="8"/>
    <n v="398"/>
    <n v="79.599999999999994"/>
    <x v="1"/>
    <x v="0"/>
    <n v="1627"/>
    <s v="Dance"/>
    <x v="0"/>
  </r>
  <r>
    <x v="564"/>
    <x v="52"/>
    <x v="0"/>
    <x v="6"/>
    <x v="2"/>
    <n v="11"/>
    <s v="Pune"/>
    <s v="2021-07-12"/>
    <x v="40"/>
    <x v="54"/>
    <x v="13"/>
    <x v="9"/>
    <x v="24"/>
    <x v="22"/>
    <n v="357"/>
    <n v="71.400000000000006"/>
    <x v="1"/>
    <x v="1"/>
    <n v="2764"/>
    <s v="Music"/>
    <x v="0"/>
  </r>
  <r>
    <x v="565"/>
    <x v="79"/>
    <x v="1"/>
    <x v="3"/>
    <x v="1"/>
    <n v="7"/>
    <s v="Pune"/>
    <s v="2022-10-20"/>
    <x v="3"/>
    <x v="38"/>
    <x v="50"/>
    <x v="54"/>
    <x v="35"/>
    <x v="3"/>
    <n v="345"/>
    <n v="69"/>
    <x v="0"/>
    <x v="0"/>
    <n v="4248"/>
    <s v="Drama"/>
    <x v="0"/>
  </r>
  <r>
    <x v="566"/>
    <x v="106"/>
    <x v="1"/>
    <x v="2"/>
    <x v="1"/>
    <n v="10"/>
    <s v="Pune"/>
    <s v="2022-11-21"/>
    <x v="32"/>
    <x v="42"/>
    <x v="53"/>
    <x v="14"/>
    <x v="60"/>
    <x v="37"/>
    <n v="371"/>
    <n v="74.2"/>
    <x v="1"/>
    <x v="1"/>
    <n v="4794"/>
    <s v="Sports"/>
    <x v="0"/>
  </r>
  <r>
    <x v="567"/>
    <x v="136"/>
    <x v="1"/>
    <x v="1"/>
    <x v="2"/>
    <n v="12"/>
    <s v="Mumbai"/>
    <s v="2025-03-15"/>
    <x v="10"/>
    <x v="39"/>
    <x v="6"/>
    <x v="46"/>
    <x v="57"/>
    <x v="35"/>
    <n v="344"/>
    <n v="68.8"/>
    <x v="0"/>
    <x v="0"/>
    <n v="3975"/>
    <s v="Dance"/>
    <x v="0"/>
  </r>
  <r>
    <x v="568"/>
    <x v="101"/>
    <x v="1"/>
    <x v="5"/>
    <x v="3"/>
    <n v="8"/>
    <s v="Chennai"/>
    <s v="2024-10-15"/>
    <x v="30"/>
    <x v="18"/>
    <x v="51"/>
    <x v="1"/>
    <x v="61"/>
    <x v="6"/>
    <n v="297"/>
    <n v="59.4"/>
    <x v="3"/>
    <x v="0"/>
    <n v="2214"/>
    <s v="Coding Club"/>
    <x v="0"/>
  </r>
  <r>
    <x v="569"/>
    <x v="70"/>
    <x v="0"/>
    <x v="2"/>
    <x v="2"/>
    <n v="10"/>
    <s v="Coimbatore"/>
    <s v="2024-06-23"/>
    <x v="13"/>
    <x v="27"/>
    <x v="33"/>
    <x v="33"/>
    <x v="5"/>
    <x v="39"/>
    <n v="282"/>
    <n v="56.4"/>
    <x v="3"/>
    <x v="1"/>
    <n v="3871"/>
    <s v="Drama"/>
    <x v="0"/>
  </r>
  <r>
    <x v="570"/>
    <x v="88"/>
    <x v="1"/>
    <x v="8"/>
    <x v="3"/>
    <n v="8"/>
    <s v="Madurai"/>
    <s v="2024-12-14"/>
    <x v="4"/>
    <x v="38"/>
    <x v="35"/>
    <x v="42"/>
    <x v="0"/>
    <x v="9"/>
    <n v="312"/>
    <n v="62.4"/>
    <x v="0"/>
    <x v="0"/>
    <n v="4210"/>
    <s v="Sports"/>
    <x v="0"/>
  </r>
  <r>
    <x v="571"/>
    <x v="133"/>
    <x v="0"/>
    <x v="2"/>
    <x v="1"/>
    <n v="9"/>
    <s v="Chennai"/>
    <s v="2023-05-20"/>
    <x v="22"/>
    <x v="3"/>
    <x v="18"/>
    <x v="28"/>
    <x v="11"/>
    <x v="36"/>
    <n v="351"/>
    <n v="70.2"/>
    <x v="1"/>
    <x v="1"/>
    <n v="4427"/>
    <s v="Coding Club"/>
    <x v="0"/>
  </r>
  <r>
    <x v="572"/>
    <x v="59"/>
    <x v="0"/>
    <x v="5"/>
    <x v="2"/>
    <n v="6"/>
    <s v="Pune"/>
    <s v="2022-10-31"/>
    <x v="33"/>
    <x v="61"/>
    <x v="33"/>
    <x v="54"/>
    <x v="28"/>
    <x v="37"/>
    <n v="350"/>
    <n v="70"/>
    <x v="1"/>
    <x v="0"/>
    <n v="1927"/>
    <s v="Coding Club"/>
    <x v="0"/>
  </r>
  <r>
    <x v="573"/>
    <x v="122"/>
    <x v="0"/>
    <x v="3"/>
    <x v="2"/>
    <n v="7"/>
    <s v="Bangalore"/>
    <s v="2024-01-07"/>
    <x v="25"/>
    <x v="36"/>
    <x v="23"/>
    <x v="26"/>
    <x v="33"/>
    <x v="6"/>
    <n v="299"/>
    <n v="59.8"/>
    <x v="3"/>
    <x v="0"/>
    <n v="3140"/>
    <s v="Sports"/>
    <x v="0"/>
  </r>
  <r>
    <x v="574"/>
    <x v="144"/>
    <x v="1"/>
    <x v="11"/>
    <x v="2"/>
    <n v="15"/>
    <s v="Pune"/>
    <s v="2023-02-16"/>
    <x v="39"/>
    <x v="19"/>
    <x v="42"/>
    <x v="17"/>
    <x v="61"/>
    <x v="59"/>
    <n v="392"/>
    <n v="78.400000000000006"/>
    <x v="1"/>
    <x v="0"/>
    <n v="2492"/>
    <s v="Coding Club"/>
    <x v="0"/>
  </r>
  <r>
    <x v="575"/>
    <x v="44"/>
    <x v="0"/>
    <x v="8"/>
    <x v="0"/>
    <n v="9"/>
    <s v="Mumbai"/>
    <s v="2024-06-27"/>
    <x v="19"/>
    <x v="27"/>
    <x v="50"/>
    <x v="6"/>
    <x v="43"/>
    <x v="13"/>
    <n v="342"/>
    <n v="68.400000000000006"/>
    <x v="0"/>
    <x v="1"/>
    <n v="3917"/>
    <s v="Music"/>
    <x v="0"/>
  </r>
  <r>
    <x v="576"/>
    <x v="100"/>
    <x v="0"/>
    <x v="7"/>
    <x v="1"/>
    <n v="10"/>
    <s v="Bangalore"/>
    <s v="2024-02-01"/>
    <x v="15"/>
    <x v="43"/>
    <x v="15"/>
    <x v="36"/>
    <x v="54"/>
    <x v="65"/>
    <n v="309"/>
    <n v="61.8"/>
    <x v="0"/>
    <x v="0"/>
    <n v="4906"/>
    <s v="Art"/>
    <x v="0"/>
  </r>
  <r>
    <x v="577"/>
    <x v="110"/>
    <x v="1"/>
    <x v="5"/>
    <x v="0"/>
    <n v="6"/>
    <s v="Bangalore"/>
    <s v="2023-10-19"/>
    <x v="38"/>
    <x v="17"/>
    <x v="62"/>
    <x v="33"/>
    <x v="59"/>
    <x v="1"/>
    <n v="377"/>
    <n v="75.400000000000006"/>
    <x v="1"/>
    <x v="1"/>
    <n v="3957"/>
    <s v="Music"/>
    <x v="0"/>
  </r>
  <r>
    <x v="578"/>
    <x v="82"/>
    <x v="1"/>
    <x v="1"/>
    <x v="0"/>
    <n v="12"/>
    <s v="Hyderabad"/>
    <s v="2023-08-05"/>
    <x v="36"/>
    <x v="45"/>
    <x v="25"/>
    <x v="54"/>
    <x v="1"/>
    <x v="47"/>
    <n v="397"/>
    <n v="79.400000000000006"/>
    <x v="1"/>
    <x v="0"/>
    <n v="3452"/>
    <s v="Art"/>
    <x v="0"/>
  </r>
  <r>
    <x v="579"/>
    <x v="36"/>
    <x v="1"/>
    <x v="9"/>
    <x v="2"/>
    <n v="13"/>
    <s v="Hyderabad"/>
    <s v="2022-03-08"/>
    <x v="2"/>
    <x v="14"/>
    <x v="1"/>
    <x v="15"/>
    <x v="56"/>
    <x v="41"/>
    <n v="346"/>
    <n v="69.2"/>
    <x v="0"/>
    <x v="1"/>
    <n v="1792"/>
    <s v="Music"/>
    <x v="0"/>
  </r>
  <r>
    <x v="580"/>
    <x v="43"/>
    <x v="1"/>
    <x v="4"/>
    <x v="1"/>
    <n v="18"/>
    <s v="Coimbatore"/>
    <s v="2025-11-05"/>
    <x v="9"/>
    <x v="10"/>
    <x v="34"/>
    <x v="16"/>
    <x v="53"/>
    <x v="54"/>
    <n v="311"/>
    <n v="62.2"/>
    <x v="0"/>
    <x v="0"/>
    <n v="2676"/>
    <s v="Drama"/>
    <x v="0"/>
  </r>
  <r>
    <x v="581"/>
    <x v="12"/>
    <x v="0"/>
    <x v="7"/>
    <x v="1"/>
    <n v="10"/>
    <s v="Mumbai"/>
    <s v="2023-01-09"/>
    <x v="24"/>
    <x v="61"/>
    <x v="23"/>
    <x v="58"/>
    <x v="7"/>
    <x v="11"/>
    <n v="290"/>
    <n v="58"/>
    <x v="3"/>
    <x v="1"/>
    <n v="2623"/>
    <s v="Sports"/>
    <x v="0"/>
  </r>
  <r>
    <x v="582"/>
    <x v="145"/>
    <x v="0"/>
    <x v="6"/>
    <x v="0"/>
    <n v="12"/>
    <s v="Chennai"/>
    <s v="2021-02-25"/>
    <x v="10"/>
    <x v="23"/>
    <x v="41"/>
    <x v="5"/>
    <x v="47"/>
    <x v="3"/>
    <n v="381"/>
    <n v="76.2"/>
    <x v="1"/>
    <x v="1"/>
    <n v="1944"/>
    <s v="Music"/>
    <x v="0"/>
  </r>
  <r>
    <x v="583"/>
    <x v="97"/>
    <x v="0"/>
    <x v="11"/>
    <x v="1"/>
    <n v="16"/>
    <s v="Hyderabad"/>
    <s v="2022-03-12"/>
    <x v="32"/>
    <x v="31"/>
    <x v="10"/>
    <x v="45"/>
    <x v="57"/>
    <x v="14"/>
    <n v="273"/>
    <n v="54.6"/>
    <x v="3"/>
    <x v="1"/>
    <n v="3928"/>
    <s v="Drama"/>
    <x v="1"/>
  </r>
  <r>
    <x v="584"/>
    <x v="28"/>
    <x v="0"/>
    <x v="10"/>
    <x v="2"/>
    <n v="11"/>
    <s v="Madurai"/>
    <s v="2025-08-08"/>
    <x v="20"/>
    <x v="13"/>
    <x v="39"/>
    <x v="32"/>
    <x v="10"/>
    <x v="61"/>
    <n v="374"/>
    <n v="74.8"/>
    <x v="1"/>
    <x v="0"/>
    <n v="1983"/>
    <s v="Art"/>
    <x v="0"/>
  </r>
  <r>
    <x v="585"/>
    <x v="84"/>
    <x v="0"/>
    <x v="11"/>
    <x v="3"/>
    <n v="15"/>
    <s v="Hyderabad"/>
    <s v="2021-09-01"/>
    <x v="11"/>
    <x v="32"/>
    <x v="46"/>
    <x v="17"/>
    <x v="59"/>
    <x v="19"/>
    <n v="378"/>
    <n v="75.599999999999994"/>
    <x v="1"/>
    <x v="1"/>
    <n v="4215"/>
    <s v="Coding Club"/>
    <x v="0"/>
  </r>
  <r>
    <x v="586"/>
    <x v="93"/>
    <x v="1"/>
    <x v="1"/>
    <x v="0"/>
    <n v="14"/>
    <s v="Mumbai"/>
    <s v="2022-06-10"/>
    <x v="9"/>
    <x v="45"/>
    <x v="22"/>
    <x v="25"/>
    <x v="49"/>
    <x v="35"/>
    <n v="339"/>
    <n v="67.8"/>
    <x v="0"/>
    <x v="0"/>
    <n v="1942"/>
    <s v="Sports"/>
    <x v="0"/>
  </r>
  <r>
    <x v="587"/>
    <x v="65"/>
    <x v="0"/>
    <x v="8"/>
    <x v="3"/>
    <n v="7"/>
    <s v="Chennai"/>
    <s v="2022-05-13"/>
    <x v="4"/>
    <x v="40"/>
    <x v="30"/>
    <x v="37"/>
    <x v="34"/>
    <x v="44"/>
    <n v="280"/>
    <n v="56"/>
    <x v="3"/>
    <x v="0"/>
    <n v="3371"/>
    <s v="Drama"/>
    <x v="0"/>
  </r>
  <r>
    <x v="588"/>
    <x v="34"/>
    <x v="0"/>
    <x v="11"/>
    <x v="3"/>
    <n v="17"/>
    <s v="Madurai"/>
    <s v="2023-09-22"/>
    <x v="1"/>
    <x v="5"/>
    <x v="51"/>
    <x v="62"/>
    <x v="29"/>
    <x v="16"/>
    <n v="360"/>
    <n v="72"/>
    <x v="1"/>
    <x v="0"/>
    <n v="2531"/>
    <s v="Art"/>
    <x v="0"/>
  </r>
  <r>
    <x v="589"/>
    <x v="109"/>
    <x v="1"/>
    <x v="4"/>
    <x v="3"/>
    <n v="18"/>
    <s v="Mumbai"/>
    <s v="2021-08-07"/>
    <x v="40"/>
    <x v="50"/>
    <x v="4"/>
    <x v="13"/>
    <x v="18"/>
    <x v="26"/>
    <n v="384"/>
    <n v="76.8"/>
    <x v="1"/>
    <x v="1"/>
    <n v="2062"/>
    <s v="Art"/>
    <x v="0"/>
  </r>
  <r>
    <x v="590"/>
    <x v="5"/>
    <x v="1"/>
    <x v="9"/>
    <x v="0"/>
    <n v="15"/>
    <s v="Bangalore"/>
    <s v="2023-09-16"/>
    <x v="29"/>
    <x v="43"/>
    <x v="2"/>
    <x v="57"/>
    <x v="22"/>
    <x v="33"/>
    <n v="407"/>
    <n v="81.400000000000006"/>
    <x v="2"/>
    <x v="1"/>
    <n v="4126"/>
    <s v="Music"/>
    <x v="0"/>
  </r>
  <r>
    <x v="591"/>
    <x v="76"/>
    <x v="1"/>
    <x v="11"/>
    <x v="2"/>
    <n v="15"/>
    <s v="Chennai"/>
    <s v="2024-07-24"/>
    <x v="39"/>
    <x v="41"/>
    <x v="25"/>
    <x v="49"/>
    <x v="0"/>
    <x v="18"/>
    <n v="295"/>
    <n v="59"/>
    <x v="3"/>
    <x v="0"/>
    <n v="1688"/>
    <s v="Dance"/>
    <x v="0"/>
  </r>
  <r>
    <x v="592"/>
    <x v="86"/>
    <x v="1"/>
    <x v="3"/>
    <x v="2"/>
    <n v="7"/>
    <s v="Hyderabad"/>
    <s v="2022-02-14"/>
    <x v="28"/>
    <x v="55"/>
    <x v="6"/>
    <x v="44"/>
    <x v="59"/>
    <x v="63"/>
    <n v="324"/>
    <n v="64.8"/>
    <x v="0"/>
    <x v="0"/>
    <n v="3385"/>
    <s v="Dance"/>
    <x v="0"/>
  </r>
  <r>
    <x v="593"/>
    <x v="66"/>
    <x v="0"/>
    <x v="6"/>
    <x v="0"/>
    <n v="11"/>
    <s v="Hyderabad"/>
    <s v="2023-05-27"/>
    <x v="21"/>
    <x v="20"/>
    <x v="60"/>
    <x v="65"/>
    <x v="47"/>
    <x v="55"/>
    <n v="358"/>
    <n v="71.599999999999994"/>
    <x v="1"/>
    <x v="0"/>
    <n v="2983"/>
    <s v="Sports"/>
    <x v="0"/>
  </r>
  <r>
    <x v="594"/>
    <x v="102"/>
    <x v="0"/>
    <x v="2"/>
    <x v="3"/>
    <n v="8"/>
    <s v="Bangalore"/>
    <s v="2024-10-11"/>
    <x v="31"/>
    <x v="60"/>
    <x v="27"/>
    <x v="49"/>
    <x v="11"/>
    <x v="12"/>
    <n v="331"/>
    <n v="66.2"/>
    <x v="0"/>
    <x v="0"/>
    <n v="4573"/>
    <s v="Drama"/>
    <x v="0"/>
  </r>
  <r>
    <x v="595"/>
    <x v="64"/>
    <x v="0"/>
    <x v="11"/>
    <x v="3"/>
    <n v="16"/>
    <s v="Madurai"/>
    <s v="2024-09-09"/>
    <x v="23"/>
    <x v="64"/>
    <x v="14"/>
    <x v="65"/>
    <x v="0"/>
    <x v="45"/>
    <n v="291"/>
    <n v="58.2"/>
    <x v="3"/>
    <x v="0"/>
    <n v="1698"/>
    <s v="Dance"/>
    <x v="0"/>
  </r>
  <r>
    <x v="596"/>
    <x v="51"/>
    <x v="1"/>
    <x v="1"/>
    <x v="2"/>
    <n v="12"/>
    <s v="Bangalore"/>
    <s v="2023-12-02"/>
    <x v="26"/>
    <x v="19"/>
    <x v="51"/>
    <x v="53"/>
    <x v="57"/>
    <x v="11"/>
    <n v="287"/>
    <n v="57.4"/>
    <x v="3"/>
    <x v="0"/>
    <n v="2274"/>
    <s v="Music"/>
    <x v="0"/>
  </r>
  <r>
    <x v="597"/>
    <x v="144"/>
    <x v="1"/>
    <x v="3"/>
    <x v="1"/>
    <n v="6"/>
    <s v="Pune"/>
    <s v="2024-09-26"/>
    <x v="26"/>
    <x v="62"/>
    <x v="47"/>
    <x v="51"/>
    <x v="40"/>
    <x v="9"/>
    <n v="299"/>
    <n v="59.8"/>
    <x v="3"/>
    <x v="1"/>
    <n v="1888"/>
    <s v="Sports"/>
    <x v="0"/>
  </r>
  <r>
    <x v="598"/>
    <x v="24"/>
    <x v="1"/>
    <x v="2"/>
    <x v="3"/>
    <n v="9"/>
    <s v="Hyderabad"/>
    <s v="2025-01-29"/>
    <x v="31"/>
    <x v="27"/>
    <x v="14"/>
    <x v="19"/>
    <x v="56"/>
    <x v="16"/>
    <n v="343"/>
    <n v="68.599999999999994"/>
    <x v="0"/>
    <x v="1"/>
    <n v="4346"/>
    <s v="Sports"/>
    <x v="0"/>
  </r>
  <r>
    <x v="599"/>
    <x v="56"/>
    <x v="1"/>
    <x v="5"/>
    <x v="0"/>
    <n v="6"/>
    <s v="Pune"/>
    <s v="2024-02-25"/>
    <x v="12"/>
    <x v="9"/>
    <x v="31"/>
    <x v="19"/>
    <x v="27"/>
    <x v="49"/>
    <n v="364"/>
    <n v="72.8"/>
    <x v="1"/>
    <x v="0"/>
    <n v="3394"/>
    <s v="Drama"/>
    <x v="0"/>
  </r>
  <r>
    <x v="600"/>
    <x v="94"/>
    <x v="0"/>
    <x v="2"/>
    <x v="0"/>
    <n v="8"/>
    <s v="Madurai"/>
    <s v="2021-06-04"/>
    <x v="14"/>
    <x v="56"/>
    <x v="34"/>
    <x v="20"/>
    <x v="3"/>
    <x v="8"/>
    <n v="341"/>
    <n v="68.2"/>
    <x v="0"/>
    <x v="0"/>
    <n v="3786"/>
    <s v="Drama"/>
    <x v="0"/>
  </r>
  <r>
    <x v="601"/>
    <x v="77"/>
    <x v="0"/>
    <x v="10"/>
    <x v="2"/>
    <n v="11"/>
    <s v="Bangalore"/>
    <s v="2025-01-08"/>
    <x v="14"/>
    <x v="40"/>
    <x v="10"/>
    <x v="39"/>
    <x v="53"/>
    <x v="20"/>
    <n v="312"/>
    <n v="62.4"/>
    <x v="0"/>
    <x v="0"/>
    <n v="1650"/>
    <s v="Art"/>
    <x v="0"/>
  </r>
  <r>
    <x v="602"/>
    <x v="2"/>
    <x v="0"/>
    <x v="5"/>
    <x v="3"/>
    <n v="8"/>
    <s v="Hyderabad"/>
    <s v="2023-07-13"/>
    <x v="15"/>
    <x v="16"/>
    <x v="46"/>
    <x v="60"/>
    <x v="10"/>
    <x v="31"/>
    <n v="355"/>
    <n v="71"/>
    <x v="1"/>
    <x v="0"/>
    <n v="3370"/>
    <s v="Drama"/>
    <x v="0"/>
  </r>
  <r>
    <x v="603"/>
    <x v="97"/>
    <x v="0"/>
    <x v="2"/>
    <x v="1"/>
    <n v="10"/>
    <s v="Madurai"/>
    <s v="2023-11-02"/>
    <x v="12"/>
    <x v="43"/>
    <x v="48"/>
    <x v="62"/>
    <x v="7"/>
    <x v="53"/>
    <n v="383"/>
    <n v="76.599999999999994"/>
    <x v="1"/>
    <x v="0"/>
    <n v="2354"/>
    <s v="Dance"/>
    <x v="0"/>
  </r>
  <r>
    <x v="604"/>
    <x v="60"/>
    <x v="0"/>
    <x v="11"/>
    <x v="1"/>
    <n v="16"/>
    <s v="Madurai"/>
    <s v="2023-03-30"/>
    <x v="16"/>
    <x v="16"/>
    <x v="55"/>
    <x v="16"/>
    <x v="28"/>
    <x v="24"/>
    <n v="309"/>
    <n v="61.8"/>
    <x v="0"/>
    <x v="0"/>
    <n v="4720"/>
    <s v="Sports"/>
    <x v="0"/>
  </r>
  <r>
    <x v="605"/>
    <x v="47"/>
    <x v="0"/>
    <x v="0"/>
    <x v="0"/>
    <n v="15"/>
    <s v="Madurai"/>
    <s v="2021-11-12"/>
    <x v="17"/>
    <x v="37"/>
    <x v="4"/>
    <x v="40"/>
    <x v="6"/>
    <x v="52"/>
    <n v="324"/>
    <n v="64.8"/>
    <x v="0"/>
    <x v="1"/>
    <n v="1836"/>
    <s v="Drama"/>
    <x v="0"/>
  </r>
  <r>
    <x v="606"/>
    <x v="120"/>
    <x v="1"/>
    <x v="11"/>
    <x v="1"/>
    <n v="17"/>
    <s v="Hyderabad"/>
    <s v="2024-05-01"/>
    <x v="4"/>
    <x v="4"/>
    <x v="33"/>
    <x v="5"/>
    <x v="49"/>
    <x v="12"/>
    <n v="325"/>
    <n v="65"/>
    <x v="0"/>
    <x v="0"/>
    <n v="3817"/>
    <s v="Coding Club"/>
    <x v="0"/>
  </r>
  <r>
    <x v="607"/>
    <x v="40"/>
    <x v="1"/>
    <x v="10"/>
    <x v="2"/>
    <n v="11"/>
    <s v="Hyderabad"/>
    <s v="2024-09-03"/>
    <x v="7"/>
    <x v="18"/>
    <x v="4"/>
    <x v="20"/>
    <x v="23"/>
    <x v="47"/>
    <n v="366"/>
    <n v="73.2"/>
    <x v="1"/>
    <x v="0"/>
    <n v="2130"/>
    <s v="Music"/>
    <x v="0"/>
  </r>
  <r>
    <x v="608"/>
    <x v="146"/>
    <x v="0"/>
    <x v="5"/>
    <x v="0"/>
    <n v="8"/>
    <s v="Chennai"/>
    <s v="2023-04-17"/>
    <x v="34"/>
    <x v="15"/>
    <x v="23"/>
    <x v="18"/>
    <x v="26"/>
    <x v="12"/>
    <n v="397"/>
    <n v="79.400000000000006"/>
    <x v="1"/>
    <x v="1"/>
    <n v="1788"/>
    <s v="Art"/>
    <x v="0"/>
  </r>
  <r>
    <x v="609"/>
    <x v="1"/>
    <x v="1"/>
    <x v="9"/>
    <x v="1"/>
    <n v="14"/>
    <s v="Chennai"/>
    <s v="2025-04-28"/>
    <x v="6"/>
    <x v="43"/>
    <x v="17"/>
    <x v="59"/>
    <x v="27"/>
    <x v="2"/>
    <n v="330"/>
    <n v="66"/>
    <x v="0"/>
    <x v="0"/>
    <n v="2126"/>
    <s v="Sports"/>
    <x v="0"/>
  </r>
  <r>
    <x v="610"/>
    <x v="111"/>
    <x v="1"/>
    <x v="5"/>
    <x v="3"/>
    <n v="7"/>
    <s v="Hyderabad"/>
    <s v="2025-11-28"/>
    <x v="30"/>
    <x v="35"/>
    <x v="2"/>
    <x v="51"/>
    <x v="24"/>
    <x v="44"/>
    <n v="309"/>
    <n v="61.8"/>
    <x v="0"/>
    <x v="0"/>
    <n v="2142"/>
    <s v="Sports"/>
    <x v="0"/>
  </r>
  <r>
    <x v="611"/>
    <x v="57"/>
    <x v="0"/>
    <x v="10"/>
    <x v="3"/>
    <n v="11"/>
    <s v="Mumbai"/>
    <s v="2021-04-13"/>
    <x v="39"/>
    <x v="10"/>
    <x v="28"/>
    <x v="63"/>
    <x v="1"/>
    <x v="9"/>
    <n v="418"/>
    <n v="83.6"/>
    <x v="2"/>
    <x v="1"/>
    <n v="3193"/>
    <s v="Coding Club"/>
    <x v="0"/>
  </r>
  <r>
    <x v="612"/>
    <x v="3"/>
    <x v="1"/>
    <x v="1"/>
    <x v="0"/>
    <n v="12"/>
    <s v="Hyderabad"/>
    <s v="2022-01-16"/>
    <x v="17"/>
    <x v="33"/>
    <x v="19"/>
    <x v="28"/>
    <x v="62"/>
    <x v="50"/>
    <n v="295"/>
    <n v="59"/>
    <x v="3"/>
    <x v="0"/>
    <n v="2975"/>
    <s v="Sports"/>
    <x v="0"/>
  </r>
  <r>
    <x v="613"/>
    <x v="6"/>
    <x v="1"/>
    <x v="8"/>
    <x v="2"/>
    <n v="7"/>
    <s v="Mumbai"/>
    <s v="2023-01-13"/>
    <x v="6"/>
    <x v="8"/>
    <x v="2"/>
    <x v="14"/>
    <x v="40"/>
    <x v="26"/>
    <n v="318"/>
    <n v="63.6"/>
    <x v="0"/>
    <x v="0"/>
    <n v="1654"/>
    <s v="Drama"/>
    <x v="0"/>
  </r>
  <r>
    <x v="614"/>
    <x v="138"/>
    <x v="0"/>
    <x v="2"/>
    <x v="3"/>
    <n v="8"/>
    <s v="Chennai"/>
    <s v="2023-01-31"/>
    <x v="5"/>
    <x v="14"/>
    <x v="25"/>
    <x v="42"/>
    <x v="10"/>
    <x v="12"/>
    <n v="360"/>
    <n v="72"/>
    <x v="1"/>
    <x v="1"/>
    <n v="2782"/>
    <s v="Art"/>
    <x v="0"/>
  </r>
  <r>
    <x v="615"/>
    <x v="119"/>
    <x v="1"/>
    <x v="2"/>
    <x v="3"/>
    <n v="10"/>
    <s v="Bangalore"/>
    <s v="2025-03-13"/>
    <x v="3"/>
    <x v="58"/>
    <x v="58"/>
    <x v="28"/>
    <x v="24"/>
    <x v="49"/>
    <n v="299"/>
    <n v="59.8"/>
    <x v="3"/>
    <x v="1"/>
    <n v="3999"/>
    <s v="Drama"/>
    <x v="0"/>
  </r>
  <r>
    <x v="616"/>
    <x v="60"/>
    <x v="0"/>
    <x v="9"/>
    <x v="1"/>
    <n v="15"/>
    <s v="Bangalore"/>
    <s v="2021-03-26"/>
    <x v="40"/>
    <x v="55"/>
    <x v="52"/>
    <x v="21"/>
    <x v="44"/>
    <x v="40"/>
    <n v="322"/>
    <n v="64.400000000000006"/>
    <x v="0"/>
    <x v="1"/>
    <n v="1563"/>
    <s v="Drama"/>
    <x v="0"/>
  </r>
  <r>
    <x v="617"/>
    <x v="83"/>
    <x v="0"/>
    <x v="4"/>
    <x v="2"/>
    <n v="17"/>
    <s v="Madurai"/>
    <s v="2024-07-07"/>
    <x v="4"/>
    <x v="47"/>
    <x v="11"/>
    <x v="27"/>
    <x v="55"/>
    <x v="48"/>
    <n v="368"/>
    <n v="73.599999999999994"/>
    <x v="1"/>
    <x v="1"/>
    <n v="3326"/>
    <s v="Music"/>
    <x v="0"/>
  </r>
  <r>
    <x v="618"/>
    <x v="114"/>
    <x v="1"/>
    <x v="0"/>
    <x v="3"/>
    <n v="15"/>
    <s v="Bangalore"/>
    <s v="2021-08-31"/>
    <x v="40"/>
    <x v="5"/>
    <x v="30"/>
    <x v="17"/>
    <x v="32"/>
    <x v="39"/>
    <n v="344"/>
    <n v="68.8"/>
    <x v="0"/>
    <x v="1"/>
    <n v="3137"/>
    <s v="Music"/>
    <x v="0"/>
  </r>
  <r>
    <x v="619"/>
    <x v="96"/>
    <x v="0"/>
    <x v="2"/>
    <x v="1"/>
    <n v="8"/>
    <s v="Madurai"/>
    <s v="2022-08-12"/>
    <x v="32"/>
    <x v="20"/>
    <x v="24"/>
    <x v="32"/>
    <x v="13"/>
    <x v="65"/>
    <n v="316"/>
    <n v="63.2"/>
    <x v="0"/>
    <x v="0"/>
    <n v="3127"/>
    <s v="Sports"/>
    <x v="0"/>
  </r>
  <r>
    <x v="620"/>
    <x v="24"/>
    <x v="1"/>
    <x v="4"/>
    <x v="2"/>
    <n v="18"/>
    <s v="Hyderabad"/>
    <s v="2023-04-06"/>
    <x v="5"/>
    <x v="2"/>
    <x v="14"/>
    <x v="34"/>
    <x v="16"/>
    <x v="39"/>
    <n v="291"/>
    <n v="58.2"/>
    <x v="3"/>
    <x v="0"/>
    <n v="3525"/>
    <s v="Sports"/>
    <x v="0"/>
  </r>
  <r>
    <x v="621"/>
    <x v="135"/>
    <x v="1"/>
    <x v="8"/>
    <x v="3"/>
    <n v="7"/>
    <s v="Hyderabad"/>
    <s v="2024-12-07"/>
    <x v="1"/>
    <x v="3"/>
    <x v="39"/>
    <x v="21"/>
    <x v="55"/>
    <x v="45"/>
    <n v="315"/>
    <n v="63"/>
    <x v="0"/>
    <x v="1"/>
    <n v="3383"/>
    <s v="Sports"/>
    <x v="0"/>
  </r>
  <r>
    <x v="622"/>
    <x v="118"/>
    <x v="0"/>
    <x v="10"/>
    <x v="3"/>
    <n v="11"/>
    <s v="Mumbai"/>
    <s v="2024-10-24"/>
    <x v="31"/>
    <x v="34"/>
    <x v="6"/>
    <x v="2"/>
    <x v="37"/>
    <x v="44"/>
    <n v="253"/>
    <n v="50.6"/>
    <x v="3"/>
    <x v="1"/>
    <n v="3247"/>
    <s v="Dance"/>
    <x v="1"/>
  </r>
  <r>
    <x v="623"/>
    <x v="49"/>
    <x v="1"/>
    <x v="3"/>
    <x v="1"/>
    <n v="6"/>
    <s v="Coimbatore"/>
    <s v="2023-03-08"/>
    <x v="9"/>
    <x v="29"/>
    <x v="10"/>
    <x v="54"/>
    <x v="42"/>
    <x v="32"/>
    <n v="318"/>
    <n v="63.6"/>
    <x v="0"/>
    <x v="1"/>
    <n v="3081"/>
    <s v="Art"/>
    <x v="0"/>
  </r>
  <r>
    <x v="624"/>
    <x v="123"/>
    <x v="0"/>
    <x v="4"/>
    <x v="2"/>
    <n v="16"/>
    <s v="Chennai"/>
    <s v="2023-01-25"/>
    <x v="36"/>
    <x v="4"/>
    <x v="28"/>
    <x v="27"/>
    <x v="46"/>
    <x v="15"/>
    <n v="383"/>
    <n v="76.599999999999994"/>
    <x v="1"/>
    <x v="1"/>
    <n v="4976"/>
    <s v="Dance"/>
    <x v="0"/>
  </r>
  <r>
    <x v="625"/>
    <x v="140"/>
    <x v="0"/>
    <x v="6"/>
    <x v="3"/>
    <n v="12"/>
    <s v="Madurai"/>
    <s v="2021-04-07"/>
    <x v="28"/>
    <x v="21"/>
    <x v="48"/>
    <x v="30"/>
    <x v="52"/>
    <x v="4"/>
    <n v="335"/>
    <n v="67"/>
    <x v="0"/>
    <x v="0"/>
    <n v="1714"/>
    <s v="Art"/>
    <x v="0"/>
  </r>
  <r>
    <x v="626"/>
    <x v="0"/>
    <x v="1"/>
    <x v="0"/>
    <x v="0"/>
    <n v="16"/>
    <s v="Coimbatore"/>
    <s v="2025-03-20"/>
    <x v="2"/>
    <x v="36"/>
    <x v="33"/>
    <x v="11"/>
    <x v="56"/>
    <x v="13"/>
    <n v="304"/>
    <n v="60.8"/>
    <x v="0"/>
    <x v="1"/>
    <n v="2841"/>
    <s v="Sports"/>
    <x v="0"/>
  </r>
  <r>
    <x v="627"/>
    <x v="73"/>
    <x v="1"/>
    <x v="7"/>
    <x v="1"/>
    <n v="11"/>
    <s v="Mumbai"/>
    <s v="2021-06-24"/>
    <x v="6"/>
    <x v="14"/>
    <x v="65"/>
    <x v="35"/>
    <x v="34"/>
    <x v="9"/>
    <n v="359"/>
    <n v="71.8"/>
    <x v="1"/>
    <x v="0"/>
    <n v="3995"/>
    <s v="Coding Club"/>
    <x v="0"/>
  </r>
  <r>
    <x v="628"/>
    <x v="95"/>
    <x v="0"/>
    <x v="11"/>
    <x v="1"/>
    <n v="17"/>
    <s v="Chennai"/>
    <s v="2023-07-23"/>
    <x v="35"/>
    <x v="20"/>
    <x v="14"/>
    <x v="44"/>
    <x v="54"/>
    <x v="6"/>
    <n v="361"/>
    <n v="72.2"/>
    <x v="1"/>
    <x v="0"/>
    <n v="3854"/>
    <s v="Dance"/>
    <x v="0"/>
  </r>
  <r>
    <x v="629"/>
    <x v="117"/>
    <x v="0"/>
    <x v="11"/>
    <x v="0"/>
    <n v="16"/>
    <s v="Mumbai"/>
    <s v="2024-07-02"/>
    <x v="13"/>
    <x v="46"/>
    <x v="9"/>
    <x v="22"/>
    <x v="9"/>
    <x v="12"/>
    <n v="305"/>
    <n v="61"/>
    <x v="0"/>
    <x v="1"/>
    <n v="2364"/>
    <s v="Drama"/>
    <x v="0"/>
  </r>
  <r>
    <x v="630"/>
    <x v="28"/>
    <x v="1"/>
    <x v="3"/>
    <x v="0"/>
    <n v="6"/>
    <s v="Hyderabad"/>
    <s v="2023-09-13"/>
    <x v="18"/>
    <x v="62"/>
    <x v="48"/>
    <x v="3"/>
    <x v="57"/>
    <x v="59"/>
    <n v="379"/>
    <n v="75.8"/>
    <x v="1"/>
    <x v="0"/>
    <n v="2069"/>
    <s v="Music"/>
    <x v="0"/>
  </r>
  <r>
    <x v="631"/>
    <x v="83"/>
    <x v="0"/>
    <x v="7"/>
    <x v="2"/>
    <n v="11"/>
    <s v="Hyderabad"/>
    <s v="2024-08-29"/>
    <x v="15"/>
    <x v="28"/>
    <x v="4"/>
    <x v="42"/>
    <x v="33"/>
    <x v="34"/>
    <n v="294"/>
    <n v="58.8"/>
    <x v="3"/>
    <x v="1"/>
    <n v="1751"/>
    <s v="Drama"/>
    <x v="0"/>
  </r>
  <r>
    <x v="632"/>
    <x v="91"/>
    <x v="1"/>
    <x v="6"/>
    <x v="2"/>
    <n v="12"/>
    <s v="Madurai"/>
    <s v="2021-11-22"/>
    <x v="37"/>
    <x v="35"/>
    <x v="0"/>
    <x v="12"/>
    <x v="55"/>
    <x v="29"/>
    <n v="298"/>
    <n v="59.6"/>
    <x v="3"/>
    <x v="0"/>
    <n v="3375"/>
    <s v="Coding Club"/>
    <x v="0"/>
  </r>
  <r>
    <x v="633"/>
    <x v="29"/>
    <x v="1"/>
    <x v="4"/>
    <x v="0"/>
    <n v="16"/>
    <s v="Hyderabad"/>
    <s v="2024-12-10"/>
    <x v="38"/>
    <x v="17"/>
    <x v="41"/>
    <x v="42"/>
    <x v="48"/>
    <x v="35"/>
    <n v="319"/>
    <n v="63.8"/>
    <x v="0"/>
    <x v="0"/>
    <n v="2317"/>
    <s v="Art"/>
    <x v="0"/>
  </r>
  <r>
    <x v="634"/>
    <x v="73"/>
    <x v="0"/>
    <x v="6"/>
    <x v="3"/>
    <n v="10"/>
    <s v="Bangalore"/>
    <s v="2022-05-02"/>
    <x v="36"/>
    <x v="39"/>
    <x v="61"/>
    <x v="40"/>
    <x v="41"/>
    <x v="51"/>
    <n v="274"/>
    <n v="54.8"/>
    <x v="3"/>
    <x v="0"/>
    <n v="4349"/>
    <s v="Music"/>
    <x v="1"/>
  </r>
  <r>
    <x v="635"/>
    <x v="84"/>
    <x v="0"/>
    <x v="10"/>
    <x v="0"/>
    <n v="11"/>
    <s v="Madurai"/>
    <s v="2024-11-01"/>
    <x v="23"/>
    <x v="21"/>
    <x v="19"/>
    <x v="54"/>
    <x v="53"/>
    <x v="40"/>
    <n v="332"/>
    <n v="66.400000000000006"/>
    <x v="0"/>
    <x v="1"/>
    <n v="3089"/>
    <s v="Drama"/>
    <x v="0"/>
  </r>
  <r>
    <x v="636"/>
    <x v="3"/>
    <x v="1"/>
    <x v="6"/>
    <x v="3"/>
    <n v="10"/>
    <s v="Chennai"/>
    <s v="2022-12-08"/>
    <x v="3"/>
    <x v="23"/>
    <x v="43"/>
    <x v="12"/>
    <x v="21"/>
    <x v="47"/>
    <n v="364"/>
    <n v="72.8"/>
    <x v="1"/>
    <x v="0"/>
    <n v="1982"/>
    <s v="Art"/>
    <x v="0"/>
  </r>
  <r>
    <x v="637"/>
    <x v="74"/>
    <x v="0"/>
    <x v="7"/>
    <x v="3"/>
    <n v="10"/>
    <s v="Coimbatore"/>
    <s v="2025-12-04"/>
    <x v="24"/>
    <x v="54"/>
    <x v="34"/>
    <x v="22"/>
    <x v="3"/>
    <x v="48"/>
    <n v="296"/>
    <n v="59.2"/>
    <x v="3"/>
    <x v="0"/>
    <n v="2534"/>
    <s v="Music"/>
    <x v="0"/>
  </r>
  <r>
    <x v="638"/>
    <x v="3"/>
    <x v="1"/>
    <x v="4"/>
    <x v="1"/>
    <n v="16"/>
    <s v="Chennai"/>
    <s v="2021-06-06"/>
    <x v="28"/>
    <x v="12"/>
    <x v="26"/>
    <x v="50"/>
    <x v="15"/>
    <x v="35"/>
    <n v="379"/>
    <n v="75.8"/>
    <x v="1"/>
    <x v="0"/>
    <n v="2821"/>
    <s v="Coding Club"/>
    <x v="0"/>
  </r>
  <r>
    <x v="639"/>
    <x v="11"/>
    <x v="0"/>
    <x v="1"/>
    <x v="3"/>
    <n v="14"/>
    <s v="Hyderabad"/>
    <s v="2022-05-21"/>
    <x v="40"/>
    <x v="18"/>
    <x v="5"/>
    <x v="25"/>
    <x v="27"/>
    <x v="33"/>
    <n v="361"/>
    <n v="72.2"/>
    <x v="1"/>
    <x v="1"/>
    <n v="3330"/>
    <s v="Coding Club"/>
    <x v="0"/>
  </r>
  <r>
    <x v="640"/>
    <x v="123"/>
    <x v="1"/>
    <x v="8"/>
    <x v="3"/>
    <n v="8"/>
    <s v="Pune"/>
    <s v="2023-11-17"/>
    <x v="31"/>
    <x v="16"/>
    <x v="41"/>
    <x v="56"/>
    <x v="0"/>
    <x v="15"/>
    <n v="327"/>
    <n v="65.400000000000006"/>
    <x v="0"/>
    <x v="0"/>
    <n v="3545"/>
    <s v="Art"/>
    <x v="0"/>
  </r>
  <r>
    <x v="641"/>
    <x v="77"/>
    <x v="1"/>
    <x v="4"/>
    <x v="3"/>
    <n v="16"/>
    <s v="Chennai"/>
    <s v="2021-05-29"/>
    <x v="18"/>
    <x v="42"/>
    <x v="28"/>
    <x v="27"/>
    <x v="37"/>
    <x v="50"/>
    <n v="352"/>
    <n v="70.400000000000006"/>
    <x v="1"/>
    <x v="0"/>
    <n v="2642"/>
    <s v="Music"/>
    <x v="0"/>
  </r>
  <r>
    <x v="642"/>
    <x v="70"/>
    <x v="1"/>
    <x v="4"/>
    <x v="0"/>
    <n v="18"/>
    <s v="Chennai"/>
    <s v="2025-01-16"/>
    <x v="2"/>
    <x v="29"/>
    <x v="58"/>
    <x v="49"/>
    <x v="12"/>
    <x v="61"/>
    <n v="389"/>
    <n v="77.8"/>
    <x v="1"/>
    <x v="0"/>
    <n v="2729"/>
    <s v="Music"/>
    <x v="0"/>
  </r>
  <r>
    <x v="643"/>
    <x v="93"/>
    <x v="1"/>
    <x v="9"/>
    <x v="3"/>
    <n v="14"/>
    <s v="Madurai"/>
    <s v="2022-06-02"/>
    <x v="32"/>
    <x v="38"/>
    <x v="50"/>
    <x v="25"/>
    <x v="43"/>
    <x v="8"/>
    <n v="373"/>
    <n v="74.599999999999994"/>
    <x v="1"/>
    <x v="1"/>
    <n v="2923"/>
    <s v="Music"/>
    <x v="0"/>
  </r>
  <r>
    <x v="644"/>
    <x v="87"/>
    <x v="1"/>
    <x v="10"/>
    <x v="2"/>
    <n v="13"/>
    <s v="Pune"/>
    <s v="2024-09-25"/>
    <x v="10"/>
    <x v="33"/>
    <x v="51"/>
    <x v="51"/>
    <x v="7"/>
    <x v="9"/>
    <n v="329"/>
    <n v="65.8"/>
    <x v="0"/>
    <x v="0"/>
    <n v="1807"/>
    <s v="Art"/>
    <x v="0"/>
  </r>
  <r>
    <x v="645"/>
    <x v="6"/>
    <x v="0"/>
    <x v="2"/>
    <x v="0"/>
    <n v="9"/>
    <s v="Hyderabad"/>
    <s v="2021-05-20"/>
    <x v="23"/>
    <x v="37"/>
    <x v="28"/>
    <x v="49"/>
    <x v="6"/>
    <x v="25"/>
    <n v="328"/>
    <n v="65.599999999999994"/>
    <x v="0"/>
    <x v="1"/>
    <n v="2948"/>
    <s v="Coding Club"/>
    <x v="0"/>
  </r>
  <r>
    <x v="646"/>
    <x v="62"/>
    <x v="1"/>
    <x v="11"/>
    <x v="3"/>
    <n v="16"/>
    <s v="Chennai"/>
    <s v="2023-12-08"/>
    <x v="6"/>
    <x v="24"/>
    <x v="55"/>
    <x v="48"/>
    <x v="60"/>
    <x v="39"/>
    <n v="305"/>
    <n v="61"/>
    <x v="0"/>
    <x v="0"/>
    <n v="4369"/>
    <s v="Coding Club"/>
    <x v="0"/>
  </r>
  <r>
    <x v="647"/>
    <x v="103"/>
    <x v="0"/>
    <x v="2"/>
    <x v="3"/>
    <n v="10"/>
    <s v="Chennai"/>
    <s v="2022-06-02"/>
    <x v="9"/>
    <x v="29"/>
    <x v="50"/>
    <x v="1"/>
    <x v="18"/>
    <x v="62"/>
    <n v="294"/>
    <n v="58.8"/>
    <x v="3"/>
    <x v="1"/>
    <n v="2975"/>
    <s v="Sports"/>
    <x v="0"/>
  </r>
  <r>
    <x v="648"/>
    <x v="141"/>
    <x v="1"/>
    <x v="11"/>
    <x v="1"/>
    <n v="17"/>
    <s v="Chennai"/>
    <s v="2025-05-15"/>
    <x v="4"/>
    <x v="25"/>
    <x v="32"/>
    <x v="20"/>
    <x v="65"/>
    <x v="11"/>
    <n v="360"/>
    <n v="72"/>
    <x v="1"/>
    <x v="1"/>
    <n v="3646"/>
    <s v="Art"/>
    <x v="0"/>
  </r>
  <r>
    <x v="649"/>
    <x v="20"/>
    <x v="0"/>
    <x v="10"/>
    <x v="1"/>
    <n v="13"/>
    <s v="Bangalore"/>
    <s v="2021-08-03"/>
    <x v="13"/>
    <x v="29"/>
    <x v="59"/>
    <x v="14"/>
    <x v="49"/>
    <x v="5"/>
    <n v="353"/>
    <n v="70.599999999999994"/>
    <x v="1"/>
    <x v="0"/>
    <n v="3837"/>
    <s v="Sports"/>
    <x v="0"/>
  </r>
  <r>
    <x v="650"/>
    <x v="22"/>
    <x v="1"/>
    <x v="1"/>
    <x v="3"/>
    <n v="14"/>
    <s v="Chennai"/>
    <s v="2021-09-18"/>
    <x v="38"/>
    <x v="7"/>
    <x v="45"/>
    <x v="8"/>
    <x v="34"/>
    <x v="37"/>
    <n v="336"/>
    <n v="67.2"/>
    <x v="0"/>
    <x v="1"/>
    <n v="2884"/>
    <s v="Sports"/>
    <x v="0"/>
  </r>
  <r>
    <x v="651"/>
    <x v="7"/>
    <x v="1"/>
    <x v="11"/>
    <x v="2"/>
    <n v="15"/>
    <s v="Bangalore"/>
    <s v="2021-02-17"/>
    <x v="19"/>
    <x v="5"/>
    <x v="27"/>
    <x v="35"/>
    <x v="44"/>
    <x v="22"/>
    <n v="322"/>
    <n v="64.400000000000006"/>
    <x v="0"/>
    <x v="0"/>
    <n v="2021"/>
    <s v="Drama"/>
    <x v="0"/>
  </r>
  <r>
    <x v="652"/>
    <x v="86"/>
    <x v="0"/>
    <x v="6"/>
    <x v="0"/>
    <n v="11"/>
    <s v="Madurai"/>
    <s v="2021-02-26"/>
    <x v="17"/>
    <x v="52"/>
    <x v="37"/>
    <x v="65"/>
    <x v="32"/>
    <x v="18"/>
    <n v="312"/>
    <n v="62.4"/>
    <x v="0"/>
    <x v="1"/>
    <n v="3063"/>
    <s v="Music"/>
    <x v="0"/>
  </r>
  <r>
    <x v="653"/>
    <x v="141"/>
    <x v="0"/>
    <x v="2"/>
    <x v="3"/>
    <n v="9"/>
    <s v="Coimbatore"/>
    <s v="2022-06-11"/>
    <x v="17"/>
    <x v="26"/>
    <x v="12"/>
    <x v="26"/>
    <x v="2"/>
    <x v="45"/>
    <n v="333"/>
    <n v="66.599999999999994"/>
    <x v="0"/>
    <x v="1"/>
    <n v="3226"/>
    <s v="Sports"/>
    <x v="0"/>
  </r>
  <r>
    <x v="654"/>
    <x v="147"/>
    <x v="1"/>
    <x v="11"/>
    <x v="3"/>
    <n v="17"/>
    <s v="Chennai"/>
    <s v="2022-02-20"/>
    <x v="4"/>
    <x v="6"/>
    <x v="62"/>
    <x v="9"/>
    <x v="27"/>
    <x v="35"/>
    <n v="296"/>
    <n v="59.2"/>
    <x v="3"/>
    <x v="0"/>
    <n v="1602"/>
    <s v="Art"/>
    <x v="0"/>
  </r>
  <r>
    <x v="655"/>
    <x v="6"/>
    <x v="0"/>
    <x v="10"/>
    <x v="2"/>
    <n v="11"/>
    <s v="Chennai"/>
    <s v="2025-09-20"/>
    <x v="33"/>
    <x v="45"/>
    <x v="5"/>
    <x v="64"/>
    <x v="15"/>
    <x v="26"/>
    <n v="366"/>
    <n v="73.2"/>
    <x v="1"/>
    <x v="1"/>
    <n v="4641"/>
    <s v="Dance"/>
    <x v="0"/>
  </r>
  <r>
    <x v="656"/>
    <x v="2"/>
    <x v="1"/>
    <x v="4"/>
    <x v="3"/>
    <n v="18"/>
    <s v="Chennai"/>
    <s v="2022-10-16"/>
    <x v="20"/>
    <x v="22"/>
    <x v="1"/>
    <x v="40"/>
    <x v="38"/>
    <x v="7"/>
    <n v="361"/>
    <n v="72.2"/>
    <x v="1"/>
    <x v="1"/>
    <n v="1650"/>
    <s v="Sports"/>
    <x v="0"/>
  </r>
  <r>
    <x v="657"/>
    <x v="148"/>
    <x v="0"/>
    <x v="6"/>
    <x v="1"/>
    <n v="10"/>
    <s v="Madurai"/>
    <s v="2022-10-10"/>
    <x v="26"/>
    <x v="53"/>
    <x v="5"/>
    <x v="40"/>
    <x v="12"/>
    <x v="48"/>
    <n v="298"/>
    <n v="59.6"/>
    <x v="3"/>
    <x v="1"/>
    <n v="2957"/>
    <s v="Drama"/>
    <x v="0"/>
  </r>
  <r>
    <x v="658"/>
    <x v="141"/>
    <x v="0"/>
    <x v="0"/>
    <x v="0"/>
    <n v="14"/>
    <s v="Mumbai"/>
    <s v="2023-03-23"/>
    <x v="19"/>
    <x v="42"/>
    <x v="3"/>
    <x v="13"/>
    <x v="59"/>
    <x v="10"/>
    <n v="432"/>
    <n v="86.4"/>
    <x v="2"/>
    <x v="1"/>
    <n v="3340"/>
    <s v="Drama"/>
    <x v="0"/>
  </r>
  <r>
    <x v="659"/>
    <x v="84"/>
    <x v="1"/>
    <x v="10"/>
    <x v="3"/>
    <n v="11"/>
    <s v="Pune"/>
    <s v="2025-01-23"/>
    <x v="26"/>
    <x v="36"/>
    <x v="32"/>
    <x v="45"/>
    <x v="11"/>
    <x v="42"/>
    <n v="321"/>
    <n v="64.2"/>
    <x v="0"/>
    <x v="0"/>
    <n v="3031"/>
    <s v="Music"/>
    <x v="0"/>
  </r>
  <r>
    <x v="660"/>
    <x v="18"/>
    <x v="1"/>
    <x v="5"/>
    <x v="2"/>
    <n v="8"/>
    <s v="Coimbatore"/>
    <s v="2021-05-26"/>
    <x v="22"/>
    <x v="54"/>
    <x v="30"/>
    <x v="11"/>
    <x v="11"/>
    <x v="52"/>
    <n v="335"/>
    <n v="67"/>
    <x v="0"/>
    <x v="0"/>
    <n v="4644"/>
    <s v="Drama"/>
    <x v="0"/>
  </r>
  <r>
    <x v="661"/>
    <x v="89"/>
    <x v="1"/>
    <x v="9"/>
    <x v="3"/>
    <n v="15"/>
    <s v="Mumbai"/>
    <s v="2022-06-11"/>
    <x v="0"/>
    <x v="29"/>
    <x v="8"/>
    <x v="28"/>
    <x v="34"/>
    <x v="12"/>
    <n v="324"/>
    <n v="64.8"/>
    <x v="0"/>
    <x v="0"/>
    <n v="4852"/>
    <s v="Dance"/>
    <x v="0"/>
  </r>
  <r>
    <x v="662"/>
    <x v="86"/>
    <x v="1"/>
    <x v="9"/>
    <x v="1"/>
    <n v="15"/>
    <s v="Coimbatore"/>
    <s v="2022-10-14"/>
    <x v="29"/>
    <x v="7"/>
    <x v="25"/>
    <x v="2"/>
    <x v="18"/>
    <x v="43"/>
    <n v="320"/>
    <n v="64"/>
    <x v="0"/>
    <x v="1"/>
    <n v="2283"/>
    <s v="Drama"/>
    <x v="0"/>
  </r>
  <r>
    <x v="663"/>
    <x v="0"/>
    <x v="1"/>
    <x v="0"/>
    <x v="0"/>
    <n v="16"/>
    <s v="Mumbai"/>
    <s v="2023-06-01"/>
    <x v="29"/>
    <x v="52"/>
    <x v="6"/>
    <x v="14"/>
    <x v="16"/>
    <x v="36"/>
    <n v="289"/>
    <n v="57.8"/>
    <x v="3"/>
    <x v="0"/>
    <n v="2831"/>
    <s v="Dance"/>
    <x v="0"/>
  </r>
  <r>
    <x v="664"/>
    <x v="114"/>
    <x v="0"/>
    <x v="4"/>
    <x v="0"/>
    <n v="18"/>
    <s v="Bangalore"/>
    <s v="2022-09-05"/>
    <x v="6"/>
    <x v="5"/>
    <x v="58"/>
    <x v="55"/>
    <x v="37"/>
    <x v="28"/>
    <n v="352"/>
    <n v="70.400000000000006"/>
    <x v="1"/>
    <x v="1"/>
    <n v="4248"/>
    <s v="Art"/>
    <x v="0"/>
  </r>
  <r>
    <x v="665"/>
    <x v="57"/>
    <x v="1"/>
    <x v="9"/>
    <x v="3"/>
    <n v="13"/>
    <s v="Madurai"/>
    <s v="2022-05-27"/>
    <x v="26"/>
    <x v="36"/>
    <x v="3"/>
    <x v="64"/>
    <x v="33"/>
    <x v="7"/>
    <n v="351"/>
    <n v="70.2"/>
    <x v="1"/>
    <x v="0"/>
    <n v="3520"/>
    <s v="Drama"/>
    <x v="0"/>
  </r>
  <r>
    <x v="666"/>
    <x v="105"/>
    <x v="1"/>
    <x v="8"/>
    <x v="1"/>
    <n v="7"/>
    <s v="Bangalore"/>
    <s v="2024-03-03"/>
    <x v="3"/>
    <x v="61"/>
    <x v="65"/>
    <x v="17"/>
    <x v="21"/>
    <x v="12"/>
    <n v="357"/>
    <n v="71.400000000000006"/>
    <x v="1"/>
    <x v="1"/>
    <n v="2600"/>
    <s v="Dance"/>
    <x v="0"/>
  </r>
  <r>
    <x v="667"/>
    <x v="118"/>
    <x v="0"/>
    <x v="6"/>
    <x v="2"/>
    <n v="10"/>
    <s v="Mumbai"/>
    <s v="2021-01-09"/>
    <x v="34"/>
    <x v="26"/>
    <x v="36"/>
    <x v="31"/>
    <x v="13"/>
    <x v="58"/>
    <n v="294"/>
    <n v="58.8"/>
    <x v="3"/>
    <x v="1"/>
    <n v="2444"/>
    <s v="Dance"/>
    <x v="0"/>
  </r>
  <r>
    <x v="668"/>
    <x v="22"/>
    <x v="1"/>
    <x v="11"/>
    <x v="3"/>
    <n v="15"/>
    <s v="Madurai"/>
    <s v="2021-06-10"/>
    <x v="19"/>
    <x v="44"/>
    <x v="63"/>
    <x v="17"/>
    <x v="28"/>
    <x v="24"/>
    <n v="410"/>
    <n v="82"/>
    <x v="2"/>
    <x v="0"/>
    <n v="3366"/>
    <s v="Dance"/>
    <x v="0"/>
  </r>
  <r>
    <x v="669"/>
    <x v="101"/>
    <x v="0"/>
    <x v="4"/>
    <x v="1"/>
    <n v="17"/>
    <s v="Mumbai"/>
    <s v="2024-04-29"/>
    <x v="24"/>
    <x v="7"/>
    <x v="23"/>
    <x v="32"/>
    <x v="6"/>
    <x v="50"/>
    <n v="395"/>
    <n v="79"/>
    <x v="1"/>
    <x v="0"/>
    <n v="2363"/>
    <s v="Sports"/>
    <x v="0"/>
  </r>
  <r>
    <x v="670"/>
    <x v="110"/>
    <x v="1"/>
    <x v="10"/>
    <x v="0"/>
    <n v="13"/>
    <s v="Hyderabad"/>
    <s v="2025-09-05"/>
    <x v="28"/>
    <x v="21"/>
    <x v="10"/>
    <x v="51"/>
    <x v="42"/>
    <x v="20"/>
    <n v="289"/>
    <n v="57.8"/>
    <x v="3"/>
    <x v="1"/>
    <n v="4354"/>
    <s v="Drama"/>
    <x v="0"/>
  </r>
  <r>
    <x v="671"/>
    <x v="94"/>
    <x v="0"/>
    <x v="1"/>
    <x v="0"/>
    <n v="12"/>
    <s v="Mumbai"/>
    <s v="2021-06-28"/>
    <x v="2"/>
    <x v="51"/>
    <x v="27"/>
    <x v="37"/>
    <x v="56"/>
    <x v="7"/>
    <n v="324"/>
    <n v="64.8"/>
    <x v="0"/>
    <x v="1"/>
    <n v="4922"/>
    <s v="Dance"/>
    <x v="0"/>
  </r>
  <r>
    <x v="672"/>
    <x v="102"/>
    <x v="1"/>
    <x v="0"/>
    <x v="3"/>
    <n v="14"/>
    <s v="Mumbai"/>
    <s v="2025-12-06"/>
    <x v="9"/>
    <x v="22"/>
    <x v="37"/>
    <x v="63"/>
    <x v="37"/>
    <x v="10"/>
    <n v="383"/>
    <n v="76.599999999999994"/>
    <x v="1"/>
    <x v="0"/>
    <n v="2999"/>
    <s v="Sports"/>
    <x v="0"/>
  </r>
  <r>
    <x v="673"/>
    <x v="9"/>
    <x v="0"/>
    <x v="6"/>
    <x v="1"/>
    <n v="12"/>
    <s v="Hyderabad"/>
    <s v="2021-02-21"/>
    <x v="15"/>
    <x v="44"/>
    <x v="55"/>
    <x v="40"/>
    <x v="0"/>
    <x v="28"/>
    <n v="268"/>
    <n v="53.6"/>
    <x v="3"/>
    <x v="1"/>
    <n v="3037"/>
    <s v="Coding Club"/>
    <x v="1"/>
  </r>
  <r>
    <x v="674"/>
    <x v="78"/>
    <x v="1"/>
    <x v="2"/>
    <x v="3"/>
    <n v="9"/>
    <s v="Coimbatore"/>
    <s v="2023-01-07"/>
    <x v="27"/>
    <x v="15"/>
    <x v="32"/>
    <x v="31"/>
    <x v="63"/>
    <x v="26"/>
    <n v="372"/>
    <n v="74.400000000000006"/>
    <x v="1"/>
    <x v="1"/>
    <n v="2693"/>
    <s v="Art"/>
    <x v="0"/>
  </r>
  <r>
    <x v="675"/>
    <x v="4"/>
    <x v="1"/>
    <x v="7"/>
    <x v="2"/>
    <n v="11"/>
    <s v="Madurai"/>
    <s v="2025-07-10"/>
    <x v="20"/>
    <x v="31"/>
    <x v="41"/>
    <x v="38"/>
    <x v="30"/>
    <x v="37"/>
    <n v="368"/>
    <n v="73.599999999999994"/>
    <x v="1"/>
    <x v="0"/>
    <n v="2912"/>
    <s v="Coding Club"/>
    <x v="0"/>
  </r>
  <r>
    <x v="676"/>
    <x v="64"/>
    <x v="0"/>
    <x v="0"/>
    <x v="3"/>
    <n v="15"/>
    <s v="Hyderabad"/>
    <s v="2023-06-24"/>
    <x v="39"/>
    <x v="17"/>
    <x v="24"/>
    <x v="49"/>
    <x v="50"/>
    <x v="53"/>
    <n v="360"/>
    <n v="72"/>
    <x v="1"/>
    <x v="1"/>
    <n v="4990"/>
    <s v="Drama"/>
    <x v="0"/>
  </r>
  <r>
    <x v="677"/>
    <x v="116"/>
    <x v="0"/>
    <x v="11"/>
    <x v="3"/>
    <n v="15"/>
    <s v="Chennai"/>
    <s v="2024-11-11"/>
    <x v="32"/>
    <x v="23"/>
    <x v="58"/>
    <x v="11"/>
    <x v="14"/>
    <x v="53"/>
    <n v="344"/>
    <n v="68.8"/>
    <x v="0"/>
    <x v="0"/>
    <n v="3627"/>
    <s v="Sports"/>
    <x v="0"/>
  </r>
  <r>
    <x v="678"/>
    <x v="28"/>
    <x v="0"/>
    <x v="3"/>
    <x v="3"/>
    <n v="6"/>
    <s v="Pune"/>
    <s v="2024-02-29"/>
    <x v="35"/>
    <x v="27"/>
    <x v="12"/>
    <x v="6"/>
    <x v="18"/>
    <x v="44"/>
    <n v="344"/>
    <n v="68.8"/>
    <x v="0"/>
    <x v="1"/>
    <n v="4183"/>
    <s v="Art"/>
    <x v="0"/>
  </r>
  <r>
    <x v="679"/>
    <x v="53"/>
    <x v="0"/>
    <x v="5"/>
    <x v="2"/>
    <n v="7"/>
    <s v="Coimbatore"/>
    <s v="2024-03-23"/>
    <x v="23"/>
    <x v="26"/>
    <x v="48"/>
    <x v="42"/>
    <x v="20"/>
    <x v="10"/>
    <n v="303"/>
    <n v="60.6"/>
    <x v="0"/>
    <x v="0"/>
    <n v="3771"/>
    <s v="Drama"/>
    <x v="0"/>
  </r>
  <r>
    <x v="680"/>
    <x v="3"/>
    <x v="1"/>
    <x v="4"/>
    <x v="1"/>
    <n v="18"/>
    <s v="Bangalore"/>
    <s v="2021-07-15"/>
    <x v="34"/>
    <x v="52"/>
    <x v="22"/>
    <x v="6"/>
    <x v="61"/>
    <x v="22"/>
    <n v="351"/>
    <n v="70.2"/>
    <x v="1"/>
    <x v="0"/>
    <n v="3552"/>
    <s v="Music"/>
    <x v="0"/>
  </r>
  <r>
    <x v="681"/>
    <x v="98"/>
    <x v="1"/>
    <x v="0"/>
    <x v="0"/>
    <n v="15"/>
    <s v="Coimbatore"/>
    <s v="2023-01-20"/>
    <x v="23"/>
    <x v="51"/>
    <x v="17"/>
    <x v="0"/>
    <x v="11"/>
    <x v="32"/>
    <n v="323"/>
    <n v="64.599999999999994"/>
    <x v="0"/>
    <x v="1"/>
    <n v="2124"/>
    <s v="Drama"/>
    <x v="0"/>
  </r>
  <r>
    <x v="682"/>
    <x v="74"/>
    <x v="0"/>
    <x v="9"/>
    <x v="0"/>
    <n v="15"/>
    <s v="Hyderabad"/>
    <s v="2021-09-02"/>
    <x v="12"/>
    <x v="58"/>
    <x v="34"/>
    <x v="58"/>
    <x v="22"/>
    <x v="28"/>
    <n v="310"/>
    <n v="62"/>
    <x v="0"/>
    <x v="0"/>
    <n v="3136"/>
    <s v="Drama"/>
    <x v="0"/>
  </r>
  <r>
    <x v="683"/>
    <x v="26"/>
    <x v="0"/>
    <x v="7"/>
    <x v="3"/>
    <n v="9"/>
    <s v="Mumbai"/>
    <s v="2024-07-11"/>
    <x v="23"/>
    <x v="41"/>
    <x v="9"/>
    <x v="8"/>
    <x v="24"/>
    <x v="51"/>
    <n v="302"/>
    <n v="60.4"/>
    <x v="0"/>
    <x v="1"/>
    <n v="2106"/>
    <s v="Dance"/>
    <x v="0"/>
  </r>
  <r>
    <x v="684"/>
    <x v="47"/>
    <x v="0"/>
    <x v="2"/>
    <x v="0"/>
    <n v="8"/>
    <s v="Mumbai"/>
    <s v="2023-01-04"/>
    <x v="6"/>
    <x v="53"/>
    <x v="56"/>
    <x v="17"/>
    <x v="58"/>
    <x v="3"/>
    <n v="322"/>
    <n v="64.400000000000006"/>
    <x v="0"/>
    <x v="0"/>
    <n v="1805"/>
    <s v="Sports"/>
    <x v="0"/>
  </r>
  <r>
    <x v="685"/>
    <x v="31"/>
    <x v="1"/>
    <x v="9"/>
    <x v="2"/>
    <n v="14"/>
    <s v="Coimbatore"/>
    <s v="2021-06-10"/>
    <x v="3"/>
    <x v="44"/>
    <x v="59"/>
    <x v="3"/>
    <x v="22"/>
    <x v="16"/>
    <n v="446"/>
    <n v="89.2"/>
    <x v="2"/>
    <x v="1"/>
    <n v="3501"/>
    <s v="Coding Club"/>
    <x v="0"/>
  </r>
  <r>
    <x v="686"/>
    <x v="10"/>
    <x v="0"/>
    <x v="4"/>
    <x v="0"/>
    <n v="18"/>
    <s v="Bangalore"/>
    <s v="2025-11-02"/>
    <x v="12"/>
    <x v="21"/>
    <x v="36"/>
    <x v="27"/>
    <x v="62"/>
    <x v="60"/>
    <n v="333"/>
    <n v="66.599999999999994"/>
    <x v="0"/>
    <x v="0"/>
    <n v="3325"/>
    <s v="Music"/>
    <x v="0"/>
  </r>
  <r>
    <x v="687"/>
    <x v="116"/>
    <x v="1"/>
    <x v="5"/>
    <x v="2"/>
    <n v="8"/>
    <s v="Coimbatore"/>
    <s v="2021-04-03"/>
    <x v="36"/>
    <x v="17"/>
    <x v="37"/>
    <x v="3"/>
    <x v="22"/>
    <x v="47"/>
    <n v="456"/>
    <n v="91.2"/>
    <x v="5"/>
    <x v="1"/>
    <n v="3913"/>
    <s v="Coding Club"/>
    <x v="0"/>
  </r>
  <r>
    <x v="688"/>
    <x v="27"/>
    <x v="1"/>
    <x v="5"/>
    <x v="3"/>
    <n v="7"/>
    <s v="Pune"/>
    <s v="2024-08-24"/>
    <x v="15"/>
    <x v="16"/>
    <x v="50"/>
    <x v="57"/>
    <x v="24"/>
    <x v="43"/>
    <n v="348"/>
    <n v="69.599999999999994"/>
    <x v="0"/>
    <x v="0"/>
    <n v="4943"/>
    <s v="Sports"/>
    <x v="0"/>
  </r>
  <r>
    <x v="689"/>
    <x v="66"/>
    <x v="1"/>
    <x v="4"/>
    <x v="3"/>
    <n v="16"/>
    <s v="Pune"/>
    <s v="2025-06-24"/>
    <x v="26"/>
    <x v="46"/>
    <x v="24"/>
    <x v="52"/>
    <x v="49"/>
    <x v="23"/>
    <n v="373"/>
    <n v="74.599999999999994"/>
    <x v="1"/>
    <x v="1"/>
    <n v="4144"/>
    <s v="Coding Club"/>
    <x v="0"/>
  </r>
  <r>
    <x v="690"/>
    <x v="24"/>
    <x v="0"/>
    <x v="11"/>
    <x v="2"/>
    <n v="17"/>
    <s v="Hyderabad"/>
    <s v="2024-04-17"/>
    <x v="5"/>
    <x v="53"/>
    <x v="24"/>
    <x v="37"/>
    <x v="44"/>
    <x v="64"/>
    <n v="298"/>
    <n v="59.6"/>
    <x v="3"/>
    <x v="0"/>
    <n v="3484"/>
    <s v="Drama"/>
    <x v="0"/>
  </r>
  <r>
    <x v="691"/>
    <x v="29"/>
    <x v="1"/>
    <x v="3"/>
    <x v="2"/>
    <n v="6"/>
    <s v="Madurai"/>
    <s v="2023-03-03"/>
    <x v="8"/>
    <x v="55"/>
    <x v="14"/>
    <x v="3"/>
    <x v="16"/>
    <x v="50"/>
    <n v="371"/>
    <n v="74.2"/>
    <x v="1"/>
    <x v="1"/>
    <n v="2257"/>
    <s v="Art"/>
    <x v="0"/>
  </r>
  <r>
    <x v="692"/>
    <x v="118"/>
    <x v="1"/>
    <x v="9"/>
    <x v="2"/>
    <n v="14"/>
    <s v="Madurai"/>
    <s v="2021-11-17"/>
    <x v="32"/>
    <x v="38"/>
    <x v="0"/>
    <x v="16"/>
    <x v="43"/>
    <x v="55"/>
    <n v="399"/>
    <n v="79.8"/>
    <x v="1"/>
    <x v="1"/>
    <n v="1619"/>
    <s v="Art"/>
    <x v="0"/>
  </r>
  <r>
    <x v="693"/>
    <x v="43"/>
    <x v="0"/>
    <x v="8"/>
    <x v="3"/>
    <n v="9"/>
    <s v="Coimbatore"/>
    <s v="2024-01-21"/>
    <x v="34"/>
    <x v="12"/>
    <x v="59"/>
    <x v="27"/>
    <x v="48"/>
    <x v="4"/>
    <n v="427"/>
    <n v="85.4"/>
    <x v="2"/>
    <x v="0"/>
    <n v="1731"/>
    <s v="Sports"/>
    <x v="0"/>
  </r>
  <r>
    <x v="694"/>
    <x v="30"/>
    <x v="1"/>
    <x v="10"/>
    <x v="0"/>
    <n v="13"/>
    <s v="Hyderabad"/>
    <s v="2025-01-02"/>
    <x v="35"/>
    <x v="15"/>
    <x v="30"/>
    <x v="54"/>
    <x v="9"/>
    <x v="36"/>
    <n v="301"/>
    <n v="60.2"/>
    <x v="0"/>
    <x v="0"/>
    <n v="3010"/>
    <s v="Coding Club"/>
    <x v="0"/>
  </r>
  <r>
    <x v="695"/>
    <x v="15"/>
    <x v="0"/>
    <x v="2"/>
    <x v="2"/>
    <n v="10"/>
    <s v="Hyderabad"/>
    <s v="2024-08-01"/>
    <x v="38"/>
    <x v="49"/>
    <x v="25"/>
    <x v="15"/>
    <x v="1"/>
    <x v="58"/>
    <n v="303"/>
    <n v="60.6"/>
    <x v="0"/>
    <x v="1"/>
    <n v="3467"/>
    <s v="Coding Club"/>
    <x v="0"/>
  </r>
  <r>
    <x v="696"/>
    <x v="56"/>
    <x v="1"/>
    <x v="8"/>
    <x v="0"/>
    <n v="9"/>
    <s v="Bangalore"/>
    <s v="2022-11-25"/>
    <x v="0"/>
    <x v="35"/>
    <x v="42"/>
    <x v="37"/>
    <x v="6"/>
    <x v="43"/>
    <n v="331"/>
    <n v="66.2"/>
    <x v="0"/>
    <x v="1"/>
    <n v="4086"/>
    <s v="Sports"/>
    <x v="0"/>
  </r>
  <r>
    <x v="697"/>
    <x v="0"/>
    <x v="1"/>
    <x v="4"/>
    <x v="2"/>
    <n v="18"/>
    <s v="Madurai"/>
    <s v="2021-07-16"/>
    <x v="36"/>
    <x v="23"/>
    <x v="59"/>
    <x v="10"/>
    <x v="15"/>
    <x v="13"/>
    <n v="432"/>
    <n v="86.4"/>
    <x v="2"/>
    <x v="1"/>
    <n v="4168"/>
    <s v="Music"/>
    <x v="0"/>
  </r>
  <r>
    <x v="698"/>
    <x v="95"/>
    <x v="0"/>
    <x v="4"/>
    <x v="2"/>
    <n v="16"/>
    <s v="Coimbatore"/>
    <s v="2022-03-28"/>
    <x v="8"/>
    <x v="19"/>
    <x v="33"/>
    <x v="40"/>
    <x v="27"/>
    <x v="32"/>
    <n v="295"/>
    <n v="59"/>
    <x v="3"/>
    <x v="1"/>
    <n v="2716"/>
    <s v="Dance"/>
    <x v="0"/>
  </r>
  <r>
    <x v="699"/>
    <x v="36"/>
    <x v="0"/>
    <x v="3"/>
    <x v="0"/>
    <n v="6"/>
    <s v="Pune"/>
    <s v="2022-11-21"/>
    <x v="19"/>
    <x v="62"/>
    <x v="59"/>
    <x v="44"/>
    <x v="49"/>
    <x v="14"/>
    <n v="321"/>
    <n v="64.2"/>
    <x v="0"/>
    <x v="1"/>
    <n v="1803"/>
    <s v="Dance"/>
    <x v="0"/>
  </r>
  <r>
    <x v="700"/>
    <x v="131"/>
    <x v="1"/>
    <x v="6"/>
    <x v="0"/>
    <n v="10"/>
    <s v="Bangalore"/>
    <s v="2022-01-21"/>
    <x v="16"/>
    <x v="46"/>
    <x v="33"/>
    <x v="31"/>
    <x v="62"/>
    <x v="19"/>
    <n v="315"/>
    <n v="63"/>
    <x v="0"/>
    <x v="0"/>
    <n v="2825"/>
    <s v="Coding Club"/>
    <x v="0"/>
  </r>
  <r>
    <x v="701"/>
    <x v="131"/>
    <x v="1"/>
    <x v="3"/>
    <x v="1"/>
    <n v="7"/>
    <s v="Madurai"/>
    <s v="2025-10-19"/>
    <x v="5"/>
    <x v="16"/>
    <x v="50"/>
    <x v="46"/>
    <x v="60"/>
    <x v="33"/>
    <n v="343"/>
    <n v="68.599999999999994"/>
    <x v="0"/>
    <x v="0"/>
    <n v="3352"/>
    <s v="Music"/>
    <x v="0"/>
  </r>
  <r>
    <x v="702"/>
    <x v="43"/>
    <x v="1"/>
    <x v="3"/>
    <x v="1"/>
    <n v="7"/>
    <s v="Pune"/>
    <s v="2024-07-23"/>
    <x v="25"/>
    <x v="8"/>
    <x v="13"/>
    <x v="64"/>
    <x v="40"/>
    <x v="56"/>
    <n v="369"/>
    <n v="73.8"/>
    <x v="1"/>
    <x v="0"/>
    <n v="3178"/>
    <s v="Coding Club"/>
    <x v="0"/>
  </r>
  <r>
    <x v="703"/>
    <x v="35"/>
    <x v="0"/>
    <x v="7"/>
    <x v="2"/>
    <n v="10"/>
    <s v="Chennai"/>
    <s v="2025-06-02"/>
    <x v="4"/>
    <x v="27"/>
    <x v="16"/>
    <x v="59"/>
    <x v="17"/>
    <x v="21"/>
    <n v="223"/>
    <n v="44.6"/>
    <x v="4"/>
    <x v="0"/>
    <n v="2114"/>
    <s v="Art"/>
    <x v="1"/>
  </r>
  <r>
    <x v="704"/>
    <x v="111"/>
    <x v="1"/>
    <x v="7"/>
    <x v="3"/>
    <n v="11"/>
    <s v="Madurai"/>
    <s v="2021-01-14"/>
    <x v="39"/>
    <x v="60"/>
    <x v="40"/>
    <x v="4"/>
    <x v="10"/>
    <x v="55"/>
    <n v="354"/>
    <n v="70.8"/>
    <x v="1"/>
    <x v="1"/>
    <n v="1916"/>
    <s v="Art"/>
    <x v="0"/>
  </r>
  <r>
    <x v="705"/>
    <x v="59"/>
    <x v="1"/>
    <x v="8"/>
    <x v="3"/>
    <n v="7"/>
    <s v="Hyderabad"/>
    <s v="2022-08-16"/>
    <x v="34"/>
    <x v="27"/>
    <x v="28"/>
    <x v="14"/>
    <x v="65"/>
    <x v="3"/>
    <n v="350"/>
    <n v="70"/>
    <x v="1"/>
    <x v="1"/>
    <n v="2447"/>
    <s v="Coding Club"/>
    <x v="0"/>
  </r>
  <r>
    <x v="706"/>
    <x v="54"/>
    <x v="0"/>
    <x v="4"/>
    <x v="0"/>
    <n v="16"/>
    <s v="Hyderabad"/>
    <s v="2021-02-09"/>
    <x v="27"/>
    <x v="64"/>
    <x v="45"/>
    <x v="62"/>
    <x v="9"/>
    <x v="54"/>
    <n v="355"/>
    <n v="71"/>
    <x v="1"/>
    <x v="0"/>
    <n v="2131"/>
    <s v="Dance"/>
    <x v="0"/>
  </r>
  <r>
    <x v="707"/>
    <x v="64"/>
    <x v="0"/>
    <x v="0"/>
    <x v="1"/>
    <n v="15"/>
    <s v="Bangalore"/>
    <s v="2024-11-07"/>
    <x v="3"/>
    <x v="8"/>
    <x v="60"/>
    <x v="39"/>
    <x v="13"/>
    <x v="62"/>
    <n v="284"/>
    <n v="56.8"/>
    <x v="3"/>
    <x v="1"/>
    <n v="3364"/>
    <s v="Music"/>
    <x v="0"/>
  </r>
  <r>
    <x v="708"/>
    <x v="22"/>
    <x v="1"/>
    <x v="9"/>
    <x v="1"/>
    <n v="14"/>
    <s v="Madurai"/>
    <s v="2025-08-21"/>
    <x v="17"/>
    <x v="10"/>
    <x v="25"/>
    <x v="44"/>
    <x v="62"/>
    <x v="64"/>
    <n v="325"/>
    <n v="65"/>
    <x v="0"/>
    <x v="0"/>
    <n v="3508"/>
    <s v="Coding Club"/>
    <x v="0"/>
  </r>
  <r>
    <x v="709"/>
    <x v="100"/>
    <x v="1"/>
    <x v="5"/>
    <x v="2"/>
    <n v="6"/>
    <s v="Chennai"/>
    <s v="2022-11-06"/>
    <x v="10"/>
    <x v="45"/>
    <x v="57"/>
    <x v="7"/>
    <x v="42"/>
    <x v="49"/>
    <n v="272"/>
    <n v="54.4"/>
    <x v="3"/>
    <x v="0"/>
    <n v="3594"/>
    <s v="Music"/>
    <x v="1"/>
  </r>
  <r>
    <x v="710"/>
    <x v="122"/>
    <x v="1"/>
    <x v="2"/>
    <x v="2"/>
    <n v="10"/>
    <s v="Mumbai"/>
    <s v="2024-01-26"/>
    <x v="23"/>
    <x v="54"/>
    <x v="55"/>
    <x v="28"/>
    <x v="47"/>
    <x v="59"/>
    <n v="349"/>
    <n v="69.8"/>
    <x v="0"/>
    <x v="1"/>
    <n v="4430"/>
    <s v="Music"/>
    <x v="0"/>
  </r>
  <r>
    <x v="711"/>
    <x v="98"/>
    <x v="1"/>
    <x v="7"/>
    <x v="0"/>
    <n v="10"/>
    <s v="Pune"/>
    <s v="2025-06-17"/>
    <x v="14"/>
    <x v="40"/>
    <x v="24"/>
    <x v="14"/>
    <x v="0"/>
    <x v="39"/>
    <n v="283"/>
    <n v="56.6"/>
    <x v="3"/>
    <x v="1"/>
    <n v="4765"/>
    <s v="Dance"/>
    <x v="0"/>
  </r>
  <r>
    <x v="712"/>
    <x v="134"/>
    <x v="0"/>
    <x v="5"/>
    <x v="0"/>
    <n v="6"/>
    <s v="Bangalore"/>
    <s v="2023-05-08"/>
    <x v="15"/>
    <x v="7"/>
    <x v="15"/>
    <x v="55"/>
    <x v="38"/>
    <x v="43"/>
    <n v="329"/>
    <n v="65.8"/>
    <x v="0"/>
    <x v="1"/>
    <n v="4771"/>
    <s v="Art"/>
    <x v="0"/>
  </r>
  <r>
    <x v="713"/>
    <x v="2"/>
    <x v="0"/>
    <x v="11"/>
    <x v="0"/>
    <n v="15"/>
    <s v="Hyderabad"/>
    <s v="2022-05-07"/>
    <x v="34"/>
    <x v="37"/>
    <x v="28"/>
    <x v="16"/>
    <x v="13"/>
    <x v="30"/>
    <n v="276"/>
    <n v="55.2"/>
    <x v="3"/>
    <x v="0"/>
    <n v="3420"/>
    <s v="Art"/>
    <x v="0"/>
  </r>
  <r>
    <x v="714"/>
    <x v="56"/>
    <x v="0"/>
    <x v="8"/>
    <x v="3"/>
    <n v="7"/>
    <s v="Pune"/>
    <s v="2025-06-25"/>
    <x v="26"/>
    <x v="38"/>
    <x v="60"/>
    <x v="8"/>
    <x v="35"/>
    <x v="22"/>
    <n v="281"/>
    <n v="56.2"/>
    <x v="3"/>
    <x v="0"/>
    <n v="3736"/>
    <s v="Music"/>
    <x v="0"/>
  </r>
  <r>
    <x v="715"/>
    <x v="87"/>
    <x v="0"/>
    <x v="6"/>
    <x v="0"/>
    <n v="10"/>
    <s v="Mumbai"/>
    <s v="2022-08-11"/>
    <x v="15"/>
    <x v="40"/>
    <x v="57"/>
    <x v="14"/>
    <x v="3"/>
    <x v="57"/>
    <n v="370"/>
    <n v="74"/>
    <x v="1"/>
    <x v="0"/>
    <n v="4333"/>
    <s v="Dance"/>
    <x v="0"/>
  </r>
  <r>
    <x v="716"/>
    <x v="41"/>
    <x v="1"/>
    <x v="10"/>
    <x v="2"/>
    <n v="13"/>
    <s v="Hyderabad"/>
    <s v="2024-01-26"/>
    <x v="2"/>
    <x v="50"/>
    <x v="5"/>
    <x v="0"/>
    <x v="10"/>
    <x v="1"/>
    <n v="360"/>
    <n v="72"/>
    <x v="1"/>
    <x v="1"/>
    <n v="3587"/>
    <s v="Sports"/>
    <x v="0"/>
  </r>
  <r>
    <x v="717"/>
    <x v="126"/>
    <x v="1"/>
    <x v="9"/>
    <x v="2"/>
    <n v="13"/>
    <s v="Madurai"/>
    <s v="2025-11-30"/>
    <x v="31"/>
    <x v="50"/>
    <x v="12"/>
    <x v="40"/>
    <x v="65"/>
    <x v="56"/>
    <n v="353"/>
    <n v="70.599999999999994"/>
    <x v="1"/>
    <x v="1"/>
    <n v="4219"/>
    <s v="Music"/>
    <x v="0"/>
  </r>
  <r>
    <x v="718"/>
    <x v="89"/>
    <x v="1"/>
    <x v="1"/>
    <x v="1"/>
    <n v="14"/>
    <s v="Coimbatore"/>
    <s v="2024-08-14"/>
    <x v="37"/>
    <x v="65"/>
    <x v="0"/>
    <x v="22"/>
    <x v="26"/>
    <x v="55"/>
    <n v="343"/>
    <n v="68.599999999999994"/>
    <x v="0"/>
    <x v="0"/>
    <n v="3449"/>
    <s v="Sports"/>
    <x v="0"/>
  </r>
  <r>
    <x v="719"/>
    <x v="135"/>
    <x v="0"/>
    <x v="3"/>
    <x v="2"/>
    <n v="6"/>
    <s v="Mumbai"/>
    <s v="2024-12-05"/>
    <x v="31"/>
    <x v="46"/>
    <x v="63"/>
    <x v="16"/>
    <x v="29"/>
    <x v="56"/>
    <n v="360"/>
    <n v="72"/>
    <x v="1"/>
    <x v="1"/>
    <n v="4014"/>
    <s v="Coding Club"/>
    <x v="0"/>
  </r>
  <r>
    <x v="720"/>
    <x v="115"/>
    <x v="0"/>
    <x v="9"/>
    <x v="2"/>
    <n v="14"/>
    <s v="Bangalore"/>
    <s v="2023-10-16"/>
    <x v="22"/>
    <x v="42"/>
    <x v="17"/>
    <x v="27"/>
    <x v="47"/>
    <x v="4"/>
    <n v="415"/>
    <n v="83"/>
    <x v="2"/>
    <x v="0"/>
    <n v="4804"/>
    <s v="Drama"/>
    <x v="0"/>
  </r>
  <r>
    <x v="721"/>
    <x v="113"/>
    <x v="0"/>
    <x v="2"/>
    <x v="2"/>
    <n v="9"/>
    <s v="Coimbatore"/>
    <s v="2021-06-25"/>
    <x v="16"/>
    <x v="33"/>
    <x v="63"/>
    <x v="47"/>
    <x v="48"/>
    <x v="39"/>
    <n v="313"/>
    <n v="62.6"/>
    <x v="0"/>
    <x v="1"/>
    <n v="3560"/>
    <s v="Sports"/>
    <x v="0"/>
  </r>
  <r>
    <x v="722"/>
    <x v="110"/>
    <x v="0"/>
    <x v="5"/>
    <x v="1"/>
    <n v="6"/>
    <s v="Coimbatore"/>
    <s v="2021-07-11"/>
    <x v="30"/>
    <x v="19"/>
    <x v="27"/>
    <x v="44"/>
    <x v="17"/>
    <x v="19"/>
    <n v="277"/>
    <n v="55.4"/>
    <x v="3"/>
    <x v="1"/>
    <n v="4514"/>
    <s v="Art"/>
    <x v="0"/>
  </r>
  <r>
    <x v="723"/>
    <x v="60"/>
    <x v="0"/>
    <x v="11"/>
    <x v="0"/>
    <n v="15"/>
    <s v="Hyderabad"/>
    <s v="2024-06-08"/>
    <x v="30"/>
    <x v="64"/>
    <x v="36"/>
    <x v="28"/>
    <x v="54"/>
    <x v="35"/>
    <n v="343"/>
    <n v="68.599999999999994"/>
    <x v="0"/>
    <x v="0"/>
    <n v="1766"/>
    <s v="Coding Club"/>
    <x v="0"/>
  </r>
  <r>
    <x v="724"/>
    <x v="21"/>
    <x v="0"/>
    <x v="4"/>
    <x v="2"/>
    <n v="18"/>
    <s v="Bangalore"/>
    <s v="2024-12-22"/>
    <x v="27"/>
    <x v="16"/>
    <x v="41"/>
    <x v="55"/>
    <x v="33"/>
    <x v="31"/>
    <n v="363"/>
    <n v="72.599999999999994"/>
    <x v="1"/>
    <x v="1"/>
    <n v="3064"/>
    <s v="Art"/>
    <x v="0"/>
  </r>
  <r>
    <x v="725"/>
    <x v="73"/>
    <x v="1"/>
    <x v="10"/>
    <x v="1"/>
    <n v="12"/>
    <s v="Pune"/>
    <s v="2024-09-30"/>
    <x v="3"/>
    <x v="34"/>
    <x v="25"/>
    <x v="50"/>
    <x v="6"/>
    <x v="19"/>
    <n v="330"/>
    <n v="66"/>
    <x v="0"/>
    <x v="1"/>
    <n v="3080"/>
    <s v="Coding Club"/>
    <x v="0"/>
  </r>
  <r>
    <x v="726"/>
    <x v="66"/>
    <x v="0"/>
    <x v="3"/>
    <x v="2"/>
    <n v="7"/>
    <s v="Coimbatore"/>
    <s v="2024-09-16"/>
    <x v="29"/>
    <x v="24"/>
    <x v="60"/>
    <x v="9"/>
    <x v="17"/>
    <x v="4"/>
    <n v="323"/>
    <n v="64.599999999999994"/>
    <x v="0"/>
    <x v="1"/>
    <n v="4695"/>
    <s v="Music"/>
    <x v="0"/>
  </r>
  <r>
    <x v="727"/>
    <x v="39"/>
    <x v="0"/>
    <x v="8"/>
    <x v="2"/>
    <n v="7"/>
    <s v="Bangalore"/>
    <s v="2024-01-19"/>
    <x v="28"/>
    <x v="61"/>
    <x v="17"/>
    <x v="18"/>
    <x v="14"/>
    <x v="31"/>
    <n v="329"/>
    <n v="65.8"/>
    <x v="0"/>
    <x v="0"/>
    <n v="2289"/>
    <s v="Coding Club"/>
    <x v="0"/>
  </r>
  <r>
    <x v="728"/>
    <x v="126"/>
    <x v="0"/>
    <x v="0"/>
    <x v="3"/>
    <n v="14"/>
    <s v="Mumbai"/>
    <s v="2024-01-31"/>
    <x v="22"/>
    <x v="14"/>
    <x v="63"/>
    <x v="0"/>
    <x v="14"/>
    <x v="20"/>
    <n v="394"/>
    <n v="78.8"/>
    <x v="1"/>
    <x v="0"/>
    <n v="2383"/>
    <s v="Dance"/>
    <x v="0"/>
  </r>
  <r>
    <x v="729"/>
    <x v="105"/>
    <x v="1"/>
    <x v="6"/>
    <x v="0"/>
    <n v="10"/>
    <s v="Coimbatore"/>
    <s v="2023-01-31"/>
    <x v="5"/>
    <x v="54"/>
    <x v="12"/>
    <x v="3"/>
    <x v="48"/>
    <x v="34"/>
    <n v="393"/>
    <n v="78.599999999999994"/>
    <x v="1"/>
    <x v="0"/>
    <n v="3404"/>
    <s v="Coding Club"/>
    <x v="0"/>
  </r>
  <r>
    <x v="730"/>
    <x v="80"/>
    <x v="1"/>
    <x v="4"/>
    <x v="0"/>
    <n v="16"/>
    <s v="Coimbatore"/>
    <s v="2025-01-09"/>
    <x v="0"/>
    <x v="34"/>
    <x v="6"/>
    <x v="58"/>
    <x v="52"/>
    <x v="59"/>
    <n v="310"/>
    <n v="62"/>
    <x v="0"/>
    <x v="1"/>
    <n v="3574"/>
    <s v="Coding Club"/>
    <x v="0"/>
  </r>
  <r>
    <x v="731"/>
    <x v="130"/>
    <x v="1"/>
    <x v="9"/>
    <x v="0"/>
    <n v="13"/>
    <s v="Madurai"/>
    <s v="2024-04-19"/>
    <x v="36"/>
    <x v="30"/>
    <x v="16"/>
    <x v="15"/>
    <x v="19"/>
    <x v="36"/>
    <n v="249"/>
    <n v="49.8"/>
    <x v="4"/>
    <x v="0"/>
    <n v="4738"/>
    <s v="Drama"/>
    <x v="1"/>
  </r>
  <r>
    <x v="732"/>
    <x v="27"/>
    <x v="0"/>
    <x v="7"/>
    <x v="2"/>
    <n v="10"/>
    <s v="Chennai"/>
    <s v="2025-04-12"/>
    <x v="33"/>
    <x v="17"/>
    <x v="29"/>
    <x v="25"/>
    <x v="11"/>
    <x v="47"/>
    <n v="441"/>
    <n v="88.2"/>
    <x v="2"/>
    <x v="0"/>
    <n v="4852"/>
    <s v="Coding Club"/>
    <x v="0"/>
  </r>
  <r>
    <x v="733"/>
    <x v="92"/>
    <x v="1"/>
    <x v="4"/>
    <x v="0"/>
    <n v="17"/>
    <s v="Chennai"/>
    <s v="2024-08-29"/>
    <x v="9"/>
    <x v="10"/>
    <x v="4"/>
    <x v="49"/>
    <x v="56"/>
    <x v="3"/>
    <n v="392"/>
    <n v="78.400000000000006"/>
    <x v="1"/>
    <x v="0"/>
    <n v="4668"/>
    <s v="Sports"/>
    <x v="0"/>
  </r>
  <r>
    <x v="734"/>
    <x v="125"/>
    <x v="1"/>
    <x v="5"/>
    <x v="3"/>
    <n v="8"/>
    <s v="Hyderabad"/>
    <s v="2021-07-04"/>
    <x v="12"/>
    <x v="58"/>
    <x v="14"/>
    <x v="65"/>
    <x v="25"/>
    <x v="27"/>
    <n v="279"/>
    <n v="55.8"/>
    <x v="3"/>
    <x v="1"/>
    <n v="4238"/>
    <s v="Dance"/>
    <x v="0"/>
  </r>
  <r>
    <x v="735"/>
    <x v="96"/>
    <x v="1"/>
    <x v="3"/>
    <x v="2"/>
    <n v="7"/>
    <s v="Bangalore"/>
    <s v="2022-09-29"/>
    <x v="1"/>
    <x v="12"/>
    <x v="7"/>
    <x v="16"/>
    <x v="51"/>
    <x v="8"/>
    <n v="313"/>
    <n v="62.6"/>
    <x v="0"/>
    <x v="0"/>
    <n v="1832"/>
    <s v="Music"/>
    <x v="0"/>
  </r>
  <r>
    <x v="736"/>
    <x v="75"/>
    <x v="0"/>
    <x v="2"/>
    <x v="0"/>
    <n v="9"/>
    <s v="Bangalore"/>
    <s v="2022-03-07"/>
    <x v="25"/>
    <x v="38"/>
    <x v="29"/>
    <x v="36"/>
    <x v="28"/>
    <x v="60"/>
    <n v="394"/>
    <n v="78.8"/>
    <x v="1"/>
    <x v="1"/>
    <n v="2635"/>
    <s v="Art"/>
    <x v="0"/>
  </r>
  <r>
    <x v="737"/>
    <x v="61"/>
    <x v="0"/>
    <x v="8"/>
    <x v="1"/>
    <n v="7"/>
    <s v="Coimbatore"/>
    <s v="2021-03-28"/>
    <x v="5"/>
    <x v="51"/>
    <x v="30"/>
    <x v="1"/>
    <x v="36"/>
    <x v="1"/>
    <n v="267"/>
    <n v="53.4"/>
    <x v="3"/>
    <x v="1"/>
    <n v="4343"/>
    <s v="Coding Club"/>
    <x v="1"/>
  </r>
  <r>
    <x v="738"/>
    <x v="12"/>
    <x v="1"/>
    <x v="11"/>
    <x v="2"/>
    <n v="16"/>
    <s v="Hyderabad"/>
    <s v="2025-07-13"/>
    <x v="32"/>
    <x v="32"/>
    <x v="53"/>
    <x v="12"/>
    <x v="60"/>
    <x v="23"/>
    <n v="312"/>
    <n v="62.4"/>
    <x v="0"/>
    <x v="0"/>
    <n v="4403"/>
    <s v="Drama"/>
    <x v="0"/>
  </r>
  <r>
    <x v="739"/>
    <x v="145"/>
    <x v="1"/>
    <x v="4"/>
    <x v="2"/>
    <n v="16"/>
    <s v="Bangalore"/>
    <s v="2021-04-03"/>
    <x v="7"/>
    <x v="55"/>
    <x v="34"/>
    <x v="54"/>
    <x v="1"/>
    <x v="53"/>
    <n v="392"/>
    <n v="78.400000000000006"/>
    <x v="1"/>
    <x v="0"/>
    <n v="2636"/>
    <s v="Dance"/>
    <x v="0"/>
  </r>
  <r>
    <x v="740"/>
    <x v="108"/>
    <x v="1"/>
    <x v="11"/>
    <x v="2"/>
    <n v="15"/>
    <s v="Bangalore"/>
    <s v="2023-08-09"/>
    <x v="0"/>
    <x v="3"/>
    <x v="50"/>
    <x v="7"/>
    <x v="35"/>
    <x v="37"/>
    <n v="357"/>
    <n v="71.400000000000006"/>
    <x v="1"/>
    <x v="1"/>
    <n v="4189"/>
    <s v="Dance"/>
    <x v="0"/>
  </r>
  <r>
    <x v="741"/>
    <x v="137"/>
    <x v="0"/>
    <x v="4"/>
    <x v="1"/>
    <n v="16"/>
    <s v="Madurai"/>
    <s v="2024-07-12"/>
    <x v="14"/>
    <x v="43"/>
    <x v="27"/>
    <x v="40"/>
    <x v="38"/>
    <x v="9"/>
    <n v="343"/>
    <n v="68.599999999999994"/>
    <x v="0"/>
    <x v="1"/>
    <n v="1834"/>
    <s v="Coding Club"/>
    <x v="0"/>
  </r>
  <r>
    <x v="742"/>
    <x v="40"/>
    <x v="1"/>
    <x v="5"/>
    <x v="0"/>
    <n v="8"/>
    <s v="Chennai"/>
    <s v="2024-12-18"/>
    <x v="30"/>
    <x v="28"/>
    <x v="32"/>
    <x v="26"/>
    <x v="60"/>
    <x v="21"/>
    <n v="300"/>
    <n v="60"/>
    <x v="0"/>
    <x v="0"/>
    <n v="1738"/>
    <s v="Dance"/>
    <x v="0"/>
  </r>
  <r>
    <x v="743"/>
    <x v="77"/>
    <x v="0"/>
    <x v="6"/>
    <x v="0"/>
    <n v="11"/>
    <s v="Hyderabad"/>
    <s v="2024-07-11"/>
    <x v="4"/>
    <x v="39"/>
    <x v="20"/>
    <x v="60"/>
    <x v="18"/>
    <x v="34"/>
    <n v="306"/>
    <n v="61.2"/>
    <x v="0"/>
    <x v="1"/>
    <n v="3258"/>
    <s v="Art"/>
    <x v="0"/>
  </r>
  <r>
    <x v="744"/>
    <x v="48"/>
    <x v="0"/>
    <x v="3"/>
    <x v="1"/>
    <n v="7"/>
    <s v="Mumbai"/>
    <s v="2021-01-15"/>
    <x v="2"/>
    <x v="18"/>
    <x v="23"/>
    <x v="63"/>
    <x v="23"/>
    <x v="64"/>
    <n v="327"/>
    <n v="65.400000000000006"/>
    <x v="0"/>
    <x v="0"/>
    <n v="3977"/>
    <s v="Sports"/>
    <x v="0"/>
  </r>
  <r>
    <x v="745"/>
    <x v="8"/>
    <x v="0"/>
    <x v="10"/>
    <x v="0"/>
    <n v="12"/>
    <s v="Coimbatore"/>
    <s v="2022-03-11"/>
    <x v="16"/>
    <x v="53"/>
    <x v="60"/>
    <x v="50"/>
    <x v="17"/>
    <x v="1"/>
    <n v="278"/>
    <n v="55.6"/>
    <x v="3"/>
    <x v="0"/>
    <n v="3703"/>
    <s v="Drama"/>
    <x v="0"/>
  </r>
  <r>
    <x v="746"/>
    <x v="139"/>
    <x v="0"/>
    <x v="7"/>
    <x v="0"/>
    <n v="9"/>
    <s v="Chennai"/>
    <s v="2021-12-12"/>
    <x v="25"/>
    <x v="57"/>
    <x v="50"/>
    <x v="0"/>
    <x v="34"/>
    <x v="57"/>
    <n v="302"/>
    <n v="60.4"/>
    <x v="0"/>
    <x v="0"/>
    <n v="4458"/>
    <s v="Music"/>
    <x v="0"/>
  </r>
  <r>
    <x v="747"/>
    <x v="44"/>
    <x v="0"/>
    <x v="5"/>
    <x v="0"/>
    <n v="8"/>
    <s v="Madurai"/>
    <s v="2021-11-27"/>
    <x v="19"/>
    <x v="49"/>
    <x v="23"/>
    <x v="25"/>
    <x v="14"/>
    <x v="22"/>
    <n v="337"/>
    <n v="67.400000000000006"/>
    <x v="0"/>
    <x v="0"/>
    <n v="2290"/>
    <s v="Coding Club"/>
    <x v="0"/>
  </r>
  <r>
    <x v="748"/>
    <x v="142"/>
    <x v="0"/>
    <x v="10"/>
    <x v="1"/>
    <n v="13"/>
    <s v="Hyderabad"/>
    <s v="2022-09-14"/>
    <x v="15"/>
    <x v="7"/>
    <x v="40"/>
    <x v="49"/>
    <x v="53"/>
    <x v="14"/>
    <n v="281"/>
    <n v="56.2"/>
    <x v="3"/>
    <x v="0"/>
    <n v="1992"/>
    <s v="Music"/>
    <x v="0"/>
  </r>
  <r>
    <x v="749"/>
    <x v="85"/>
    <x v="1"/>
    <x v="3"/>
    <x v="2"/>
    <n v="6"/>
    <s v="Mumbai"/>
    <s v="2025-08-15"/>
    <x v="12"/>
    <x v="6"/>
    <x v="47"/>
    <x v="23"/>
    <x v="0"/>
    <x v="23"/>
    <n v="317"/>
    <n v="63.4"/>
    <x v="0"/>
    <x v="1"/>
    <n v="2947"/>
    <s v="Music"/>
    <x v="0"/>
  </r>
  <r>
    <x v="750"/>
    <x v="93"/>
    <x v="0"/>
    <x v="9"/>
    <x v="1"/>
    <n v="15"/>
    <s v="Coimbatore"/>
    <s v="2023-08-25"/>
    <x v="17"/>
    <x v="2"/>
    <x v="52"/>
    <x v="14"/>
    <x v="11"/>
    <x v="14"/>
    <n v="340"/>
    <n v="68"/>
    <x v="0"/>
    <x v="1"/>
    <n v="2392"/>
    <s v="Drama"/>
    <x v="0"/>
  </r>
  <r>
    <x v="751"/>
    <x v="41"/>
    <x v="1"/>
    <x v="0"/>
    <x v="3"/>
    <n v="14"/>
    <s v="Chennai"/>
    <s v="2024-02-18"/>
    <x v="23"/>
    <x v="16"/>
    <x v="22"/>
    <x v="57"/>
    <x v="2"/>
    <x v="18"/>
    <n v="371"/>
    <n v="74.2"/>
    <x v="1"/>
    <x v="1"/>
    <n v="2738"/>
    <s v="Music"/>
    <x v="0"/>
  </r>
  <r>
    <x v="752"/>
    <x v="27"/>
    <x v="1"/>
    <x v="4"/>
    <x v="3"/>
    <n v="18"/>
    <s v="Mumbai"/>
    <s v="2022-03-15"/>
    <x v="21"/>
    <x v="16"/>
    <x v="65"/>
    <x v="65"/>
    <x v="41"/>
    <x v="40"/>
    <n v="272"/>
    <n v="54.4"/>
    <x v="3"/>
    <x v="1"/>
    <n v="3606"/>
    <s v="Music"/>
    <x v="1"/>
  </r>
  <r>
    <x v="753"/>
    <x v="71"/>
    <x v="0"/>
    <x v="5"/>
    <x v="2"/>
    <n v="6"/>
    <s v="Hyderabad"/>
    <s v="2023-10-17"/>
    <x v="34"/>
    <x v="8"/>
    <x v="12"/>
    <x v="54"/>
    <x v="1"/>
    <x v="46"/>
    <n v="418"/>
    <n v="83.6"/>
    <x v="2"/>
    <x v="0"/>
    <n v="3469"/>
    <s v="Art"/>
    <x v="0"/>
  </r>
  <r>
    <x v="754"/>
    <x v="52"/>
    <x v="1"/>
    <x v="1"/>
    <x v="0"/>
    <n v="12"/>
    <s v="Hyderabad"/>
    <s v="2024-05-24"/>
    <x v="20"/>
    <x v="15"/>
    <x v="38"/>
    <x v="57"/>
    <x v="25"/>
    <x v="40"/>
    <n v="305"/>
    <n v="61"/>
    <x v="0"/>
    <x v="1"/>
    <n v="3155"/>
    <s v="Sports"/>
    <x v="0"/>
  </r>
  <r>
    <x v="755"/>
    <x v="50"/>
    <x v="0"/>
    <x v="6"/>
    <x v="1"/>
    <n v="10"/>
    <s v="Bangalore"/>
    <s v="2023-09-17"/>
    <x v="9"/>
    <x v="0"/>
    <x v="36"/>
    <x v="17"/>
    <x v="46"/>
    <x v="35"/>
    <n v="325"/>
    <n v="65"/>
    <x v="0"/>
    <x v="1"/>
    <n v="2812"/>
    <s v="Drama"/>
    <x v="0"/>
  </r>
  <r>
    <x v="756"/>
    <x v="50"/>
    <x v="1"/>
    <x v="8"/>
    <x v="1"/>
    <n v="8"/>
    <s v="Madurai"/>
    <s v="2024-03-25"/>
    <x v="19"/>
    <x v="8"/>
    <x v="61"/>
    <x v="30"/>
    <x v="53"/>
    <x v="56"/>
    <n v="344"/>
    <n v="68.8"/>
    <x v="0"/>
    <x v="0"/>
    <n v="4424"/>
    <s v="Coding Club"/>
    <x v="0"/>
  </r>
  <r>
    <x v="757"/>
    <x v="61"/>
    <x v="1"/>
    <x v="10"/>
    <x v="1"/>
    <n v="13"/>
    <s v="Chennai"/>
    <s v="2025-11-23"/>
    <x v="5"/>
    <x v="43"/>
    <x v="52"/>
    <x v="48"/>
    <x v="36"/>
    <x v="16"/>
    <n v="361"/>
    <n v="72.2"/>
    <x v="1"/>
    <x v="1"/>
    <n v="4076"/>
    <s v="Dance"/>
    <x v="0"/>
  </r>
  <r>
    <x v="758"/>
    <x v="89"/>
    <x v="0"/>
    <x v="5"/>
    <x v="2"/>
    <n v="8"/>
    <s v="Mumbai"/>
    <s v="2021-05-20"/>
    <x v="32"/>
    <x v="5"/>
    <x v="37"/>
    <x v="15"/>
    <x v="51"/>
    <x v="16"/>
    <n v="349"/>
    <n v="69.8"/>
    <x v="0"/>
    <x v="0"/>
    <n v="3394"/>
    <s v="Music"/>
    <x v="0"/>
  </r>
  <r>
    <x v="759"/>
    <x v="105"/>
    <x v="1"/>
    <x v="9"/>
    <x v="3"/>
    <n v="15"/>
    <s v="Mumbai"/>
    <s v="2024-02-16"/>
    <x v="9"/>
    <x v="29"/>
    <x v="12"/>
    <x v="36"/>
    <x v="33"/>
    <x v="29"/>
    <n v="296"/>
    <n v="59.2"/>
    <x v="3"/>
    <x v="0"/>
    <n v="4395"/>
    <s v="Music"/>
    <x v="0"/>
  </r>
  <r>
    <x v="760"/>
    <x v="83"/>
    <x v="0"/>
    <x v="5"/>
    <x v="2"/>
    <n v="7"/>
    <s v="Madurai"/>
    <s v="2025-10-28"/>
    <x v="39"/>
    <x v="25"/>
    <x v="5"/>
    <x v="12"/>
    <x v="35"/>
    <x v="27"/>
    <n v="322"/>
    <n v="64.400000000000006"/>
    <x v="0"/>
    <x v="1"/>
    <n v="4665"/>
    <s v="Art"/>
    <x v="0"/>
  </r>
  <r>
    <x v="761"/>
    <x v="59"/>
    <x v="1"/>
    <x v="10"/>
    <x v="3"/>
    <n v="12"/>
    <s v="Coimbatore"/>
    <s v="2023-09-13"/>
    <x v="33"/>
    <x v="34"/>
    <x v="2"/>
    <x v="17"/>
    <x v="22"/>
    <x v="41"/>
    <n v="387"/>
    <n v="77.400000000000006"/>
    <x v="1"/>
    <x v="0"/>
    <n v="4134"/>
    <s v="Dance"/>
    <x v="0"/>
  </r>
  <r>
    <x v="762"/>
    <x v="144"/>
    <x v="0"/>
    <x v="6"/>
    <x v="0"/>
    <n v="11"/>
    <s v="Pune"/>
    <s v="2023-01-22"/>
    <x v="29"/>
    <x v="8"/>
    <x v="58"/>
    <x v="0"/>
    <x v="19"/>
    <x v="54"/>
    <n v="331"/>
    <n v="66.2"/>
    <x v="0"/>
    <x v="1"/>
    <n v="2697"/>
    <s v="Dance"/>
    <x v="0"/>
  </r>
  <r>
    <x v="763"/>
    <x v="77"/>
    <x v="1"/>
    <x v="0"/>
    <x v="1"/>
    <n v="16"/>
    <s v="Chennai"/>
    <s v="2025-11-09"/>
    <x v="38"/>
    <x v="30"/>
    <x v="54"/>
    <x v="9"/>
    <x v="47"/>
    <x v="18"/>
    <n v="307"/>
    <n v="61.4"/>
    <x v="0"/>
    <x v="1"/>
    <n v="3871"/>
    <s v="Sports"/>
    <x v="0"/>
  </r>
  <r>
    <x v="764"/>
    <x v="26"/>
    <x v="0"/>
    <x v="8"/>
    <x v="3"/>
    <n v="9"/>
    <s v="Chennai"/>
    <s v="2022-06-24"/>
    <x v="7"/>
    <x v="14"/>
    <x v="23"/>
    <x v="11"/>
    <x v="1"/>
    <x v="9"/>
    <n v="423"/>
    <n v="84.6"/>
    <x v="2"/>
    <x v="1"/>
    <n v="2445"/>
    <s v="Dance"/>
    <x v="0"/>
  </r>
  <r>
    <x v="765"/>
    <x v="21"/>
    <x v="1"/>
    <x v="11"/>
    <x v="1"/>
    <n v="15"/>
    <s v="Bangalore"/>
    <s v="2021-01-11"/>
    <x v="20"/>
    <x v="56"/>
    <x v="31"/>
    <x v="59"/>
    <x v="62"/>
    <x v="54"/>
    <n v="329"/>
    <n v="65.8"/>
    <x v="0"/>
    <x v="0"/>
    <n v="4102"/>
    <s v="Coding Club"/>
    <x v="0"/>
  </r>
  <r>
    <x v="766"/>
    <x v="4"/>
    <x v="1"/>
    <x v="3"/>
    <x v="1"/>
    <n v="6"/>
    <s v="Mumbai"/>
    <s v="2024-09-27"/>
    <x v="18"/>
    <x v="20"/>
    <x v="22"/>
    <x v="43"/>
    <x v="63"/>
    <x v="56"/>
    <n v="395"/>
    <n v="79"/>
    <x v="1"/>
    <x v="1"/>
    <n v="3179"/>
    <s v="Sports"/>
    <x v="0"/>
  </r>
  <r>
    <x v="767"/>
    <x v="70"/>
    <x v="0"/>
    <x v="10"/>
    <x v="1"/>
    <n v="11"/>
    <s v="Coimbatore"/>
    <s v="2025-09-29"/>
    <x v="25"/>
    <x v="52"/>
    <x v="46"/>
    <x v="64"/>
    <x v="23"/>
    <x v="51"/>
    <n v="335"/>
    <n v="67"/>
    <x v="0"/>
    <x v="1"/>
    <n v="3700"/>
    <s v="Coding Club"/>
    <x v="0"/>
  </r>
  <r>
    <x v="768"/>
    <x v="147"/>
    <x v="1"/>
    <x v="7"/>
    <x v="1"/>
    <n v="9"/>
    <s v="Coimbatore"/>
    <s v="2024-07-19"/>
    <x v="3"/>
    <x v="53"/>
    <x v="11"/>
    <x v="60"/>
    <x v="47"/>
    <x v="19"/>
    <n v="345"/>
    <n v="69"/>
    <x v="0"/>
    <x v="0"/>
    <n v="1711"/>
    <s v="Dance"/>
    <x v="0"/>
  </r>
  <r>
    <x v="769"/>
    <x v="60"/>
    <x v="1"/>
    <x v="5"/>
    <x v="1"/>
    <n v="6"/>
    <s v="Pune"/>
    <s v="2021-06-12"/>
    <x v="1"/>
    <x v="58"/>
    <x v="33"/>
    <x v="11"/>
    <x v="57"/>
    <x v="37"/>
    <n v="333"/>
    <n v="66.599999999999994"/>
    <x v="0"/>
    <x v="1"/>
    <n v="4706"/>
    <s v="Drama"/>
    <x v="0"/>
  </r>
  <r>
    <x v="770"/>
    <x v="72"/>
    <x v="1"/>
    <x v="3"/>
    <x v="1"/>
    <n v="7"/>
    <s v="Coimbatore"/>
    <s v="2025-02-24"/>
    <x v="3"/>
    <x v="1"/>
    <x v="62"/>
    <x v="47"/>
    <x v="39"/>
    <x v="24"/>
    <n v="324"/>
    <n v="64.8"/>
    <x v="0"/>
    <x v="1"/>
    <n v="2890"/>
    <s v="Music"/>
    <x v="0"/>
  </r>
  <r>
    <x v="771"/>
    <x v="87"/>
    <x v="1"/>
    <x v="4"/>
    <x v="3"/>
    <n v="18"/>
    <s v="Pune"/>
    <s v="2021-04-08"/>
    <x v="11"/>
    <x v="21"/>
    <x v="15"/>
    <x v="36"/>
    <x v="21"/>
    <x v="36"/>
    <n v="258"/>
    <n v="51.6"/>
    <x v="3"/>
    <x v="1"/>
    <n v="4559"/>
    <s v="Music"/>
    <x v="1"/>
  </r>
  <r>
    <x v="772"/>
    <x v="68"/>
    <x v="0"/>
    <x v="0"/>
    <x v="1"/>
    <n v="14"/>
    <s v="Chennai"/>
    <s v="2022-11-04"/>
    <x v="29"/>
    <x v="29"/>
    <x v="25"/>
    <x v="1"/>
    <x v="62"/>
    <x v="32"/>
    <n v="294"/>
    <n v="58.8"/>
    <x v="3"/>
    <x v="0"/>
    <n v="2738"/>
    <s v="Sports"/>
    <x v="0"/>
  </r>
  <r>
    <x v="773"/>
    <x v="93"/>
    <x v="0"/>
    <x v="6"/>
    <x v="1"/>
    <n v="11"/>
    <s v="Pune"/>
    <s v="2023-11-29"/>
    <x v="7"/>
    <x v="25"/>
    <x v="59"/>
    <x v="39"/>
    <x v="21"/>
    <x v="64"/>
    <n v="373"/>
    <n v="74.599999999999994"/>
    <x v="1"/>
    <x v="1"/>
    <n v="4308"/>
    <s v="Dance"/>
    <x v="0"/>
  </r>
  <r>
    <x v="774"/>
    <x v="105"/>
    <x v="0"/>
    <x v="11"/>
    <x v="3"/>
    <n v="16"/>
    <s v="Bangalore"/>
    <s v="2025-01-10"/>
    <x v="16"/>
    <x v="39"/>
    <x v="4"/>
    <x v="10"/>
    <x v="33"/>
    <x v="45"/>
    <n v="321"/>
    <n v="64.2"/>
    <x v="0"/>
    <x v="1"/>
    <n v="2280"/>
    <s v="Drama"/>
    <x v="0"/>
  </r>
  <r>
    <x v="775"/>
    <x v="71"/>
    <x v="0"/>
    <x v="2"/>
    <x v="1"/>
    <n v="10"/>
    <s v="Hyderabad"/>
    <s v="2024-11-30"/>
    <x v="13"/>
    <x v="5"/>
    <x v="2"/>
    <x v="15"/>
    <x v="8"/>
    <x v="46"/>
    <n v="330"/>
    <n v="66"/>
    <x v="0"/>
    <x v="1"/>
    <n v="1986"/>
    <s v="Dance"/>
    <x v="0"/>
  </r>
  <r>
    <x v="776"/>
    <x v="26"/>
    <x v="1"/>
    <x v="9"/>
    <x v="2"/>
    <n v="15"/>
    <s v="Pune"/>
    <s v="2023-07-08"/>
    <x v="13"/>
    <x v="59"/>
    <x v="18"/>
    <x v="45"/>
    <x v="51"/>
    <x v="45"/>
    <n v="335"/>
    <n v="67"/>
    <x v="0"/>
    <x v="1"/>
    <n v="4641"/>
    <s v="Art"/>
    <x v="0"/>
  </r>
  <r>
    <x v="777"/>
    <x v="126"/>
    <x v="0"/>
    <x v="1"/>
    <x v="3"/>
    <n v="14"/>
    <s v="Mumbai"/>
    <s v="2021-10-07"/>
    <x v="5"/>
    <x v="6"/>
    <x v="59"/>
    <x v="27"/>
    <x v="44"/>
    <x v="25"/>
    <n v="406"/>
    <n v="81.2"/>
    <x v="2"/>
    <x v="0"/>
    <n v="2118"/>
    <s v="Sports"/>
    <x v="0"/>
  </r>
  <r>
    <x v="778"/>
    <x v="50"/>
    <x v="0"/>
    <x v="11"/>
    <x v="2"/>
    <n v="15"/>
    <s v="Chennai"/>
    <s v="2025-01-10"/>
    <x v="30"/>
    <x v="53"/>
    <x v="50"/>
    <x v="10"/>
    <x v="51"/>
    <x v="24"/>
    <n v="312"/>
    <n v="62.4"/>
    <x v="0"/>
    <x v="1"/>
    <n v="3814"/>
    <s v="Drama"/>
    <x v="0"/>
  </r>
  <r>
    <x v="779"/>
    <x v="5"/>
    <x v="0"/>
    <x v="8"/>
    <x v="3"/>
    <n v="7"/>
    <s v="Hyderabad"/>
    <s v="2021-06-13"/>
    <x v="31"/>
    <x v="0"/>
    <x v="34"/>
    <x v="9"/>
    <x v="45"/>
    <x v="34"/>
    <n v="254"/>
    <n v="50.8"/>
    <x v="3"/>
    <x v="0"/>
    <n v="1905"/>
    <s v="Dance"/>
    <x v="1"/>
  </r>
  <r>
    <x v="780"/>
    <x v="6"/>
    <x v="0"/>
    <x v="11"/>
    <x v="0"/>
    <n v="17"/>
    <s v="Pune"/>
    <s v="2025-10-06"/>
    <x v="30"/>
    <x v="49"/>
    <x v="17"/>
    <x v="28"/>
    <x v="15"/>
    <x v="8"/>
    <n v="320"/>
    <n v="64"/>
    <x v="0"/>
    <x v="1"/>
    <n v="4049"/>
    <s v="Sports"/>
    <x v="0"/>
  </r>
  <r>
    <x v="781"/>
    <x v="14"/>
    <x v="0"/>
    <x v="8"/>
    <x v="3"/>
    <n v="7"/>
    <s v="Mumbai"/>
    <s v="2022-04-03"/>
    <x v="30"/>
    <x v="8"/>
    <x v="62"/>
    <x v="64"/>
    <x v="11"/>
    <x v="11"/>
    <n v="350"/>
    <n v="70"/>
    <x v="1"/>
    <x v="1"/>
    <n v="4037"/>
    <s v="Sports"/>
    <x v="0"/>
  </r>
  <r>
    <x v="782"/>
    <x v="28"/>
    <x v="0"/>
    <x v="8"/>
    <x v="2"/>
    <n v="8"/>
    <s v="Madurai"/>
    <s v="2021-05-14"/>
    <x v="8"/>
    <x v="13"/>
    <x v="42"/>
    <x v="56"/>
    <x v="1"/>
    <x v="34"/>
    <n v="349"/>
    <n v="69.8"/>
    <x v="0"/>
    <x v="0"/>
    <n v="3834"/>
    <s v="Sports"/>
    <x v="0"/>
  </r>
  <r>
    <x v="783"/>
    <x v="54"/>
    <x v="1"/>
    <x v="10"/>
    <x v="3"/>
    <n v="13"/>
    <s v="Chennai"/>
    <s v="2023-11-11"/>
    <x v="15"/>
    <x v="14"/>
    <x v="17"/>
    <x v="51"/>
    <x v="50"/>
    <x v="10"/>
    <n v="379"/>
    <n v="75.8"/>
    <x v="1"/>
    <x v="1"/>
    <n v="2743"/>
    <s v="Sports"/>
    <x v="0"/>
  </r>
  <r>
    <x v="784"/>
    <x v="88"/>
    <x v="0"/>
    <x v="7"/>
    <x v="1"/>
    <n v="9"/>
    <s v="Coimbatore"/>
    <s v="2024-02-16"/>
    <x v="32"/>
    <x v="25"/>
    <x v="27"/>
    <x v="39"/>
    <x v="63"/>
    <x v="13"/>
    <n v="391"/>
    <n v="78.2"/>
    <x v="1"/>
    <x v="0"/>
    <n v="4860"/>
    <s v="Coding Club"/>
    <x v="0"/>
  </r>
  <r>
    <x v="785"/>
    <x v="67"/>
    <x v="0"/>
    <x v="3"/>
    <x v="1"/>
    <n v="6"/>
    <s v="Hyderabad"/>
    <s v="2023-11-29"/>
    <x v="1"/>
    <x v="52"/>
    <x v="40"/>
    <x v="46"/>
    <x v="51"/>
    <x v="18"/>
    <n v="313"/>
    <n v="62.6"/>
    <x v="0"/>
    <x v="0"/>
    <n v="2539"/>
    <s v="Art"/>
    <x v="0"/>
  </r>
  <r>
    <x v="786"/>
    <x v="97"/>
    <x v="0"/>
    <x v="11"/>
    <x v="1"/>
    <n v="15"/>
    <s v="Chennai"/>
    <s v="2021-04-12"/>
    <x v="16"/>
    <x v="11"/>
    <x v="12"/>
    <x v="19"/>
    <x v="39"/>
    <x v="6"/>
    <n v="370"/>
    <n v="74"/>
    <x v="1"/>
    <x v="1"/>
    <n v="4180"/>
    <s v="Drama"/>
    <x v="0"/>
  </r>
  <r>
    <x v="787"/>
    <x v="101"/>
    <x v="1"/>
    <x v="6"/>
    <x v="1"/>
    <n v="10"/>
    <s v="Madurai"/>
    <s v="2025-04-29"/>
    <x v="22"/>
    <x v="13"/>
    <x v="16"/>
    <x v="57"/>
    <x v="1"/>
    <x v="16"/>
    <n v="365"/>
    <n v="73"/>
    <x v="1"/>
    <x v="0"/>
    <n v="1847"/>
    <s v="Art"/>
    <x v="0"/>
  </r>
  <r>
    <x v="788"/>
    <x v="36"/>
    <x v="1"/>
    <x v="10"/>
    <x v="3"/>
    <n v="12"/>
    <s v="Coimbatore"/>
    <s v="2025-10-07"/>
    <x v="27"/>
    <x v="30"/>
    <x v="56"/>
    <x v="0"/>
    <x v="18"/>
    <x v="61"/>
    <n v="370"/>
    <n v="74"/>
    <x v="1"/>
    <x v="1"/>
    <n v="2745"/>
    <s v="Coding Club"/>
    <x v="0"/>
  </r>
  <r>
    <x v="789"/>
    <x v="90"/>
    <x v="0"/>
    <x v="5"/>
    <x v="3"/>
    <n v="8"/>
    <s v="Pune"/>
    <s v="2024-09-04"/>
    <x v="26"/>
    <x v="37"/>
    <x v="26"/>
    <x v="39"/>
    <x v="10"/>
    <x v="48"/>
    <n v="311"/>
    <n v="62.2"/>
    <x v="0"/>
    <x v="0"/>
    <n v="2772"/>
    <s v="Coding Club"/>
    <x v="0"/>
  </r>
  <r>
    <x v="790"/>
    <x v="57"/>
    <x v="1"/>
    <x v="8"/>
    <x v="2"/>
    <n v="9"/>
    <s v="Mumbai"/>
    <s v="2021-10-13"/>
    <x v="35"/>
    <x v="26"/>
    <x v="64"/>
    <x v="30"/>
    <x v="61"/>
    <x v="35"/>
    <n v="316"/>
    <n v="63.2"/>
    <x v="0"/>
    <x v="0"/>
    <n v="3234"/>
    <s v="Sports"/>
    <x v="0"/>
  </r>
  <r>
    <x v="791"/>
    <x v="10"/>
    <x v="1"/>
    <x v="5"/>
    <x v="1"/>
    <n v="8"/>
    <s v="Bangalore"/>
    <s v="2022-11-11"/>
    <x v="23"/>
    <x v="15"/>
    <x v="55"/>
    <x v="13"/>
    <x v="17"/>
    <x v="51"/>
    <n v="290"/>
    <n v="58"/>
    <x v="3"/>
    <x v="1"/>
    <n v="4342"/>
    <s v="Sports"/>
    <x v="0"/>
  </r>
  <r>
    <x v="792"/>
    <x v="149"/>
    <x v="1"/>
    <x v="4"/>
    <x v="2"/>
    <n v="18"/>
    <s v="Pune"/>
    <s v="2023-03-15"/>
    <x v="11"/>
    <x v="9"/>
    <x v="43"/>
    <x v="42"/>
    <x v="30"/>
    <x v="58"/>
    <n v="283"/>
    <n v="56.6"/>
    <x v="3"/>
    <x v="0"/>
    <n v="4931"/>
    <s v="Coding Club"/>
    <x v="0"/>
  </r>
  <r>
    <x v="793"/>
    <x v="140"/>
    <x v="0"/>
    <x v="4"/>
    <x v="2"/>
    <n v="16"/>
    <s v="Madurai"/>
    <s v="2021-06-05"/>
    <x v="13"/>
    <x v="34"/>
    <x v="10"/>
    <x v="10"/>
    <x v="16"/>
    <x v="38"/>
    <n v="315"/>
    <n v="63"/>
    <x v="0"/>
    <x v="0"/>
    <n v="2385"/>
    <s v="Music"/>
    <x v="0"/>
  </r>
  <r>
    <x v="794"/>
    <x v="145"/>
    <x v="0"/>
    <x v="9"/>
    <x v="3"/>
    <n v="15"/>
    <s v="Pune"/>
    <s v="2022-03-23"/>
    <x v="24"/>
    <x v="14"/>
    <x v="57"/>
    <x v="20"/>
    <x v="44"/>
    <x v="64"/>
    <n v="381"/>
    <n v="76.2"/>
    <x v="1"/>
    <x v="0"/>
    <n v="3044"/>
    <s v="Coding Club"/>
    <x v="0"/>
  </r>
  <r>
    <x v="795"/>
    <x v="2"/>
    <x v="0"/>
    <x v="11"/>
    <x v="1"/>
    <n v="17"/>
    <s v="Hyderabad"/>
    <s v="2025-09-25"/>
    <x v="2"/>
    <x v="52"/>
    <x v="12"/>
    <x v="49"/>
    <x v="45"/>
    <x v="12"/>
    <n v="321"/>
    <n v="64.2"/>
    <x v="0"/>
    <x v="0"/>
    <n v="1906"/>
    <s v="Drama"/>
    <x v="0"/>
  </r>
  <r>
    <x v="796"/>
    <x v="65"/>
    <x v="0"/>
    <x v="4"/>
    <x v="0"/>
    <n v="18"/>
    <s v="Madurai"/>
    <s v="2022-06-21"/>
    <x v="32"/>
    <x v="42"/>
    <x v="27"/>
    <x v="3"/>
    <x v="30"/>
    <x v="5"/>
    <n v="352"/>
    <n v="70.400000000000006"/>
    <x v="1"/>
    <x v="1"/>
    <n v="3983"/>
    <s v="Music"/>
    <x v="0"/>
  </r>
  <r>
    <x v="797"/>
    <x v="101"/>
    <x v="1"/>
    <x v="8"/>
    <x v="0"/>
    <n v="7"/>
    <s v="Mumbai"/>
    <s v="2021-02-06"/>
    <x v="37"/>
    <x v="13"/>
    <x v="46"/>
    <x v="26"/>
    <x v="36"/>
    <x v="39"/>
    <n v="275"/>
    <n v="55"/>
    <x v="3"/>
    <x v="1"/>
    <n v="4284"/>
    <s v="Dance"/>
    <x v="1"/>
  </r>
  <r>
    <x v="798"/>
    <x v="7"/>
    <x v="0"/>
    <x v="2"/>
    <x v="3"/>
    <n v="8"/>
    <s v="Madurai"/>
    <s v="2025-09-19"/>
    <x v="26"/>
    <x v="38"/>
    <x v="9"/>
    <x v="4"/>
    <x v="38"/>
    <x v="18"/>
    <n v="364"/>
    <n v="72.8"/>
    <x v="1"/>
    <x v="0"/>
    <n v="3169"/>
    <s v="Drama"/>
    <x v="0"/>
  </r>
  <r>
    <x v="799"/>
    <x v="127"/>
    <x v="0"/>
    <x v="2"/>
    <x v="3"/>
    <n v="10"/>
    <s v="Coimbatore"/>
    <s v="2025-08-24"/>
    <x v="5"/>
    <x v="35"/>
    <x v="11"/>
    <x v="26"/>
    <x v="0"/>
    <x v="2"/>
    <n v="327"/>
    <n v="65.400000000000006"/>
    <x v="0"/>
    <x v="1"/>
    <n v="2211"/>
    <s v="Drama"/>
    <x v="0"/>
  </r>
  <r>
    <x v="800"/>
    <x v="72"/>
    <x v="0"/>
    <x v="0"/>
    <x v="2"/>
    <n v="16"/>
    <s v="Chennai"/>
    <s v="2024-09-09"/>
    <x v="35"/>
    <x v="0"/>
    <x v="22"/>
    <x v="3"/>
    <x v="55"/>
    <x v="18"/>
    <n v="371"/>
    <n v="74.2"/>
    <x v="1"/>
    <x v="1"/>
    <n v="2275"/>
    <s v="Music"/>
    <x v="0"/>
  </r>
  <r>
    <x v="801"/>
    <x v="75"/>
    <x v="1"/>
    <x v="10"/>
    <x v="2"/>
    <n v="12"/>
    <s v="Mumbai"/>
    <s v="2025-12-01"/>
    <x v="10"/>
    <x v="32"/>
    <x v="28"/>
    <x v="38"/>
    <x v="18"/>
    <x v="13"/>
    <n v="417"/>
    <n v="83.4"/>
    <x v="2"/>
    <x v="0"/>
    <n v="3150"/>
    <s v="Sports"/>
    <x v="0"/>
  </r>
  <r>
    <x v="802"/>
    <x v="89"/>
    <x v="1"/>
    <x v="10"/>
    <x v="3"/>
    <n v="12"/>
    <s v="Chennai"/>
    <s v="2022-12-12"/>
    <x v="25"/>
    <x v="5"/>
    <x v="56"/>
    <x v="27"/>
    <x v="38"/>
    <x v="57"/>
    <n v="378"/>
    <n v="75.599999999999994"/>
    <x v="1"/>
    <x v="0"/>
    <n v="2519"/>
    <s v="Sports"/>
    <x v="0"/>
  </r>
  <r>
    <x v="803"/>
    <x v="111"/>
    <x v="1"/>
    <x v="11"/>
    <x v="3"/>
    <n v="17"/>
    <s v="Pune"/>
    <s v="2022-02-10"/>
    <x v="6"/>
    <x v="21"/>
    <x v="52"/>
    <x v="51"/>
    <x v="21"/>
    <x v="54"/>
    <n v="303"/>
    <n v="60.6"/>
    <x v="0"/>
    <x v="1"/>
    <n v="4974"/>
    <s v="Drama"/>
    <x v="0"/>
  </r>
  <r>
    <x v="804"/>
    <x v="2"/>
    <x v="1"/>
    <x v="0"/>
    <x v="2"/>
    <n v="14"/>
    <s v="Pune"/>
    <s v="2024-07-27"/>
    <x v="27"/>
    <x v="7"/>
    <x v="4"/>
    <x v="3"/>
    <x v="40"/>
    <x v="28"/>
    <n v="385"/>
    <n v="77"/>
    <x v="1"/>
    <x v="0"/>
    <n v="2826"/>
    <s v="Music"/>
    <x v="0"/>
  </r>
  <r>
    <x v="805"/>
    <x v="132"/>
    <x v="0"/>
    <x v="10"/>
    <x v="0"/>
    <n v="12"/>
    <s v="Madurai"/>
    <s v="2021-10-05"/>
    <x v="4"/>
    <x v="52"/>
    <x v="64"/>
    <x v="62"/>
    <x v="3"/>
    <x v="54"/>
    <n v="315"/>
    <n v="63"/>
    <x v="0"/>
    <x v="0"/>
    <n v="3806"/>
    <s v="Dance"/>
    <x v="0"/>
  </r>
  <r>
    <x v="806"/>
    <x v="73"/>
    <x v="0"/>
    <x v="4"/>
    <x v="0"/>
    <n v="16"/>
    <s v="Hyderabad"/>
    <s v="2022-12-05"/>
    <x v="40"/>
    <x v="10"/>
    <x v="2"/>
    <x v="27"/>
    <x v="23"/>
    <x v="12"/>
    <n v="379"/>
    <n v="75.8"/>
    <x v="1"/>
    <x v="1"/>
    <n v="4675"/>
    <s v="Art"/>
    <x v="0"/>
  </r>
  <r>
    <x v="807"/>
    <x v="119"/>
    <x v="0"/>
    <x v="11"/>
    <x v="1"/>
    <n v="17"/>
    <s v="Pune"/>
    <s v="2024-12-21"/>
    <x v="25"/>
    <x v="45"/>
    <x v="19"/>
    <x v="8"/>
    <x v="26"/>
    <x v="32"/>
    <n v="364"/>
    <n v="72.8"/>
    <x v="1"/>
    <x v="1"/>
    <n v="1569"/>
    <s v="Art"/>
    <x v="0"/>
  </r>
  <r>
    <x v="808"/>
    <x v="1"/>
    <x v="0"/>
    <x v="1"/>
    <x v="1"/>
    <n v="14"/>
    <s v="Coimbatore"/>
    <s v="2024-08-21"/>
    <x v="2"/>
    <x v="5"/>
    <x v="52"/>
    <x v="40"/>
    <x v="59"/>
    <x v="24"/>
    <n v="332"/>
    <n v="66.400000000000006"/>
    <x v="0"/>
    <x v="1"/>
    <n v="2431"/>
    <s v="Music"/>
    <x v="0"/>
  </r>
  <r>
    <x v="809"/>
    <x v="139"/>
    <x v="1"/>
    <x v="9"/>
    <x v="1"/>
    <n v="15"/>
    <s v="Mumbai"/>
    <s v="2025-08-24"/>
    <x v="11"/>
    <x v="59"/>
    <x v="54"/>
    <x v="42"/>
    <x v="28"/>
    <x v="10"/>
    <n v="357"/>
    <n v="71.400000000000006"/>
    <x v="1"/>
    <x v="1"/>
    <n v="2172"/>
    <s v="Art"/>
    <x v="0"/>
  </r>
  <r>
    <x v="810"/>
    <x v="105"/>
    <x v="0"/>
    <x v="9"/>
    <x v="2"/>
    <n v="14"/>
    <s v="Coimbatore"/>
    <s v="2025-08-05"/>
    <x v="38"/>
    <x v="36"/>
    <x v="48"/>
    <x v="59"/>
    <x v="32"/>
    <x v="9"/>
    <n v="271"/>
    <n v="54.2"/>
    <x v="3"/>
    <x v="0"/>
    <n v="2938"/>
    <s v="Coding Club"/>
    <x v="1"/>
  </r>
  <r>
    <x v="811"/>
    <x v="2"/>
    <x v="1"/>
    <x v="4"/>
    <x v="3"/>
    <n v="16"/>
    <s v="Madurai"/>
    <s v="2023-06-24"/>
    <x v="14"/>
    <x v="31"/>
    <x v="4"/>
    <x v="22"/>
    <x v="46"/>
    <x v="22"/>
    <n v="278"/>
    <n v="55.6"/>
    <x v="3"/>
    <x v="0"/>
    <n v="1847"/>
    <s v="Art"/>
    <x v="0"/>
  </r>
  <r>
    <x v="812"/>
    <x v="2"/>
    <x v="0"/>
    <x v="7"/>
    <x v="3"/>
    <n v="11"/>
    <s v="Pune"/>
    <s v="2022-05-16"/>
    <x v="36"/>
    <x v="21"/>
    <x v="55"/>
    <x v="2"/>
    <x v="48"/>
    <x v="19"/>
    <n v="248"/>
    <n v="49.6"/>
    <x v="4"/>
    <x v="1"/>
    <n v="4197"/>
    <s v="Sports"/>
    <x v="1"/>
  </r>
  <r>
    <x v="813"/>
    <x v="131"/>
    <x v="0"/>
    <x v="2"/>
    <x v="1"/>
    <n v="9"/>
    <s v="Coimbatore"/>
    <s v="2025-05-21"/>
    <x v="38"/>
    <x v="32"/>
    <x v="21"/>
    <x v="20"/>
    <x v="29"/>
    <x v="57"/>
    <n v="383"/>
    <n v="76.599999999999994"/>
    <x v="1"/>
    <x v="0"/>
    <n v="2683"/>
    <s v="Art"/>
    <x v="0"/>
  </r>
  <r>
    <x v="814"/>
    <x v="56"/>
    <x v="1"/>
    <x v="3"/>
    <x v="1"/>
    <n v="7"/>
    <s v="Mumbai"/>
    <s v="2023-01-27"/>
    <x v="35"/>
    <x v="40"/>
    <x v="2"/>
    <x v="40"/>
    <x v="45"/>
    <x v="42"/>
    <n v="302"/>
    <n v="60.4"/>
    <x v="0"/>
    <x v="1"/>
    <n v="1881"/>
    <s v="Drama"/>
    <x v="0"/>
  </r>
  <r>
    <x v="815"/>
    <x v="81"/>
    <x v="1"/>
    <x v="11"/>
    <x v="3"/>
    <n v="17"/>
    <s v="Chennai"/>
    <s v="2024-10-23"/>
    <x v="3"/>
    <x v="44"/>
    <x v="28"/>
    <x v="53"/>
    <x v="27"/>
    <x v="1"/>
    <n v="348"/>
    <n v="69.599999999999994"/>
    <x v="0"/>
    <x v="1"/>
    <n v="3529"/>
    <s v="Drama"/>
    <x v="0"/>
  </r>
  <r>
    <x v="816"/>
    <x v="81"/>
    <x v="1"/>
    <x v="6"/>
    <x v="3"/>
    <n v="10"/>
    <s v="Hyderabad"/>
    <s v="2021-04-16"/>
    <x v="16"/>
    <x v="48"/>
    <x v="61"/>
    <x v="31"/>
    <x v="17"/>
    <x v="38"/>
    <n v="320"/>
    <n v="64"/>
    <x v="0"/>
    <x v="0"/>
    <n v="1960"/>
    <s v="Coding Club"/>
    <x v="0"/>
  </r>
  <r>
    <x v="817"/>
    <x v="75"/>
    <x v="0"/>
    <x v="8"/>
    <x v="1"/>
    <n v="8"/>
    <s v="Chennai"/>
    <s v="2022-12-19"/>
    <x v="40"/>
    <x v="29"/>
    <x v="62"/>
    <x v="65"/>
    <x v="1"/>
    <x v="1"/>
    <n v="330"/>
    <n v="66"/>
    <x v="0"/>
    <x v="1"/>
    <n v="2238"/>
    <s v="Art"/>
    <x v="0"/>
  </r>
  <r>
    <x v="818"/>
    <x v="21"/>
    <x v="0"/>
    <x v="2"/>
    <x v="2"/>
    <n v="10"/>
    <s v="Chennai"/>
    <s v="2021-06-01"/>
    <x v="31"/>
    <x v="13"/>
    <x v="20"/>
    <x v="32"/>
    <x v="0"/>
    <x v="43"/>
    <n v="289"/>
    <n v="57.8"/>
    <x v="3"/>
    <x v="0"/>
    <n v="2153"/>
    <s v="Art"/>
    <x v="0"/>
  </r>
  <r>
    <x v="819"/>
    <x v="80"/>
    <x v="0"/>
    <x v="4"/>
    <x v="1"/>
    <n v="17"/>
    <s v="Hyderabad"/>
    <s v="2023-04-24"/>
    <x v="27"/>
    <x v="52"/>
    <x v="31"/>
    <x v="33"/>
    <x v="45"/>
    <x v="22"/>
    <n v="318"/>
    <n v="63.6"/>
    <x v="0"/>
    <x v="0"/>
    <n v="1821"/>
    <s v="Drama"/>
    <x v="0"/>
  </r>
  <r>
    <x v="820"/>
    <x v="58"/>
    <x v="0"/>
    <x v="10"/>
    <x v="3"/>
    <n v="11"/>
    <s v="Mumbai"/>
    <s v="2023-12-08"/>
    <x v="6"/>
    <x v="0"/>
    <x v="54"/>
    <x v="2"/>
    <x v="6"/>
    <x v="47"/>
    <n v="313"/>
    <n v="62.6"/>
    <x v="0"/>
    <x v="0"/>
    <n v="4627"/>
    <s v="Sports"/>
    <x v="0"/>
  </r>
  <r>
    <x v="821"/>
    <x v="148"/>
    <x v="1"/>
    <x v="9"/>
    <x v="1"/>
    <n v="15"/>
    <s v="Bangalore"/>
    <s v="2023-11-28"/>
    <x v="33"/>
    <x v="29"/>
    <x v="46"/>
    <x v="65"/>
    <x v="3"/>
    <x v="25"/>
    <n v="319"/>
    <n v="63.8"/>
    <x v="0"/>
    <x v="0"/>
    <n v="1821"/>
    <s v="Art"/>
    <x v="0"/>
  </r>
  <r>
    <x v="822"/>
    <x v="46"/>
    <x v="0"/>
    <x v="6"/>
    <x v="0"/>
    <n v="11"/>
    <s v="Bangalore"/>
    <s v="2024-07-30"/>
    <x v="1"/>
    <x v="49"/>
    <x v="26"/>
    <x v="49"/>
    <x v="4"/>
    <x v="27"/>
    <n v="342"/>
    <n v="68.400000000000006"/>
    <x v="0"/>
    <x v="0"/>
    <n v="2819"/>
    <s v="Music"/>
    <x v="0"/>
  </r>
  <r>
    <x v="823"/>
    <x v="80"/>
    <x v="1"/>
    <x v="11"/>
    <x v="0"/>
    <n v="16"/>
    <s v="Madurai"/>
    <s v="2025-04-05"/>
    <x v="32"/>
    <x v="50"/>
    <x v="3"/>
    <x v="60"/>
    <x v="0"/>
    <x v="37"/>
    <n v="374"/>
    <n v="74.8"/>
    <x v="1"/>
    <x v="1"/>
    <n v="3608"/>
    <s v="Coding Club"/>
    <x v="0"/>
  </r>
  <r>
    <x v="824"/>
    <x v="42"/>
    <x v="1"/>
    <x v="9"/>
    <x v="0"/>
    <n v="14"/>
    <s v="Chennai"/>
    <s v="2024-02-28"/>
    <x v="33"/>
    <x v="36"/>
    <x v="11"/>
    <x v="5"/>
    <x v="41"/>
    <x v="11"/>
    <n v="265"/>
    <n v="53"/>
    <x v="3"/>
    <x v="0"/>
    <n v="2208"/>
    <s v="Sports"/>
    <x v="1"/>
  </r>
  <r>
    <x v="825"/>
    <x v="69"/>
    <x v="1"/>
    <x v="2"/>
    <x v="2"/>
    <n v="8"/>
    <s v="Coimbatore"/>
    <s v="2025-02-26"/>
    <x v="20"/>
    <x v="43"/>
    <x v="43"/>
    <x v="4"/>
    <x v="42"/>
    <x v="27"/>
    <n v="375"/>
    <n v="75"/>
    <x v="1"/>
    <x v="1"/>
    <n v="3642"/>
    <s v="Dance"/>
    <x v="0"/>
  </r>
  <r>
    <x v="826"/>
    <x v="58"/>
    <x v="1"/>
    <x v="8"/>
    <x v="0"/>
    <n v="9"/>
    <s v="Bangalore"/>
    <s v="2023-08-09"/>
    <x v="17"/>
    <x v="51"/>
    <x v="1"/>
    <x v="61"/>
    <x v="48"/>
    <x v="62"/>
    <n v="283"/>
    <n v="56.6"/>
    <x v="3"/>
    <x v="0"/>
    <n v="2747"/>
    <s v="Drama"/>
    <x v="0"/>
  </r>
  <r>
    <x v="827"/>
    <x v="60"/>
    <x v="0"/>
    <x v="6"/>
    <x v="1"/>
    <n v="12"/>
    <s v="Hyderabad"/>
    <s v="2024-12-09"/>
    <x v="32"/>
    <x v="49"/>
    <x v="22"/>
    <x v="1"/>
    <x v="13"/>
    <x v="1"/>
    <n v="294"/>
    <n v="58.8"/>
    <x v="3"/>
    <x v="0"/>
    <n v="1650"/>
    <s v="Drama"/>
    <x v="0"/>
  </r>
  <r>
    <x v="828"/>
    <x v="71"/>
    <x v="0"/>
    <x v="11"/>
    <x v="2"/>
    <n v="15"/>
    <s v="Madurai"/>
    <s v="2021-11-13"/>
    <x v="7"/>
    <x v="59"/>
    <x v="46"/>
    <x v="31"/>
    <x v="53"/>
    <x v="28"/>
    <n v="381"/>
    <n v="76.2"/>
    <x v="1"/>
    <x v="0"/>
    <n v="3867"/>
    <s v="Dance"/>
    <x v="0"/>
  </r>
  <r>
    <x v="829"/>
    <x v="16"/>
    <x v="0"/>
    <x v="1"/>
    <x v="3"/>
    <n v="12"/>
    <s v="Chennai"/>
    <s v="2021-07-14"/>
    <x v="1"/>
    <x v="29"/>
    <x v="21"/>
    <x v="25"/>
    <x v="41"/>
    <x v="14"/>
    <n v="323"/>
    <n v="64.599999999999994"/>
    <x v="0"/>
    <x v="0"/>
    <n v="4747"/>
    <s v="Sports"/>
    <x v="0"/>
  </r>
  <r>
    <x v="830"/>
    <x v="135"/>
    <x v="1"/>
    <x v="9"/>
    <x v="0"/>
    <n v="13"/>
    <s v="Pune"/>
    <s v="2025-08-31"/>
    <x v="22"/>
    <x v="32"/>
    <x v="18"/>
    <x v="3"/>
    <x v="52"/>
    <x v="4"/>
    <n v="427"/>
    <n v="85.4"/>
    <x v="2"/>
    <x v="1"/>
    <n v="1762"/>
    <s v="Sports"/>
    <x v="0"/>
  </r>
  <r>
    <x v="831"/>
    <x v="97"/>
    <x v="1"/>
    <x v="6"/>
    <x v="1"/>
    <n v="10"/>
    <s v="Chennai"/>
    <s v="2021-09-10"/>
    <x v="11"/>
    <x v="53"/>
    <x v="26"/>
    <x v="57"/>
    <x v="56"/>
    <x v="41"/>
    <n v="344"/>
    <n v="68.8"/>
    <x v="0"/>
    <x v="1"/>
    <n v="3457"/>
    <s v="Dance"/>
    <x v="0"/>
  </r>
  <r>
    <x v="832"/>
    <x v="66"/>
    <x v="1"/>
    <x v="2"/>
    <x v="1"/>
    <n v="10"/>
    <s v="Madurai"/>
    <s v="2024-09-15"/>
    <x v="36"/>
    <x v="28"/>
    <x v="25"/>
    <x v="34"/>
    <x v="12"/>
    <x v="62"/>
    <n v="300"/>
    <n v="60"/>
    <x v="0"/>
    <x v="1"/>
    <n v="3771"/>
    <s v="Sports"/>
    <x v="0"/>
  </r>
  <r>
    <x v="833"/>
    <x v="66"/>
    <x v="0"/>
    <x v="1"/>
    <x v="3"/>
    <n v="14"/>
    <s v="Madurai"/>
    <s v="2023-06-30"/>
    <x v="20"/>
    <x v="12"/>
    <x v="22"/>
    <x v="21"/>
    <x v="12"/>
    <x v="3"/>
    <n v="385"/>
    <n v="77"/>
    <x v="1"/>
    <x v="1"/>
    <n v="3349"/>
    <s v="Sports"/>
    <x v="0"/>
  </r>
  <r>
    <x v="834"/>
    <x v="7"/>
    <x v="0"/>
    <x v="8"/>
    <x v="1"/>
    <n v="8"/>
    <s v="Bangalore"/>
    <s v="2021-04-21"/>
    <x v="4"/>
    <x v="57"/>
    <x v="17"/>
    <x v="59"/>
    <x v="23"/>
    <x v="61"/>
    <n v="327"/>
    <n v="65.400000000000006"/>
    <x v="0"/>
    <x v="0"/>
    <n v="4515"/>
    <s v="Art"/>
    <x v="0"/>
  </r>
  <r>
    <x v="835"/>
    <x v="133"/>
    <x v="0"/>
    <x v="10"/>
    <x v="1"/>
    <n v="13"/>
    <s v="Bangalore"/>
    <s v="2024-12-01"/>
    <x v="25"/>
    <x v="62"/>
    <x v="24"/>
    <x v="5"/>
    <x v="51"/>
    <x v="52"/>
    <n v="274"/>
    <n v="54.8"/>
    <x v="3"/>
    <x v="1"/>
    <n v="2138"/>
    <s v="Dance"/>
    <x v="1"/>
  </r>
  <r>
    <x v="836"/>
    <x v="7"/>
    <x v="0"/>
    <x v="4"/>
    <x v="0"/>
    <n v="16"/>
    <s v="Coimbatore"/>
    <s v="2022-09-21"/>
    <x v="5"/>
    <x v="42"/>
    <x v="55"/>
    <x v="10"/>
    <x v="30"/>
    <x v="36"/>
    <n v="290"/>
    <n v="58"/>
    <x v="3"/>
    <x v="0"/>
    <n v="2071"/>
    <s v="Dance"/>
    <x v="0"/>
  </r>
  <r>
    <x v="837"/>
    <x v="39"/>
    <x v="1"/>
    <x v="8"/>
    <x v="0"/>
    <n v="8"/>
    <s v="Mumbai"/>
    <s v="2021-06-21"/>
    <x v="31"/>
    <x v="53"/>
    <x v="57"/>
    <x v="42"/>
    <x v="13"/>
    <x v="61"/>
    <n v="274"/>
    <n v="54.8"/>
    <x v="3"/>
    <x v="1"/>
    <n v="2158"/>
    <s v="Coding Club"/>
    <x v="1"/>
  </r>
  <r>
    <x v="838"/>
    <x v="107"/>
    <x v="0"/>
    <x v="0"/>
    <x v="3"/>
    <n v="16"/>
    <s v="Chennai"/>
    <s v="2023-05-12"/>
    <x v="10"/>
    <x v="47"/>
    <x v="23"/>
    <x v="51"/>
    <x v="61"/>
    <x v="42"/>
    <n v="392"/>
    <n v="78.400000000000006"/>
    <x v="1"/>
    <x v="1"/>
    <n v="3451"/>
    <s v="Music"/>
    <x v="0"/>
  </r>
  <r>
    <x v="839"/>
    <x v="75"/>
    <x v="0"/>
    <x v="10"/>
    <x v="1"/>
    <n v="13"/>
    <s v="Coimbatore"/>
    <s v="2025-02-01"/>
    <x v="15"/>
    <x v="51"/>
    <x v="61"/>
    <x v="47"/>
    <x v="33"/>
    <x v="17"/>
    <n v="287"/>
    <n v="57.4"/>
    <x v="3"/>
    <x v="1"/>
    <n v="2152"/>
    <s v="Art"/>
    <x v="0"/>
  </r>
  <r>
    <x v="840"/>
    <x v="100"/>
    <x v="0"/>
    <x v="9"/>
    <x v="3"/>
    <n v="13"/>
    <s v="Pune"/>
    <s v="2023-12-24"/>
    <x v="38"/>
    <x v="13"/>
    <x v="60"/>
    <x v="2"/>
    <x v="41"/>
    <x v="41"/>
    <n v="235"/>
    <n v="47"/>
    <x v="4"/>
    <x v="0"/>
    <n v="2160"/>
    <s v="Music"/>
    <x v="1"/>
  </r>
  <r>
    <x v="841"/>
    <x v="97"/>
    <x v="1"/>
    <x v="0"/>
    <x v="3"/>
    <n v="14"/>
    <s v="Coimbatore"/>
    <s v="2023-08-27"/>
    <x v="16"/>
    <x v="34"/>
    <x v="33"/>
    <x v="11"/>
    <x v="43"/>
    <x v="61"/>
    <n v="350"/>
    <n v="70"/>
    <x v="1"/>
    <x v="0"/>
    <n v="2734"/>
    <s v="Art"/>
    <x v="0"/>
  </r>
  <r>
    <x v="842"/>
    <x v="110"/>
    <x v="1"/>
    <x v="7"/>
    <x v="3"/>
    <n v="11"/>
    <s v="Hyderabad"/>
    <s v="2025-01-19"/>
    <x v="35"/>
    <x v="36"/>
    <x v="40"/>
    <x v="49"/>
    <x v="51"/>
    <x v="50"/>
    <n v="279"/>
    <n v="55.8"/>
    <x v="3"/>
    <x v="1"/>
    <n v="2333"/>
    <s v="Coding Club"/>
    <x v="0"/>
  </r>
  <r>
    <x v="843"/>
    <x v="148"/>
    <x v="0"/>
    <x v="11"/>
    <x v="0"/>
    <n v="17"/>
    <s v="Mumbai"/>
    <s v="2021-05-02"/>
    <x v="4"/>
    <x v="60"/>
    <x v="40"/>
    <x v="53"/>
    <x v="23"/>
    <x v="53"/>
    <n v="332"/>
    <n v="66.400000000000006"/>
    <x v="0"/>
    <x v="0"/>
    <n v="4805"/>
    <s v="Sports"/>
    <x v="0"/>
  </r>
  <r>
    <x v="844"/>
    <x v="122"/>
    <x v="0"/>
    <x v="1"/>
    <x v="1"/>
    <n v="13"/>
    <s v="Pune"/>
    <s v="2021-05-08"/>
    <x v="33"/>
    <x v="36"/>
    <x v="40"/>
    <x v="35"/>
    <x v="11"/>
    <x v="64"/>
    <n v="270"/>
    <n v="54"/>
    <x v="3"/>
    <x v="1"/>
    <n v="1524"/>
    <s v="Sports"/>
    <x v="1"/>
  </r>
  <r>
    <x v="845"/>
    <x v="76"/>
    <x v="1"/>
    <x v="3"/>
    <x v="1"/>
    <n v="6"/>
    <s v="Chennai"/>
    <s v="2023-02-13"/>
    <x v="26"/>
    <x v="30"/>
    <x v="32"/>
    <x v="2"/>
    <x v="20"/>
    <x v="53"/>
    <n v="345"/>
    <n v="69"/>
    <x v="0"/>
    <x v="1"/>
    <n v="3267"/>
    <s v="Sports"/>
    <x v="0"/>
  </r>
  <r>
    <x v="846"/>
    <x v="125"/>
    <x v="0"/>
    <x v="4"/>
    <x v="3"/>
    <n v="16"/>
    <s v="Bangalore"/>
    <s v="2024-01-22"/>
    <x v="4"/>
    <x v="25"/>
    <x v="30"/>
    <x v="51"/>
    <x v="25"/>
    <x v="21"/>
    <n v="302"/>
    <n v="60.4"/>
    <x v="0"/>
    <x v="1"/>
    <n v="3424"/>
    <s v="Art"/>
    <x v="0"/>
  </r>
  <r>
    <x v="847"/>
    <x v="135"/>
    <x v="0"/>
    <x v="1"/>
    <x v="1"/>
    <n v="12"/>
    <s v="Bangalore"/>
    <s v="2024-08-23"/>
    <x v="10"/>
    <x v="18"/>
    <x v="8"/>
    <x v="60"/>
    <x v="6"/>
    <x v="54"/>
    <n v="324"/>
    <n v="64.8"/>
    <x v="0"/>
    <x v="1"/>
    <n v="4250"/>
    <s v="Dance"/>
    <x v="0"/>
  </r>
  <r>
    <x v="848"/>
    <x v="149"/>
    <x v="1"/>
    <x v="11"/>
    <x v="1"/>
    <n v="17"/>
    <s v="Coimbatore"/>
    <s v="2025-01-19"/>
    <x v="21"/>
    <x v="59"/>
    <x v="34"/>
    <x v="45"/>
    <x v="31"/>
    <x v="33"/>
    <n v="345"/>
    <n v="69"/>
    <x v="0"/>
    <x v="1"/>
    <n v="2447"/>
    <s v="Music"/>
    <x v="0"/>
  </r>
  <r>
    <x v="849"/>
    <x v="93"/>
    <x v="1"/>
    <x v="3"/>
    <x v="2"/>
    <n v="6"/>
    <s v="Mumbai"/>
    <s v="2024-04-23"/>
    <x v="23"/>
    <x v="26"/>
    <x v="29"/>
    <x v="62"/>
    <x v="28"/>
    <x v="14"/>
    <n v="364"/>
    <n v="72.8"/>
    <x v="1"/>
    <x v="0"/>
    <n v="4158"/>
    <s v="Drama"/>
    <x v="0"/>
  </r>
  <r>
    <x v="850"/>
    <x v="88"/>
    <x v="0"/>
    <x v="0"/>
    <x v="2"/>
    <n v="16"/>
    <s v="Hyderabad"/>
    <s v="2023-12-05"/>
    <x v="27"/>
    <x v="41"/>
    <x v="45"/>
    <x v="14"/>
    <x v="62"/>
    <x v="15"/>
    <n v="322"/>
    <n v="64.400000000000006"/>
    <x v="0"/>
    <x v="0"/>
    <n v="2401"/>
    <s v="Music"/>
    <x v="0"/>
  </r>
  <r>
    <x v="851"/>
    <x v="16"/>
    <x v="0"/>
    <x v="4"/>
    <x v="2"/>
    <n v="18"/>
    <s v="Chennai"/>
    <s v="2024-02-17"/>
    <x v="35"/>
    <x v="46"/>
    <x v="64"/>
    <x v="45"/>
    <x v="3"/>
    <x v="38"/>
    <n v="326"/>
    <n v="65.2"/>
    <x v="0"/>
    <x v="0"/>
    <n v="4611"/>
    <s v="Drama"/>
    <x v="0"/>
  </r>
  <r>
    <x v="852"/>
    <x v="19"/>
    <x v="1"/>
    <x v="4"/>
    <x v="3"/>
    <n v="18"/>
    <s v="Coimbatore"/>
    <s v="2023-10-04"/>
    <x v="25"/>
    <x v="46"/>
    <x v="18"/>
    <x v="63"/>
    <x v="37"/>
    <x v="48"/>
    <n v="345"/>
    <n v="69"/>
    <x v="0"/>
    <x v="0"/>
    <n v="2709"/>
    <s v="Dance"/>
    <x v="0"/>
  </r>
  <r>
    <x v="853"/>
    <x v="53"/>
    <x v="1"/>
    <x v="4"/>
    <x v="0"/>
    <n v="17"/>
    <s v="Coimbatore"/>
    <s v="2023-12-18"/>
    <x v="31"/>
    <x v="36"/>
    <x v="47"/>
    <x v="30"/>
    <x v="20"/>
    <x v="58"/>
    <n v="287"/>
    <n v="57.4"/>
    <x v="3"/>
    <x v="1"/>
    <n v="1610"/>
    <s v="Dance"/>
    <x v="0"/>
  </r>
  <r>
    <x v="854"/>
    <x v="132"/>
    <x v="0"/>
    <x v="1"/>
    <x v="1"/>
    <n v="14"/>
    <s v="Coimbatore"/>
    <s v="2021-06-12"/>
    <x v="18"/>
    <x v="23"/>
    <x v="16"/>
    <x v="23"/>
    <x v="38"/>
    <x v="61"/>
    <n v="326"/>
    <n v="65.2"/>
    <x v="0"/>
    <x v="1"/>
    <n v="2284"/>
    <s v="Music"/>
    <x v="0"/>
  </r>
  <r>
    <x v="855"/>
    <x v="33"/>
    <x v="0"/>
    <x v="11"/>
    <x v="1"/>
    <n v="17"/>
    <s v="Mumbai"/>
    <s v="2025-08-05"/>
    <x v="20"/>
    <x v="41"/>
    <x v="50"/>
    <x v="9"/>
    <x v="29"/>
    <x v="15"/>
    <n v="284"/>
    <n v="56.8"/>
    <x v="3"/>
    <x v="1"/>
    <n v="4805"/>
    <s v="Art"/>
    <x v="0"/>
  </r>
  <r>
    <x v="856"/>
    <x v="35"/>
    <x v="1"/>
    <x v="2"/>
    <x v="2"/>
    <n v="10"/>
    <s v="Pune"/>
    <s v="2024-12-09"/>
    <x v="27"/>
    <x v="17"/>
    <x v="63"/>
    <x v="23"/>
    <x v="17"/>
    <x v="60"/>
    <n v="343"/>
    <n v="68.599999999999994"/>
    <x v="0"/>
    <x v="0"/>
    <n v="3951"/>
    <s v="Dance"/>
    <x v="0"/>
  </r>
  <r>
    <x v="857"/>
    <x v="87"/>
    <x v="0"/>
    <x v="11"/>
    <x v="2"/>
    <n v="16"/>
    <s v="Coimbatore"/>
    <s v="2024-10-12"/>
    <x v="12"/>
    <x v="4"/>
    <x v="48"/>
    <x v="11"/>
    <x v="64"/>
    <x v="14"/>
    <n v="304"/>
    <n v="60.8"/>
    <x v="0"/>
    <x v="1"/>
    <n v="2839"/>
    <s v="Dance"/>
    <x v="0"/>
  </r>
  <r>
    <x v="858"/>
    <x v="107"/>
    <x v="0"/>
    <x v="3"/>
    <x v="3"/>
    <n v="6"/>
    <s v="Mumbai"/>
    <s v="2024-06-27"/>
    <x v="33"/>
    <x v="14"/>
    <x v="15"/>
    <x v="16"/>
    <x v="1"/>
    <x v="15"/>
    <n v="363"/>
    <n v="72.599999999999994"/>
    <x v="1"/>
    <x v="1"/>
    <n v="4454"/>
    <s v="Music"/>
    <x v="0"/>
  </r>
  <r>
    <x v="859"/>
    <x v="81"/>
    <x v="1"/>
    <x v="5"/>
    <x v="3"/>
    <n v="6"/>
    <s v="Mumbai"/>
    <s v="2023-05-10"/>
    <x v="0"/>
    <x v="21"/>
    <x v="4"/>
    <x v="37"/>
    <x v="19"/>
    <x v="40"/>
    <n v="322"/>
    <n v="64.400000000000006"/>
    <x v="0"/>
    <x v="1"/>
    <n v="2564"/>
    <s v="Coding Club"/>
    <x v="0"/>
  </r>
  <r>
    <x v="860"/>
    <x v="111"/>
    <x v="0"/>
    <x v="9"/>
    <x v="0"/>
    <n v="15"/>
    <s v="Coimbatore"/>
    <s v="2023-11-11"/>
    <x v="9"/>
    <x v="21"/>
    <x v="33"/>
    <x v="41"/>
    <x v="43"/>
    <x v="41"/>
    <n v="350"/>
    <n v="70"/>
    <x v="1"/>
    <x v="0"/>
    <n v="3718"/>
    <s v="Art"/>
    <x v="0"/>
  </r>
  <r>
    <x v="861"/>
    <x v="78"/>
    <x v="1"/>
    <x v="1"/>
    <x v="0"/>
    <n v="12"/>
    <s v="Mumbai"/>
    <s v="2024-10-15"/>
    <x v="17"/>
    <x v="57"/>
    <x v="20"/>
    <x v="6"/>
    <x v="42"/>
    <x v="56"/>
    <n v="274"/>
    <n v="54.8"/>
    <x v="3"/>
    <x v="1"/>
    <n v="4670"/>
    <s v="Music"/>
    <x v="1"/>
  </r>
  <r>
    <x v="862"/>
    <x v="136"/>
    <x v="1"/>
    <x v="1"/>
    <x v="3"/>
    <n v="13"/>
    <s v="Pune"/>
    <s v="2024-06-19"/>
    <x v="2"/>
    <x v="3"/>
    <x v="52"/>
    <x v="29"/>
    <x v="54"/>
    <x v="7"/>
    <n v="408"/>
    <n v="81.599999999999994"/>
    <x v="2"/>
    <x v="1"/>
    <n v="2713"/>
    <s v="Art"/>
    <x v="0"/>
  </r>
  <r>
    <x v="863"/>
    <x v="85"/>
    <x v="1"/>
    <x v="0"/>
    <x v="0"/>
    <n v="15"/>
    <s v="Hyderabad"/>
    <s v="2023-10-16"/>
    <x v="37"/>
    <x v="38"/>
    <x v="10"/>
    <x v="63"/>
    <x v="64"/>
    <x v="18"/>
    <n v="348"/>
    <n v="69.599999999999994"/>
    <x v="0"/>
    <x v="0"/>
    <n v="1573"/>
    <s v="Dance"/>
    <x v="0"/>
  </r>
  <r>
    <x v="864"/>
    <x v="19"/>
    <x v="0"/>
    <x v="10"/>
    <x v="3"/>
    <n v="13"/>
    <s v="Coimbatore"/>
    <s v="2022-12-12"/>
    <x v="11"/>
    <x v="63"/>
    <x v="18"/>
    <x v="36"/>
    <x v="48"/>
    <x v="2"/>
    <n v="356"/>
    <n v="71.2"/>
    <x v="1"/>
    <x v="1"/>
    <n v="2807"/>
    <s v="Sports"/>
    <x v="0"/>
  </r>
  <r>
    <x v="865"/>
    <x v="25"/>
    <x v="1"/>
    <x v="9"/>
    <x v="2"/>
    <n v="13"/>
    <s v="Chennai"/>
    <s v="2023-04-14"/>
    <x v="13"/>
    <x v="47"/>
    <x v="22"/>
    <x v="11"/>
    <x v="40"/>
    <x v="37"/>
    <n v="362"/>
    <n v="72.400000000000006"/>
    <x v="1"/>
    <x v="1"/>
    <n v="2465"/>
    <s v="Sports"/>
    <x v="0"/>
  </r>
  <r>
    <x v="866"/>
    <x v="97"/>
    <x v="0"/>
    <x v="9"/>
    <x v="0"/>
    <n v="13"/>
    <s v="Pune"/>
    <s v="2023-04-08"/>
    <x v="19"/>
    <x v="48"/>
    <x v="29"/>
    <x v="34"/>
    <x v="33"/>
    <x v="33"/>
    <n v="316"/>
    <n v="63.2"/>
    <x v="0"/>
    <x v="0"/>
    <n v="1570"/>
    <s v="Music"/>
    <x v="0"/>
  </r>
  <r>
    <x v="867"/>
    <x v="50"/>
    <x v="0"/>
    <x v="7"/>
    <x v="3"/>
    <n v="11"/>
    <s v="Hyderabad"/>
    <s v="2021-11-05"/>
    <x v="7"/>
    <x v="52"/>
    <x v="47"/>
    <x v="35"/>
    <x v="28"/>
    <x v="63"/>
    <n v="272"/>
    <n v="54.4"/>
    <x v="3"/>
    <x v="0"/>
    <n v="2725"/>
    <s v="Drama"/>
    <x v="1"/>
  </r>
  <r>
    <x v="868"/>
    <x v="91"/>
    <x v="1"/>
    <x v="4"/>
    <x v="3"/>
    <n v="16"/>
    <s v="Bangalore"/>
    <s v="2024-08-25"/>
    <x v="15"/>
    <x v="51"/>
    <x v="0"/>
    <x v="10"/>
    <x v="34"/>
    <x v="12"/>
    <n v="343"/>
    <n v="68.599999999999994"/>
    <x v="0"/>
    <x v="1"/>
    <n v="3076"/>
    <s v="Dance"/>
    <x v="0"/>
  </r>
  <r>
    <x v="869"/>
    <x v="10"/>
    <x v="0"/>
    <x v="8"/>
    <x v="0"/>
    <n v="7"/>
    <s v="Madurai"/>
    <s v="2023-09-27"/>
    <x v="21"/>
    <x v="48"/>
    <x v="59"/>
    <x v="22"/>
    <x v="39"/>
    <x v="52"/>
    <n v="312"/>
    <n v="62.4"/>
    <x v="0"/>
    <x v="0"/>
    <n v="3793"/>
    <s v="Coding Club"/>
    <x v="0"/>
  </r>
  <r>
    <x v="870"/>
    <x v="47"/>
    <x v="1"/>
    <x v="1"/>
    <x v="1"/>
    <n v="12"/>
    <s v="Coimbatore"/>
    <s v="2022-08-10"/>
    <x v="29"/>
    <x v="24"/>
    <x v="50"/>
    <x v="48"/>
    <x v="30"/>
    <x v="4"/>
    <n v="351"/>
    <n v="70.2"/>
    <x v="1"/>
    <x v="1"/>
    <n v="2228"/>
    <s v="Coding Club"/>
    <x v="0"/>
  </r>
  <r>
    <x v="871"/>
    <x v="83"/>
    <x v="1"/>
    <x v="11"/>
    <x v="2"/>
    <n v="16"/>
    <s v="Pune"/>
    <s v="2021-03-03"/>
    <x v="25"/>
    <x v="62"/>
    <x v="50"/>
    <x v="36"/>
    <x v="6"/>
    <x v="33"/>
    <n v="342"/>
    <n v="68.400000000000006"/>
    <x v="0"/>
    <x v="0"/>
    <n v="4474"/>
    <s v="Art"/>
    <x v="0"/>
  </r>
  <r>
    <x v="872"/>
    <x v="33"/>
    <x v="0"/>
    <x v="5"/>
    <x v="2"/>
    <n v="8"/>
    <s v="Pune"/>
    <s v="2021-01-27"/>
    <x v="34"/>
    <x v="11"/>
    <x v="55"/>
    <x v="54"/>
    <x v="9"/>
    <x v="62"/>
    <n v="292"/>
    <n v="58.4"/>
    <x v="3"/>
    <x v="0"/>
    <n v="2876"/>
    <s v="Dance"/>
    <x v="0"/>
  </r>
  <r>
    <x v="873"/>
    <x v="32"/>
    <x v="1"/>
    <x v="7"/>
    <x v="0"/>
    <n v="11"/>
    <s v="Chennai"/>
    <s v="2021-01-05"/>
    <x v="25"/>
    <x v="32"/>
    <x v="0"/>
    <x v="8"/>
    <x v="56"/>
    <x v="5"/>
    <n v="350"/>
    <n v="70"/>
    <x v="1"/>
    <x v="1"/>
    <n v="1966"/>
    <s v="Music"/>
    <x v="0"/>
  </r>
  <r>
    <x v="874"/>
    <x v="125"/>
    <x v="0"/>
    <x v="2"/>
    <x v="0"/>
    <n v="10"/>
    <s v="Mumbai"/>
    <s v="2022-11-12"/>
    <x v="10"/>
    <x v="22"/>
    <x v="19"/>
    <x v="21"/>
    <x v="15"/>
    <x v="27"/>
    <n v="377"/>
    <n v="75.400000000000006"/>
    <x v="1"/>
    <x v="1"/>
    <n v="3366"/>
    <s v="Art"/>
    <x v="0"/>
  </r>
  <r>
    <x v="875"/>
    <x v="40"/>
    <x v="0"/>
    <x v="6"/>
    <x v="2"/>
    <n v="10"/>
    <s v="Bangalore"/>
    <s v="2025-08-18"/>
    <x v="13"/>
    <x v="64"/>
    <x v="17"/>
    <x v="14"/>
    <x v="27"/>
    <x v="65"/>
    <n v="378"/>
    <n v="75.599999999999994"/>
    <x v="1"/>
    <x v="0"/>
    <n v="2148"/>
    <s v="Dance"/>
    <x v="0"/>
  </r>
  <r>
    <x v="876"/>
    <x v="82"/>
    <x v="1"/>
    <x v="8"/>
    <x v="3"/>
    <n v="7"/>
    <s v="Bangalore"/>
    <s v="2023-07-30"/>
    <x v="29"/>
    <x v="65"/>
    <x v="41"/>
    <x v="32"/>
    <x v="47"/>
    <x v="42"/>
    <n v="406"/>
    <n v="81.2"/>
    <x v="2"/>
    <x v="1"/>
    <n v="2222"/>
    <s v="Coding Club"/>
    <x v="0"/>
  </r>
  <r>
    <x v="877"/>
    <x v="110"/>
    <x v="0"/>
    <x v="7"/>
    <x v="3"/>
    <n v="11"/>
    <s v="Chennai"/>
    <s v="2023-08-22"/>
    <x v="39"/>
    <x v="19"/>
    <x v="4"/>
    <x v="33"/>
    <x v="15"/>
    <x v="26"/>
    <n v="359"/>
    <n v="71.8"/>
    <x v="1"/>
    <x v="1"/>
    <n v="3803"/>
    <s v="Music"/>
    <x v="0"/>
  </r>
  <r>
    <x v="878"/>
    <x v="61"/>
    <x v="1"/>
    <x v="0"/>
    <x v="2"/>
    <n v="14"/>
    <s v="Hyderabad"/>
    <s v="2024-03-20"/>
    <x v="32"/>
    <x v="58"/>
    <x v="52"/>
    <x v="62"/>
    <x v="64"/>
    <x v="16"/>
    <n v="362"/>
    <n v="72.400000000000006"/>
    <x v="1"/>
    <x v="0"/>
    <n v="3584"/>
    <s v="Dance"/>
    <x v="0"/>
  </r>
  <r>
    <x v="879"/>
    <x v="65"/>
    <x v="0"/>
    <x v="11"/>
    <x v="1"/>
    <n v="17"/>
    <s v="Pune"/>
    <s v="2022-03-30"/>
    <x v="12"/>
    <x v="2"/>
    <x v="2"/>
    <x v="18"/>
    <x v="63"/>
    <x v="58"/>
    <n v="367"/>
    <n v="73.400000000000006"/>
    <x v="1"/>
    <x v="0"/>
    <n v="2944"/>
    <s v="Drama"/>
    <x v="0"/>
  </r>
  <r>
    <x v="880"/>
    <x v="8"/>
    <x v="0"/>
    <x v="0"/>
    <x v="2"/>
    <n v="16"/>
    <s v="Mumbai"/>
    <s v="2024-12-17"/>
    <x v="29"/>
    <x v="30"/>
    <x v="21"/>
    <x v="13"/>
    <x v="38"/>
    <x v="3"/>
    <n v="355"/>
    <n v="71"/>
    <x v="1"/>
    <x v="1"/>
    <n v="1885"/>
    <s v="Sports"/>
    <x v="0"/>
  </r>
  <r>
    <x v="881"/>
    <x v="19"/>
    <x v="0"/>
    <x v="4"/>
    <x v="1"/>
    <n v="17"/>
    <s v="Chennai"/>
    <s v="2025-04-08"/>
    <x v="35"/>
    <x v="44"/>
    <x v="40"/>
    <x v="25"/>
    <x v="2"/>
    <x v="15"/>
    <n v="361"/>
    <n v="72.2"/>
    <x v="1"/>
    <x v="0"/>
    <n v="2489"/>
    <s v="Dance"/>
    <x v="0"/>
  </r>
  <r>
    <x v="882"/>
    <x v="99"/>
    <x v="0"/>
    <x v="2"/>
    <x v="0"/>
    <n v="10"/>
    <s v="Coimbatore"/>
    <s v="2024-10-07"/>
    <x v="21"/>
    <x v="52"/>
    <x v="4"/>
    <x v="43"/>
    <x v="19"/>
    <x v="16"/>
    <n v="384"/>
    <n v="76.8"/>
    <x v="1"/>
    <x v="1"/>
    <n v="3441"/>
    <s v="Music"/>
    <x v="0"/>
  </r>
  <r>
    <x v="883"/>
    <x v="110"/>
    <x v="0"/>
    <x v="0"/>
    <x v="3"/>
    <n v="16"/>
    <s v="Coimbatore"/>
    <s v="2021-05-04"/>
    <x v="40"/>
    <x v="24"/>
    <x v="58"/>
    <x v="34"/>
    <x v="40"/>
    <x v="0"/>
    <n v="321"/>
    <n v="64.2"/>
    <x v="0"/>
    <x v="1"/>
    <n v="4258"/>
    <s v="Dance"/>
    <x v="0"/>
  </r>
  <r>
    <x v="884"/>
    <x v="125"/>
    <x v="0"/>
    <x v="10"/>
    <x v="1"/>
    <n v="12"/>
    <s v="Coimbatore"/>
    <s v="2021-04-16"/>
    <x v="18"/>
    <x v="38"/>
    <x v="14"/>
    <x v="24"/>
    <x v="27"/>
    <x v="13"/>
    <n v="378"/>
    <n v="75.599999999999994"/>
    <x v="1"/>
    <x v="0"/>
    <n v="1727"/>
    <s v="Drama"/>
    <x v="0"/>
  </r>
  <r>
    <x v="885"/>
    <x v="41"/>
    <x v="1"/>
    <x v="5"/>
    <x v="0"/>
    <n v="8"/>
    <s v="Madurai"/>
    <s v="2024-04-29"/>
    <x v="23"/>
    <x v="6"/>
    <x v="7"/>
    <x v="57"/>
    <x v="20"/>
    <x v="40"/>
    <n v="350"/>
    <n v="70"/>
    <x v="1"/>
    <x v="0"/>
    <n v="2050"/>
    <s v="Art"/>
    <x v="0"/>
  </r>
  <r>
    <x v="886"/>
    <x v="32"/>
    <x v="1"/>
    <x v="0"/>
    <x v="1"/>
    <n v="16"/>
    <s v="Pune"/>
    <s v="2025-01-26"/>
    <x v="26"/>
    <x v="43"/>
    <x v="63"/>
    <x v="58"/>
    <x v="65"/>
    <x v="16"/>
    <n v="390"/>
    <n v="78"/>
    <x v="1"/>
    <x v="0"/>
    <n v="3333"/>
    <s v="Dance"/>
    <x v="0"/>
  </r>
  <r>
    <x v="887"/>
    <x v="102"/>
    <x v="1"/>
    <x v="5"/>
    <x v="0"/>
    <n v="6"/>
    <s v="Coimbatore"/>
    <s v="2024-12-02"/>
    <x v="16"/>
    <x v="3"/>
    <x v="43"/>
    <x v="22"/>
    <x v="12"/>
    <x v="13"/>
    <n v="407"/>
    <n v="81.400000000000006"/>
    <x v="2"/>
    <x v="0"/>
    <n v="1543"/>
    <s v="Coding Club"/>
    <x v="0"/>
  </r>
  <r>
    <x v="888"/>
    <x v="4"/>
    <x v="0"/>
    <x v="1"/>
    <x v="1"/>
    <n v="12"/>
    <s v="Mumbai"/>
    <s v="2023-02-20"/>
    <x v="0"/>
    <x v="15"/>
    <x v="11"/>
    <x v="15"/>
    <x v="5"/>
    <x v="33"/>
    <n v="367"/>
    <n v="73.400000000000006"/>
    <x v="1"/>
    <x v="1"/>
    <n v="2297"/>
    <s v="Dance"/>
    <x v="0"/>
  </r>
  <r>
    <x v="889"/>
    <x v="5"/>
    <x v="0"/>
    <x v="6"/>
    <x v="1"/>
    <n v="11"/>
    <s v="Bangalore"/>
    <s v="2025-06-08"/>
    <x v="40"/>
    <x v="36"/>
    <x v="16"/>
    <x v="58"/>
    <x v="52"/>
    <x v="52"/>
    <n v="235"/>
    <n v="47"/>
    <x v="4"/>
    <x v="0"/>
    <n v="4122"/>
    <s v="Coding Club"/>
    <x v="1"/>
  </r>
  <r>
    <x v="890"/>
    <x v="93"/>
    <x v="0"/>
    <x v="5"/>
    <x v="3"/>
    <n v="6"/>
    <s v="Hyderabad"/>
    <s v="2025-01-20"/>
    <x v="10"/>
    <x v="59"/>
    <x v="50"/>
    <x v="18"/>
    <x v="34"/>
    <x v="31"/>
    <n v="366"/>
    <n v="73.2"/>
    <x v="1"/>
    <x v="1"/>
    <n v="3993"/>
    <s v="Music"/>
    <x v="0"/>
  </r>
  <r>
    <x v="891"/>
    <x v="14"/>
    <x v="0"/>
    <x v="0"/>
    <x v="1"/>
    <n v="15"/>
    <s v="Hyderabad"/>
    <s v="2025-04-24"/>
    <x v="32"/>
    <x v="31"/>
    <x v="37"/>
    <x v="43"/>
    <x v="15"/>
    <x v="7"/>
    <n v="394"/>
    <n v="78.8"/>
    <x v="1"/>
    <x v="0"/>
    <n v="4912"/>
    <s v="Sports"/>
    <x v="0"/>
  </r>
  <r>
    <x v="892"/>
    <x v="100"/>
    <x v="0"/>
    <x v="11"/>
    <x v="0"/>
    <n v="15"/>
    <s v="Coimbatore"/>
    <s v="2021-10-14"/>
    <x v="18"/>
    <x v="62"/>
    <x v="24"/>
    <x v="45"/>
    <x v="59"/>
    <x v="37"/>
    <n v="343"/>
    <n v="68.599999999999994"/>
    <x v="0"/>
    <x v="0"/>
    <n v="2904"/>
    <s v="Dance"/>
    <x v="0"/>
  </r>
  <r>
    <x v="893"/>
    <x v="103"/>
    <x v="0"/>
    <x v="8"/>
    <x v="0"/>
    <n v="9"/>
    <s v="Madurai"/>
    <s v="2023-03-16"/>
    <x v="25"/>
    <x v="31"/>
    <x v="34"/>
    <x v="28"/>
    <x v="3"/>
    <x v="36"/>
    <n v="262"/>
    <n v="52.4"/>
    <x v="3"/>
    <x v="0"/>
    <n v="2548"/>
    <s v="Drama"/>
    <x v="1"/>
  </r>
  <r>
    <x v="894"/>
    <x v="53"/>
    <x v="0"/>
    <x v="10"/>
    <x v="3"/>
    <n v="11"/>
    <s v="Hyderabad"/>
    <s v="2022-08-02"/>
    <x v="11"/>
    <x v="3"/>
    <x v="53"/>
    <x v="26"/>
    <x v="5"/>
    <x v="17"/>
    <n v="343"/>
    <n v="68.599999999999994"/>
    <x v="0"/>
    <x v="1"/>
    <n v="4956"/>
    <s v="Music"/>
    <x v="0"/>
  </r>
  <r>
    <x v="895"/>
    <x v="90"/>
    <x v="1"/>
    <x v="8"/>
    <x v="2"/>
    <n v="7"/>
    <s v="Mumbai"/>
    <s v="2021-06-15"/>
    <x v="31"/>
    <x v="51"/>
    <x v="41"/>
    <x v="2"/>
    <x v="62"/>
    <x v="13"/>
    <n v="306"/>
    <n v="61.2"/>
    <x v="0"/>
    <x v="0"/>
    <n v="4234"/>
    <s v="Music"/>
    <x v="0"/>
  </r>
  <r>
    <x v="896"/>
    <x v="133"/>
    <x v="0"/>
    <x v="6"/>
    <x v="2"/>
    <n v="11"/>
    <s v="Pune"/>
    <s v="2021-06-18"/>
    <x v="22"/>
    <x v="60"/>
    <x v="16"/>
    <x v="62"/>
    <x v="10"/>
    <x v="6"/>
    <n v="343"/>
    <n v="68.599999999999994"/>
    <x v="0"/>
    <x v="1"/>
    <n v="1583"/>
    <s v="Art"/>
    <x v="0"/>
  </r>
  <r>
    <x v="897"/>
    <x v="114"/>
    <x v="0"/>
    <x v="1"/>
    <x v="1"/>
    <n v="12"/>
    <s v="Hyderabad"/>
    <s v="2021-02-06"/>
    <x v="13"/>
    <x v="60"/>
    <x v="40"/>
    <x v="28"/>
    <x v="48"/>
    <x v="15"/>
    <n v="285"/>
    <n v="57"/>
    <x v="3"/>
    <x v="1"/>
    <n v="3561"/>
    <s v="Dance"/>
    <x v="0"/>
  </r>
  <r>
    <x v="898"/>
    <x v="60"/>
    <x v="0"/>
    <x v="11"/>
    <x v="1"/>
    <n v="15"/>
    <s v="Mumbai"/>
    <s v="2024-06-05"/>
    <x v="26"/>
    <x v="5"/>
    <x v="3"/>
    <x v="31"/>
    <x v="25"/>
    <x v="57"/>
    <n v="395"/>
    <n v="79"/>
    <x v="1"/>
    <x v="0"/>
    <n v="4976"/>
    <s v="Sports"/>
    <x v="0"/>
  </r>
  <r>
    <x v="899"/>
    <x v="140"/>
    <x v="1"/>
    <x v="11"/>
    <x v="1"/>
    <n v="17"/>
    <s v="Pune"/>
    <s v="2021-11-17"/>
    <x v="20"/>
    <x v="0"/>
    <x v="62"/>
    <x v="35"/>
    <x v="8"/>
    <x v="48"/>
    <n v="280"/>
    <n v="56"/>
    <x v="3"/>
    <x v="0"/>
    <n v="4306"/>
    <s v="Sports"/>
    <x v="0"/>
  </r>
  <r>
    <x v="900"/>
    <x v="17"/>
    <x v="0"/>
    <x v="11"/>
    <x v="1"/>
    <n v="15"/>
    <s v="Bangalore"/>
    <s v="2025-11-20"/>
    <x v="36"/>
    <x v="41"/>
    <x v="37"/>
    <x v="3"/>
    <x v="9"/>
    <x v="19"/>
    <n v="327"/>
    <n v="65.400000000000006"/>
    <x v="0"/>
    <x v="0"/>
    <n v="1609"/>
    <s v="Coding Club"/>
    <x v="0"/>
  </r>
  <r>
    <x v="901"/>
    <x v="60"/>
    <x v="0"/>
    <x v="9"/>
    <x v="1"/>
    <n v="14"/>
    <s v="Hyderabad"/>
    <s v="2021-10-29"/>
    <x v="15"/>
    <x v="16"/>
    <x v="25"/>
    <x v="40"/>
    <x v="10"/>
    <x v="25"/>
    <n v="286"/>
    <n v="57.2"/>
    <x v="3"/>
    <x v="1"/>
    <n v="3516"/>
    <s v="Art"/>
    <x v="0"/>
  </r>
  <r>
    <x v="902"/>
    <x v="68"/>
    <x v="1"/>
    <x v="4"/>
    <x v="2"/>
    <n v="17"/>
    <s v="Coimbatore"/>
    <s v="2022-07-28"/>
    <x v="37"/>
    <x v="11"/>
    <x v="57"/>
    <x v="2"/>
    <x v="47"/>
    <x v="3"/>
    <n v="317"/>
    <n v="63.4"/>
    <x v="0"/>
    <x v="0"/>
    <n v="2348"/>
    <s v="Coding Club"/>
    <x v="0"/>
  </r>
  <r>
    <x v="903"/>
    <x v="100"/>
    <x v="0"/>
    <x v="8"/>
    <x v="3"/>
    <n v="8"/>
    <s v="Mumbai"/>
    <s v="2024-10-27"/>
    <x v="36"/>
    <x v="34"/>
    <x v="55"/>
    <x v="7"/>
    <x v="40"/>
    <x v="10"/>
    <n v="316"/>
    <n v="63.2"/>
    <x v="0"/>
    <x v="0"/>
    <n v="1809"/>
    <s v="Art"/>
    <x v="0"/>
  </r>
  <r>
    <x v="904"/>
    <x v="2"/>
    <x v="1"/>
    <x v="4"/>
    <x v="3"/>
    <n v="17"/>
    <s v="Pune"/>
    <s v="2025-02-11"/>
    <x v="3"/>
    <x v="28"/>
    <x v="52"/>
    <x v="2"/>
    <x v="1"/>
    <x v="35"/>
    <n v="281"/>
    <n v="56.2"/>
    <x v="3"/>
    <x v="1"/>
    <n v="4430"/>
    <s v="Art"/>
    <x v="0"/>
  </r>
  <r>
    <x v="905"/>
    <x v="101"/>
    <x v="1"/>
    <x v="9"/>
    <x v="1"/>
    <n v="15"/>
    <s v="Madurai"/>
    <s v="2023-06-09"/>
    <x v="15"/>
    <x v="11"/>
    <x v="34"/>
    <x v="58"/>
    <x v="49"/>
    <x v="12"/>
    <n v="284"/>
    <n v="56.8"/>
    <x v="3"/>
    <x v="1"/>
    <n v="2700"/>
    <s v="Art"/>
    <x v="0"/>
  </r>
  <r>
    <x v="906"/>
    <x v="10"/>
    <x v="0"/>
    <x v="9"/>
    <x v="3"/>
    <n v="13"/>
    <s v="Chennai"/>
    <s v="2021-01-16"/>
    <x v="37"/>
    <x v="28"/>
    <x v="61"/>
    <x v="0"/>
    <x v="59"/>
    <x v="26"/>
    <n v="321"/>
    <n v="64.2"/>
    <x v="0"/>
    <x v="1"/>
    <n v="4604"/>
    <s v="Sports"/>
    <x v="0"/>
  </r>
  <r>
    <x v="907"/>
    <x v="63"/>
    <x v="1"/>
    <x v="0"/>
    <x v="0"/>
    <n v="14"/>
    <s v="Bangalore"/>
    <s v="2025-03-14"/>
    <x v="26"/>
    <x v="61"/>
    <x v="20"/>
    <x v="8"/>
    <x v="8"/>
    <x v="65"/>
    <n v="285"/>
    <n v="57"/>
    <x v="3"/>
    <x v="0"/>
    <n v="2667"/>
    <s v="Music"/>
    <x v="0"/>
  </r>
  <r>
    <x v="908"/>
    <x v="14"/>
    <x v="0"/>
    <x v="9"/>
    <x v="3"/>
    <n v="15"/>
    <s v="Coimbatore"/>
    <s v="2025-07-19"/>
    <x v="38"/>
    <x v="13"/>
    <x v="11"/>
    <x v="59"/>
    <x v="42"/>
    <x v="62"/>
    <n v="290"/>
    <n v="58"/>
    <x v="3"/>
    <x v="1"/>
    <n v="4604"/>
    <s v="Coding Club"/>
    <x v="0"/>
  </r>
  <r>
    <x v="909"/>
    <x v="14"/>
    <x v="1"/>
    <x v="3"/>
    <x v="1"/>
    <n v="6"/>
    <s v="Bangalore"/>
    <s v="2022-03-30"/>
    <x v="11"/>
    <x v="1"/>
    <x v="41"/>
    <x v="14"/>
    <x v="15"/>
    <x v="47"/>
    <n v="443"/>
    <n v="88.6"/>
    <x v="2"/>
    <x v="1"/>
    <n v="2632"/>
    <s v="Dance"/>
    <x v="0"/>
  </r>
  <r>
    <x v="910"/>
    <x v="29"/>
    <x v="0"/>
    <x v="3"/>
    <x v="0"/>
    <n v="7"/>
    <s v="Pune"/>
    <s v="2024-11-18"/>
    <x v="27"/>
    <x v="29"/>
    <x v="60"/>
    <x v="6"/>
    <x v="42"/>
    <x v="54"/>
    <n v="284"/>
    <n v="56.8"/>
    <x v="3"/>
    <x v="0"/>
    <n v="3172"/>
    <s v="Music"/>
    <x v="0"/>
  </r>
  <r>
    <x v="911"/>
    <x v="104"/>
    <x v="0"/>
    <x v="3"/>
    <x v="0"/>
    <n v="6"/>
    <s v="Madurai"/>
    <s v="2025-04-12"/>
    <x v="36"/>
    <x v="27"/>
    <x v="37"/>
    <x v="11"/>
    <x v="0"/>
    <x v="38"/>
    <n v="266"/>
    <n v="53.2"/>
    <x v="3"/>
    <x v="1"/>
    <n v="2277"/>
    <s v="Drama"/>
    <x v="1"/>
  </r>
  <r>
    <x v="912"/>
    <x v="79"/>
    <x v="1"/>
    <x v="4"/>
    <x v="1"/>
    <n v="17"/>
    <s v="Hyderabad"/>
    <s v="2022-04-07"/>
    <x v="22"/>
    <x v="20"/>
    <x v="56"/>
    <x v="48"/>
    <x v="5"/>
    <x v="45"/>
    <n v="348"/>
    <n v="69.599999999999994"/>
    <x v="0"/>
    <x v="1"/>
    <n v="2054"/>
    <s v="Music"/>
    <x v="0"/>
  </r>
  <r>
    <x v="913"/>
    <x v="55"/>
    <x v="1"/>
    <x v="0"/>
    <x v="3"/>
    <n v="15"/>
    <s v="Mumbai"/>
    <s v="2021-09-24"/>
    <x v="13"/>
    <x v="47"/>
    <x v="46"/>
    <x v="45"/>
    <x v="37"/>
    <x v="51"/>
    <n v="304"/>
    <n v="60.8"/>
    <x v="0"/>
    <x v="1"/>
    <n v="3507"/>
    <s v="Sports"/>
    <x v="0"/>
  </r>
  <r>
    <x v="914"/>
    <x v="84"/>
    <x v="1"/>
    <x v="5"/>
    <x v="3"/>
    <n v="6"/>
    <s v="Coimbatore"/>
    <s v="2021-03-02"/>
    <x v="6"/>
    <x v="45"/>
    <x v="2"/>
    <x v="58"/>
    <x v="63"/>
    <x v="20"/>
    <n v="347"/>
    <n v="69.400000000000006"/>
    <x v="0"/>
    <x v="0"/>
    <n v="4048"/>
    <s v="Art"/>
    <x v="0"/>
  </r>
  <r>
    <x v="915"/>
    <x v="114"/>
    <x v="1"/>
    <x v="0"/>
    <x v="3"/>
    <n v="15"/>
    <s v="Mumbai"/>
    <s v="2022-12-03"/>
    <x v="10"/>
    <x v="59"/>
    <x v="50"/>
    <x v="60"/>
    <x v="51"/>
    <x v="40"/>
    <n v="301"/>
    <n v="60.2"/>
    <x v="0"/>
    <x v="0"/>
    <n v="4612"/>
    <s v="Music"/>
    <x v="0"/>
  </r>
  <r>
    <x v="916"/>
    <x v="78"/>
    <x v="0"/>
    <x v="4"/>
    <x v="2"/>
    <n v="17"/>
    <s v="Hyderabad"/>
    <s v="2025-12-06"/>
    <x v="0"/>
    <x v="23"/>
    <x v="54"/>
    <x v="57"/>
    <x v="50"/>
    <x v="10"/>
    <n v="361"/>
    <n v="72.2"/>
    <x v="1"/>
    <x v="1"/>
    <n v="3402"/>
    <s v="Coding Club"/>
    <x v="0"/>
  </r>
  <r>
    <x v="917"/>
    <x v="25"/>
    <x v="0"/>
    <x v="0"/>
    <x v="1"/>
    <n v="15"/>
    <s v="Coimbatore"/>
    <s v="2022-11-17"/>
    <x v="2"/>
    <x v="40"/>
    <x v="0"/>
    <x v="55"/>
    <x v="1"/>
    <x v="29"/>
    <n v="386"/>
    <n v="77.2"/>
    <x v="1"/>
    <x v="0"/>
    <n v="3924"/>
    <s v="Coding Club"/>
    <x v="0"/>
  </r>
  <r>
    <x v="918"/>
    <x v="141"/>
    <x v="1"/>
    <x v="0"/>
    <x v="3"/>
    <n v="14"/>
    <s v="Pune"/>
    <s v="2024-08-07"/>
    <x v="13"/>
    <x v="10"/>
    <x v="39"/>
    <x v="24"/>
    <x v="31"/>
    <x v="39"/>
    <n v="339"/>
    <n v="67.8"/>
    <x v="0"/>
    <x v="1"/>
    <n v="3320"/>
    <s v="Sports"/>
    <x v="0"/>
  </r>
  <r>
    <x v="919"/>
    <x v="31"/>
    <x v="1"/>
    <x v="5"/>
    <x v="0"/>
    <n v="7"/>
    <s v="Chennai"/>
    <s v="2024-11-18"/>
    <x v="6"/>
    <x v="40"/>
    <x v="48"/>
    <x v="20"/>
    <x v="57"/>
    <x v="34"/>
    <n v="341"/>
    <n v="68.2"/>
    <x v="0"/>
    <x v="0"/>
    <n v="4604"/>
    <s v="Sports"/>
    <x v="0"/>
  </r>
  <r>
    <x v="920"/>
    <x v="107"/>
    <x v="1"/>
    <x v="9"/>
    <x v="1"/>
    <n v="13"/>
    <s v="Hyderabad"/>
    <s v="2023-03-15"/>
    <x v="18"/>
    <x v="52"/>
    <x v="32"/>
    <x v="55"/>
    <x v="22"/>
    <x v="15"/>
    <n v="382"/>
    <n v="76.400000000000006"/>
    <x v="1"/>
    <x v="1"/>
    <n v="3718"/>
    <s v="Music"/>
    <x v="0"/>
  </r>
  <r>
    <x v="921"/>
    <x v="124"/>
    <x v="0"/>
    <x v="10"/>
    <x v="1"/>
    <n v="13"/>
    <s v="Bangalore"/>
    <s v="2023-08-04"/>
    <x v="18"/>
    <x v="40"/>
    <x v="34"/>
    <x v="62"/>
    <x v="49"/>
    <x v="58"/>
    <n v="306"/>
    <n v="61.2"/>
    <x v="0"/>
    <x v="0"/>
    <n v="1888"/>
    <s v="Sports"/>
    <x v="0"/>
  </r>
  <r>
    <x v="922"/>
    <x v="35"/>
    <x v="1"/>
    <x v="3"/>
    <x v="3"/>
    <n v="6"/>
    <s v="Coimbatore"/>
    <s v="2021-10-05"/>
    <x v="3"/>
    <x v="48"/>
    <x v="36"/>
    <x v="6"/>
    <x v="61"/>
    <x v="22"/>
    <n v="362"/>
    <n v="72.400000000000006"/>
    <x v="1"/>
    <x v="1"/>
    <n v="4437"/>
    <s v="Sports"/>
    <x v="0"/>
  </r>
  <r>
    <x v="923"/>
    <x v="23"/>
    <x v="0"/>
    <x v="2"/>
    <x v="0"/>
    <n v="9"/>
    <s v="Pune"/>
    <s v="2023-10-01"/>
    <x v="7"/>
    <x v="11"/>
    <x v="19"/>
    <x v="26"/>
    <x v="65"/>
    <x v="32"/>
    <n v="371"/>
    <n v="74.2"/>
    <x v="1"/>
    <x v="1"/>
    <n v="2907"/>
    <s v="Drama"/>
    <x v="0"/>
  </r>
  <r>
    <x v="924"/>
    <x v="33"/>
    <x v="1"/>
    <x v="2"/>
    <x v="2"/>
    <n v="10"/>
    <s v="Chennai"/>
    <s v="2023-09-11"/>
    <x v="6"/>
    <x v="55"/>
    <x v="20"/>
    <x v="4"/>
    <x v="46"/>
    <x v="42"/>
    <n v="347"/>
    <n v="69.400000000000006"/>
    <x v="0"/>
    <x v="1"/>
    <n v="1825"/>
    <s v="Sports"/>
    <x v="0"/>
  </r>
  <r>
    <x v="925"/>
    <x v="94"/>
    <x v="1"/>
    <x v="9"/>
    <x v="0"/>
    <n v="13"/>
    <s v="Coimbatore"/>
    <s v="2025-06-01"/>
    <x v="4"/>
    <x v="40"/>
    <x v="39"/>
    <x v="42"/>
    <x v="63"/>
    <x v="13"/>
    <n v="355"/>
    <n v="71"/>
    <x v="1"/>
    <x v="0"/>
    <n v="3751"/>
    <s v="Music"/>
    <x v="0"/>
  </r>
  <r>
    <x v="926"/>
    <x v="102"/>
    <x v="1"/>
    <x v="2"/>
    <x v="2"/>
    <n v="10"/>
    <s v="Madurai"/>
    <s v="2021-02-09"/>
    <x v="11"/>
    <x v="51"/>
    <x v="9"/>
    <x v="33"/>
    <x v="9"/>
    <x v="30"/>
    <n v="282"/>
    <n v="56.4"/>
    <x v="3"/>
    <x v="1"/>
    <n v="3216"/>
    <s v="Drama"/>
    <x v="0"/>
  </r>
  <r>
    <x v="927"/>
    <x v="149"/>
    <x v="0"/>
    <x v="8"/>
    <x v="1"/>
    <n v="7"/>
    <s v="Coimbatore"/>
    <s v="2023-12-19"/>
    <x v="31"/>
    <x v="21"/>
    <x v="41"/>
    <x v="31"/>
    <x v="52"/>
    <x v="24"/>
    <n v="385"/>
    <n v="77"/>
    <x v="1"/>
    <x v="0"/>
    <n v="4749"/>
    <s v="Coding Club"/>
    <x v="0"/>
  </r>
  <r>
    <x v="928"/>
    <x v="70"/>
    <x v="0"/>
    <x v="3"/>
    <x v="2"/>
    <n v="7"/>
    <s v="Bangalore"/>
    <s v="2025-06-14"/>
    <x v="10"/>
    <x v="41"/>
    <x v="50"/>
    <x v="15"/>
    <x v="8"/>
    <x v="52"/>
    <n v="296"/>
    <n v="59.2"/>
    <x v="3"/>
    <x v="0"/>
    <n v="3866"/>
    <s v="Art"/>
    <x v="0"/>
  </r>
  <r>
    <x v="929"/>
    <x v="61"/>
    <x v="1"/>
    <x v="0"/>
    <x v="3"/>
    <n v="15"/>
    <s v="Hyderabad"/>
    <s v="2025-08-11"/>
    <x v="33"/>
    <x v="7"/>
    <x v="4"/>
    <x v="56"/>
    <x v="65"/>
    <x v="18"/>
    <n v="386"/>
    <n v="77.2"/>
    <x v="1"/>
    <x v="1"/>
    <n v="2517"/>
    <s v="Drama"/>
    <x v="0"/>
  </r>
  <r>
    <x v="930"/>
    <x v="5"/>
    <x v="0"/>
    <x v="1"/>
    <x v="0"/>
    <n v="13"/>
    <s v="Pune"/>
    <s v="2025-04-12"/>
    <x v="35"/>
    <x v="56"/>
    <x v="23"/>
    <x v="0"/>
    <x v="1"/>
    <x v="3"/>
    <n v="389"/>
    <n v="77.8"/>
    <x v="1"/>
    <x v="1"/>
    <n v="3616"/>
    <s v="Music"/>
    <x v="0"/>
  </r>
  <r>
    <x v="931"/>
    <x v="1"/>
    <x v="1"/>
    <x v="11"/>
    <x v="1"/>
    <n v="16"/>
    <s v="Coimbatore"/>
    <s v="2025-09-28"/>
    <x v="12"/>
    <x v="8"/>
    <x v="55"/>
    <x v="24"/>
    <x v="58"/>
    <x v="27"/>
    <n v="316"/>
    <n v="63.2"/>
    <x v="0"/>
    <x v="1"/>
    <n v="1995"/>
    <s v="Dance"/>
    <x v="0"/>
  </r>
  <r>
    <x v="932"/>
    <x v="148"/>
    <x v="0"/>
    <x v="9"/>
    <x v="2"/>
    <n v="15"/>
    <s v="Hyderabad"/>
    <s v="2024-09-06"/>
    <x v="13"/>
    <x v="25"/>
    <x v="5"/>
    <x v="46"/>
    <x v="20"/>
    <x v="20"/>
    <n v="425"/>
    <n v="85"/>
    <x v="2"/>
    <x v="1"/>
    <n v="3787"/>
    <s v="Sports"/>
    <x v="0"/>
  </r>
  <r>
    <x v="933"/>
    <x v="90"/>
    <x v="0"/>
    <x v="7"/>
    <x v="2"/>
    <n v="10"/>
    <s v="Madurai"/>
    <s v="2022-03-05"/>
    <x v="10"/>
    <x v="32"/>
    <x v="38"/>
    <x v="27"/>
    <x v="7"/>
    <x v="12"/>
    <n v="376"/>
    <n v="75.2"/>
    <x v="1"/>
    <x v="0"/>
    <n v="3424"/>
    <s v="Music"/>
    <x v="0"/>
  </r>
  <r>
    <x v="934"/>
    <x v="127"/>
    <x v="0"/>
    <x v="7"/>
    <x v="3"/>
    <n v="9"/>
    <s v="Madurai"/>
    <s v="2023-06-28"/>
    <x v="11"/>
    <x v="23"/>
    <x v="65"/>
    <x v="42"/>
    <x v="52"/>
    <x v="7"/>
    <n v="334"/>
    <n v="66.8"/>
    <x v="0"/>
    <x v="1"/>
    <n v="4085"/>
    <s v="Art"/>
    <x v="0"/>
  </r>
  <r>
    <x v="935"/>
    <x v="42"/>
    <x v="0"/>
    <x v="7"/>
    <x v="0"/>
    <n v="10"/>
    <s v="Madurai"/>
    <s v="2021-06-04"/>
    <x v="21"/>
    <x v="30"/>
    <x v="11"/>
    <x v="14"/>
    <x v="40"/>
    <x v="48"/>
    <n v="321"/>
    <n v="64.2"/>
    <x v="0"/>
    <x v="1"/>
    <n v="2274"/>
    <s v="Dance"/>
    <x v="0"/>
  </r>
  <r>
    <x v="936"/>
    <x v="35"/>
    <x v="1"/>
    <x v="7"/>
    <x v="0"/>
    <n v="11"/>
    <s v="Pune"/>
    <s v="2024-01-22"/>
    <x v="36"/>
    <x v="2"/>
    <x v="1"/>
    <x v="43"/>
    <x v="44"/>
    <x v="46"/>
    <n v="402"/>
    <n v="80.400000000000006"/>
    <x v="2"/>
    <x v="1"/>
    <n v="4801"/>
    <s v="Drama"/>
    <x v="0"/>
  </r>
  <r>
    <x v="937"/>
    <x v="11"/>
    <x v="1"/>
    <x v="2"/>
    <x v="2"/>
    <n v="8"/>
    <s v="Coimbatore"/>
    <s v="2024-03-12"/>
    <x v="0"/>
    <x v="3"/>
    <x v="16"/>
    <x v="9"/>
    <x v="19"/>
    <x v="41"/>
    <n v="297"/>
    <n v="59.4"/>
    <x v="3"/>
    <x v="0"/>
    <n v="3558"/>
    <s v="Dance"/>
    <x v="0"/>
  </r>
  <r>
    <x v="938"/>
    <x v="57"/>
    <x v="1"/>
    <x v="11"/>
    <x v="1"/>
    <n v="16"/>
    <s v="Mumbai"/>
    <s v="2024-12-14"/>
    <x v="19"/>
    <x v="36"/>
    <x v="34"/>
    <x v="58"/>
    <x v="17"/>
    <x v="21"/>
    <n v="221"/>
    <n v="44.2"/>
    <x v="4"/>
    <x v="0"/>
    <n v="3809"/>
    <s v="Sports"/>
    <x v="1"/>
  </r>
  <r>
    <x v="939"/>
    <x v="137"/>
    <x v="1"/>
    <x v="10"/>
    <x v="1"/>
    <n v="12"/>
    <s v="Madurai"/>
    <s v="2022-02-05"/>
    <x v="5"/>
    <x v="20"/>
    <x v="33"/>
    <x v="35"/>
    <x v="16"/>
    <x v="6"/>
    <n v="326"/>
    <n v="65.2"/>
    <x v="0"/>
    <x v="1"/>
    <n v="3415"/>
    <s v="Sports"/>
    <x v="0"/>
  </r>
  <r>
    <x v="940"/>
    <x v="45"/>
    <x v="0"/>
    <x v="3"/>
    <x v="3"/>
    <n v="6"/>
    <s v="Hyderabad"/>
    <s v="2023-10-27"/>
    <x v="32"/>
    <x v="20"/>
    <x v="0"/>
    <x v="31"/>
    <x v="42"/>
    <x v="21"/>
    <n v="336"/>
    <n v="67.2"/>
    <x v="0"/>
    <x v="1"/>
    <n v="3619"/>
    <s v="Coding Club"/>
    <x v="0"/>
  </r>
  <r>
    <x v="941"/>
    <x v="127"/>
    <x v="1"/>
    <x v="8"/>
    <x v="2"/>
    <n v="8"/>
    <s v="Madurai"/>
    <s v="2024-07-16"/>
    <x v="40"/>
    <x v="23"/>
    <x v="31"/>
    <x v="48"/>
    <x v="39"/>
    <x v="5"/>
    <n v="361"/>
    <n v="72.2"/>
    <x v="1"/>
    <x v="0"/>
    <n v="3201"/>
    <s v="Coding Club"/>
    <x v="0"/>
  </r>
  <r>
    <x v="942"/>
    <x v="59"/>
    <x v="1"/>
    <x v="5"/>
    <x v="2"/>
    <n v="7"/>
    <s v="Bangalore"/>
    <s v="2023-10-06"/>
    <x v="36"/>
    <x v="37"/>
    <x v="59"/>
    <x v="29"/>
    <x v="15"/>
    <x v="41"/>
    <n v="364"/>
    <n v="72.8"/>
    <x v="1"/>
    <x v="0"/>
    <n v="4059"/>
    <s v="Dance"/>
    <x v="0"/>
  </r>
  <r>
    <x v="943"/>
    <x v="145"/>
    <x v="0"/>
    <x v="7"/>
    <x v="1"/>
    <n v="11"/>
    <s v="Chennai"/>
    <s v="2021-12-16"/>
    <x v="32"/>
    <x v="63"/>
    <x v="61"/>
    <x v="47"/>
    <x v="26"/>
    <x v="43"/>
    <n v="377"/>
    <n v="75.400000000000006"/>
    <x v="1"/>
    <x v="0"/>
    <n v="2884"/>
    <s v="Drama"/>
    <x v="0"/>
  </r>
  <r>
    <x v="944"/>
    <x v="65"/>
    <x v="0"/>
    <x v="1"/>
    <x v="2"/>
    <n v="12"/>
    <s v="Hyderabad"/>
    <s v="2023-04-14"/>
    <x v="40"/>
    <x v="25"/>
    <x v="14"/>
    <x v="52"/>
    <x v="19"/>
    <x v="2"/>
    <n v="374"/>
    <n v="74.8"/>
    <x v="1"/>
    <x v="0"/>
    <n v="3621"/>
    <s v="Sports"/>
    <x v="0"/>
  </r>
  <r>
    <x v="945"/>
    <x v="119"/>
    <x v="0"/>
    <x v="10"/>
    <x v="1"/>
    <n v="11"/>
    <s v="Coimbatore"/>
    <s v="2021-03-07"/>
    <x v="35"/>
    <x v="43"/>
    <x v="36"/>
    <x v="46"/>
    <x v="8"/>
    <x v="8"/>
    <n v="385"/>
    <n v="77"/>
    <x v="1"/>
    <x v="1"/>
    <n v="1531"/>
    <s v="Dance"/>
    <x v="0"/>
  </r>
  <r>
    <x v="946"/>
    <x v="55"/>
    <x v="0"/>
    <x v="4"/>
    <x v="0"/>
    <n v="17"/>
    <s v="Hyderabad"/>
    <s v="2024-11-27"/>
    <x v="18"/>
    <x v="11"/>
    <x v="62"/>
    <x v="39"/>
    <x v="7"/>
    <x v="7"/>
    <n v="362"/>
    <n v="72.400000000000006"/>
    <x v="1"/>
    <x v="0"/>
    <n v="3235"/>
    <s v="Drama"/>
    <x v="0"/>
  </r>
  <r>
    <x v="947"/>
    <x v="126"/>
    <x v="1"/>
    <x v="9"/>
    <x v="0"/>
    <n v="13"/>
    <s v="Hyderabad"/>
    <s v="2021-06-26"/>
    <x v="29"/>
    <x v="50"/>
    <x v="12"/>
    <x v="37"/>
    <x v="7"/>
    <x v="28"/>
    <n v="401"/>
    <n v="80.2"/>
    <x v="2"/>
    <x v="0"/>
    <n v="2964"/>
    <s v="Coding Club"/>
    <x v="0"/>
  </r>
  <r>
    <x v="948"/>
    <x v="92"/>
    <x v="0"/>
    <x v="11"/>
    <x v="1"/>
    <n v="16"/>
    <s v="Coimbatore"/>
    <s v="2023-07-09"/>
    <x v="10"/>
    <x v="41"/>
    <x v="3"/>
    <x v="40"/>
    <x v="19"/>
    <x v="32"/>
    <n v="348"/>
    <n v="69.599999999999994"/>
    <x v="0"/>
    <x v="0"/>
    <n v="3867"/>
    <s v="Sports"/>
    <x v="0"/>
  </r>
  <r>
    <x v="949"/>
    <x v="128"/>
    <x v="0"/>
    <x v="3"/>
    <x v="1"/>
    <n v="6"/>
    <s v="Hyderabad"/>
    <s v="2021-08-26"/>
    <x v="1"/>
    <x v="33"/>
    <x v="7"/>
    <x v="46"/>
    <x v="24"/>
    <x v="54"/>
    <n v="352"/>
    <n v="70.400000000000006"/>
    <x v="1"/>
    <x v="1"/>
    <n v="2480"/>
    <s v="Drama"/>
    <x v="0"/>
  </r>
  <r>
    <x v="950"/>
    <x v="130"/>
    <x v="0"/>
    <x v="0"/>
    <x v="2"/>
    <n v="15"/>
    <s v="Madurai"/>
    <s v="2021-07-23"/>
    <x v="24"/>
    <x v="44"/>
    <x v="17"/>
    <x v="5"/>
    <x v="50"/>
    <x v="55"/>
    <n v="320"/>
    <n v="64"/>
    <x v="0"/>
    <x v="1"/>
    <n v="4974"/>
    <s v="Dance"/>
    <x v="0"/>
  </r>
  <r>
    <x v="951"/>
    <x v="38"/>
    <x v="0"/>
    <x v="11"/>
    <x v="0"/>
    <n v="16"/>
    <s v="Mumbai"/>
    <s v="2022-04-30"/>
    <x v="5"/>
    <x v="55"/>
    <x v="40"/>
    <x v="54"/>
    <x v="35"/>
    <x v="29"/>
    <n v="320"/>
    <n v="64"/>
    <x v="0"/>
    <x v="0"/>
    <n v="2159"/>
    <s v="Coding Club"/>
    <x v="0"/>
  </r>
  <r>
    <x v="952"/>
    <x v="86"/>
    <x v="1"/>
    <x v="10"/>
    <x v="3"/>
    <n v="13"/>
    <s v="Madurai"/>
    <s v="2021-02-19"/>
    <x v="16"/>
    <x v="34"/>
    <x v="25"/>
    <x v="7"/>
    <x v="43"/>
    <x v="28"/>
    <n v="364"/>
    <n v="72.8"/>
    <x v="1"/>
    <x v="0"/>
    <n v="3722"/>
    <s v="Drama"/>
    <x v="0"/>
  </r>
  <r>
    <x v="953"/>
    <x v="69"/>
    <x v="0"/>
    <x v="0"/>
    <x v="0"/>
    <n v="16"/>
    <s v="Pune"/>
    <s v="2024-09-28"/>
    <x v="34"/>
    <x v="18"/>
    <x v="36"/>
    <x v="33"/>
    <x v="60"/>
    <x v="2"/>
    <n v="348"/>
    <n v="69.599999999999994"/>
    <x v="0"/>
    <x v="1"/>
    <n v="2351"/>
    <s v="Sports"/>
    <x v="0"/>
  </r>
  <r>
    <x v="954"/>
    <x v="50"/>
    <x v="0"/>
    <x v="11"/>
    <x v="0"/>
    <n v="15"/>
    <s v="Pune"/>
    <s v="2024-05-21"/>
    <x v="2"/>
    <x v="1"/>
    <x v="26"/>
    <x v="29"/>
    <x v="33"/>
    <x v="29"/>
    <n v="336"/>
    <n v="67.2"/>
    <x v="0"/>
    <x v="0"/>
    <n v="2418"/>
    <s v="Drama"/>
    <x v="0"/>
  </r>
  <r>
    <x v="955"/>
    <x v="113"/>
    <x v="0"/>
    <x v="7"/>
    <x v="3"/>
    <n v="11"/>
    <s v="Bangalore"/>
    <s v="2021-01-28"/>
    <x v="16"/>
    <x v="37"/>
    <x v="33"/>
    <x v="2"/>
    <x v="55"/>
    <x v="57"/>
    <n v="270"/>
    <n v="54"/>
    <x v="3"/>
    <x v="0"/>
    <n v="2515"/>
    <s v="Coding Club"/>
    <x v="1"/>
  </r>
  <r>
    <x v="956"/>
    <x v="129"/>
    <x v="1"/>
    <x v="3"/>
    <x v="1"/>
    <n v="6"/>
    <s v="Chennai"/>
    <s v="2025-11-11"/>
    <x v="0"/>
    <x v="47"/>
    <x v="21"/>
    <x v="9"/>
    <x v="2"/>
    <x v="40"/>
    <n v="348"/>
    <n v="69.599999999999994"/>
    <x v="0"/>
    <x v="0"/>
    <n v="4509"/>
    <s v="Drama"/>
    <x v="0"/>
  </r>
  <r>
    <x v="957"/>
    <x v="29"/>
    <x v="1"/>
    <x v="10"/>
    <x v="3"/>
    <n v="12"/>
    <s v="Bangalore"/>
    <s v="2022-11-28"/>
    <x v="17"/>
    <x v="54"/>
    <x v="30"/>
    <x v="55"/>
    <x v="24"/>
    <x v="47"/>
    <n v="426"/>
    <n v="85.2"/>
    <x v="2"/>
    <x v="1"/>
    <n v="2111"/>
    <s v="Drama"/>
    <x v="0"/>
  </r>
  <r>
    <x v="958"/>
    <x v="54"/>
    <x v="0"/>
    <x v="1"/>
    <x v="3"/>
    <n v="14"/>
    <s v="Chennai"/>
    <s v="2024-05-25"/>
    <x v="27"/>
    <x v="59"/>
    <x v="39"/>
    <x v="31"/>
    <x v="12"/>
    <x v="5"/>
    <n v="394"/>
    <n v="78.8"/>
    <x v="1"/>
    <x v="1"/>
    <n v="3202"/>
    <s v="Dance"/>
    <x v="0"/>
  </r>
  <r>
    <x v="959"/>
    <x v="138"/>
    <x v="0"/>
    <x v="0"/>
    <x v="2"/>
    <n v="14"/>
    <s v="Madurai"/>
    <s v="2021-10-02"/>
    <x v="19"/>
    <x v="0"/>
    <x v="23"/>
    <x v="51"/>
    <x v="41"/>
    <x v="60"/>
    <n v="289"/>
    <n v="57.8"/>
    <x v="3"/>
    <x v="0"/>
    <n v="4990"/>
    <s v="Drama"/>
    <x v="0"/>
  </r>
  <r>
    <x v="960"/>
    <x v="102"/>
    <x v="0"/>
    <x v="9"/>
    <x v="3"/>
    <n v="13"/>
    <s v="Chennai"/>
    <s v="2024-05-12"/>
    <x v="11"/>
    <x v="45"/>
    <x v="17"/>
    <x v="44"/>
    <x v="41"/>
    <x v="14"/>
    <n v="273"/>
    <n v="54.6"/>
    <x v="3"/>
    <x v="0"/>
    <n v="2307"/>
    <s v="Sports"/>
    <x v="1"/>
  </r>
  <r>
    <x v="961"/>
    <x v="77"/>
    <x v="1"/>
    <x v="1"/>
    <x v="1"/>
    <n v="13"/>
    <s v="Pune"/>
    <s v="2025-03-25"/>
    <x v="5"/>
    <x v="37"/>
    <x v="57"/>
    <x v="11"/>
    <x v="60"/>
    <x v="35"/>
    <n v="259"/>
    <n v="51.8"/>
    <x v="3"/>
    <x v="1"/>
    <n v="1781"/>
    <s v="Coding Club"/>
    <x v="1"/>
  </r>
  <r>
    <x v="962"/>
    <x v="11"/>
    <x v="0"/>
    <x v="8"/>
    <x v="2"/>
    <n v="9"/>
    <s v="Chennai"/>
    <s v="2021-05-27"/>
    <x v="1"/>
    <x v="53"/>
    <x v="47"/>
    <x v="58"/>
    <x v="63"/>
    <x v="34"/>
    <n v="297"/>
    <n v="59.4"/>
    <x v="3"/>
    <x v="1"/>
    <n v="4014"/>
    <s v="Art"/>
    <x v="0"/>
  </r>
  <r>
    <x v="963"/>
    <x v="14"/>
    <x v="0"/>
    <x v="0"/>
    <x v="2"/>
    <n v="14"/>
    <s v="Coimbatore"/>
    <s v="2022-12-11"/>
    <x v="20"/>
    <x v="30"/>
    <x v="21"/>
    <x v="40"/>
    <x v="56"/>
    <x v="61"/>
    <n v="364"/>
    <n v="72.8"/>
    <x v="1"/>
    <x v="1"/>
    <n v="2971"/>
    <s v="Sports"/>
    <x v="0"/>
  </r>
  <r>
    <x v="964"/>
    <x v="43"/>
    <x v="1"/>
    <x v="5"/>
    <x v="3"/>
    <n v="6"/>
    <s v="Mumbai"/>
    <s v="2022-02-05"/>
    <x v="4"/>
    <x v="59"/>
    <x v="51"/>
    <x v="16"/>
    <x v="36"/>
    <x v="11"/>
    <n v="274"/>
    <n v="54.8"/>
    <x v="3"/>
    <x v="0"/>
    <n v="3897"/>
    <s v="Sports"/>
    <x v="1"/>
  </r>
  <r>
    <x v="965"/>
    <x v="149"/>
    <x v="0"/>
    <x v="0"/>
    <x v="2"/>
    <n v="16"/>
    <s v="Bangalore"/>
    <s v="2021-04-04"/>
    <x v="25"/>
    <x v="3"/>
    <x v="12"/>
    <x v="54"/>
    <x v="51"/>
    <x v="18"/>
    <n v="394"/>
    <n v="78.8"/>
    <x v="1"/>
    <x v="0"/>
    <n v="2648"/>
    <s v="Drama"/>
    <x v="0"/>
  </r>
  <r>
    <x v="966"/>
    <x v="137"/>
    <x v="1"/>
    <x v="2"/>
    <x v="1"/>
    <n v="8"/>
    <s v="Madurai"/>
    <s v="2024-12-24"/>
    <x v="25"/>
    <x v="11"/>
    <x v="24"/>
    <x v="18"/>
    <x v="12"/>
    <x v="37"/>
    <n v="381"/>
    <n v="76.2"/>
    <x v="1"/>
    <x v="1"/>
    <n v="2134"/>
    <s v="Art"/>
    <x v="0"/>
  </r>
  <r>
    <x v="967"/>
    <x v="67"/>
    <x v="0"/>
    <x v="9"/>
    <x v="0"/>
    <n v="13"/>
    <s v="Hyderabad"/>
    <s v="2025-08-01"/>
    <x v="20"/>
    <x v="29"/>
    <x v="32"/>
    <x v="41"/>
    <x v="63"/>
    <x v="33"/>
    <n v="419"/>
    <n v="83.8"/>
    <x v="2"/>
    <x v="0"/>
    <n v="2460"/>
    <s v="Dance"/>
    <x v="0"/>
  </r>
  <r>
    <x v="968"/>
    <x v="36"/>
    <x v="0"/>
    <x v="0"/>
    <x v="0"/>
    <n v="16"/>
    <s v="Coimbatore"/>
    <s v="2025-04-27"/>
    <x v="20"/>
    <x v="8"/>
    <x v="54"/>
    <x v="56"/>
    <x v="53"/>
    <x v="10"/>
    <n v="345"/>
    <n v="69"/>
    <x v="0"/>
    <x v="0"/>
    <n v="3503"/>
    <s v="Art"/>
    <x v="0"/>
  </r>
  <r>
    <x v="969"/>
    <x v="88"/>
    <x v="1"/>
    <x v="8"/>
    <x v="2"/>
    <n v="7"/>
    <s v="Hyderabad"/>
    <s v="2023-12-13"/>
    <x v="4"/>
    <x v="38"/>
    <x v="37"/>
    <x v="11"/>
    <x v="63"/>
    <x v="4"/>
    <n v="419"/>
    <n v="83.8"/>
    <x v="2"/>
    <x v="1"/>
    <n v="2293"/>
    <s v="Drama"/>
    <x v="0"/>
  </r>
  <r>
    <x v="970"/>
    <x v="72"/>
    <x v="0"/>
    <x v="4"/>
    <x v="3"/>
    <n v="17"/>
    <s v="Mumbai"/>
    <s v="2021-10-22"/>
    <x v="16"/>
    <x v="22"/>
    <x v="14"/>
    <x v="2"/>
    <x v="48"/>
    <x v="59"/>
    <n v="324"/>
    <n v="64.8"/>
    <x v="0"/>
    <x v="1"/>
    <n v="1655"/>
    <s v="Art"/>
    <x v="0"/>
  </r>
  <r>
    <x v="971"/>
    <x v="0"/>
    <x v="1"/>
    <x v="9"/>
    <x v="3"/>
    <n v="14"/>
    <s v="Hyderabad"/>
    <s v="2021-05-25"/>
    <x v="36"/>
    <x v="28"/>
    <x v="7"/>
    <x v="29"/>
    <x v="39"/>
    <x v="43"/>
    <n v="315"/>
    <n v="63"/>
    <x v="0"/>
    <x v="1"/>
    <n v="1833"/>
    <s v="Sports"/>
    <x v="0"/>
  </r>
  <r>
    <x v="972"/>
    <x v="103"/>
    <x v="1"/>
    <x v="3"/>
    <x v="0"/>
    <n v="7"/>
    <s v="Bangalore"/>
    <s v="2025-11-21"/>
    <x v="10"/>
    <x v="10"/>
    <x v="59"/>
    <x v="53"/>
    <x v="64"/>
    <x v="33"/>
    <n v="420"/>
    <n v="84"/>
    <x v="2"/>
    <x v="1"/>
    <n v="2070"/>
    <s v="Coding Club"/>
    <x v="0"/>
  </r>
  <r>
    <x v="973"/>
    <x v="144"/>
    <x v="1"/>
    <x v="9"/>
    <x v="1"/>
    <n v="13"/>
    <s v="Mumbai"/>
    <s v="2023-04-16"/>
    <x v="18"/>
    <x v="56"/>
    <x v="58"/>
    <x v="55"/>
    <x v="29"/>
    <x v="53"/>
    <n v="404"/>
    <n v="80.8"/>
    <x v="2"/>
    <x v="1"/>
    <n v="3022"/>
    <s v="Music"/>
    <x v="0"/>
  </r>
  <r>
    <x v="974"/>
    <x v="106"/>
    <x v="0"/>
    <x v="1"/>
    <x v="2"/>
    <n v="13"/>
    <s v="Hyderabad"/>
    <s v="2023-08-03"/>
    <x v="36"/>
    <x v="37"/>
    <x v="44"/>
    <x v="25"/>
    <x v="53"/>
    <x v="16"/>
    <n v="377"/>
    <n v="75.400000000000006"/>
    <x v="1"/>
    <x v="0"/>
    <n v="3420"/>
    <s v="Dance"/>
    <x v="0"/>
  </r>
  <r>
    <x v="975"/>
    <x v="70"/>
    <x v="0"/>
    <x v="10"/>
    <x v="2"/>
    <n v="13"/>
    <s v="Coimbatore"/>
    <s v="2021-12-09"/>
    <x v="31"/>
    <x v="2"/>
    <x v="7"/>
    <x v="62"/>
    <x v="63"/>
    <x v="26"/>
    <n v="365"/>
    <n v="73"/>
    <x v="1"/>
    <x v="0"/>
    <n v="1543"/>
    <s v="Coding Club"/>
    <x v="0"/>
  </r>
  <r>
    <x v="976"/>
    <x v="57"/>
    <x v="0"/>
    <x v="6"/>
    <x v="0"/>
    <n v="10"/>
    <s v="Bangalore"/>
    <s v="2022-03-01"/>
    <x v="31"/>
    <x v="33"/>
    <x v="55"/>
    <x v="37"/>
    <x v="49"/>
    <x v="62"/>
    <n v="256"/>
    <n v="51.2"/>
    <x v="3"/>
    <x v="1"/>
    <n v="3812"/>
    <s v="Art"/>
    <x v="1"/>
  </r>
  <r>
    <x v="977"/>
    <x v="18"/>
    <x v="0"/>
    <x v="3"/>
    <x v="1"/>
    <n v="6"/>
    <s v="Chennai"/>
    <s v="2023-09-24"/>
    <x v="35"/>
    <x v="46"/>
    <x v="36"/>
    <x v="48"/>
    <x v="61"/>
    <x v="6"/>
    <n v="432"/>
    <n v="86.4"/>
    <x v="2"/>
    <x v="0"/>
    <n v="3022"/>
    <s v="Sports"/>
    <x v="0"/>
  </r>
  <r>
    <x v="978"/>
    <x v="9"/>
    <x v="0"/>
    <x v="10"/>
    <x v="1"/>
    <n v="13"/>
    <s v="Mumbai"/>
    <s v="2021-09-04"/>
    <x v="33"/>
    <x v="25"/>
    <x v="54"/>
    <x v="0"/>
    <x v="38"/>
    <x v="8"/>
    <n v="300"/>
    <n v="60"/>
    <x v="0"/>
    <x v="0"/>
    <n v="4431"/>
    <s v="Sports"/>
    <x v="0"/>
  </r>
  <r>
    <x v="979"/>
    <x v="105"/>
    <x v="1"/>
    <x v="2"/>
    <x v="3"/>
    <n v="9"/>
    <s v="Hyderabad"/>
    <s v="2025-04-23"/>
    <x v="14"/>
    <x v="38"/>
    <x v="1"/>
    <x v="18"/>
    <x v="5"/>
    <x v="57"/>
    <n v="395"/>
    <n v="79"/>
    <x v="1"/>
    <x v="1"/>
    <n v="4613"/>
    <s v="Sports"/>
    <x v="0"/>
  </r>
  <r>
    <x v="980"/>
    <x v="25"/>
    <x v="1"/>
    <x v="9"/>
    <x v="3"/>
    <n v="15"/>
    <s v="Mumbai"/>
    <s v="2022-07-12"/>
    <x v="34"/>
    <x v="14"/>
    <x v="16"/>
    <x v="33"/>
    <x v="26"/>
    <x v="21"/>
    <n v="361"/>
    <n v="72.2"/>
    <x v="1"/>
    <x v="1"/>
    <n v="3066"/>
    <s v="Art"/>
    <x v="0"/>
  </r>
  <r>
    <x v="981"/>
    <x v="0"/>
    <x v="0"/>
    <x v="5"/>
    <x v="3"/>
    <n v="8"/>
    <s v="Chennai"/>
    <s v="2023-09-27"/>
    <x v="8"/>
    <x v="20"/>
    <x v="54"/>
    <x v="39"/>
    <x v="22"/>
    <x v="12"/>
    <n v="356"/>
    <n v="71.2"/>
    <x v="1"/>
    <x v="1"/>
    <n v="4444"/>
    <s v="Art"/>
    <x v="0"/>
  </r>
  <r>
    <x v="982"/>
    <x v="120"/>
    <x v="0"/>
    <x v="5"/>
    <x v="2"/>
    <n v="8"/>
    <s v="Chennai"/>
    <s v="2024-09-13"/>
    <x v="22"/>
    <x v="32"/>
    <x v="19"/>
    <x v="38"/>
    <x v="12"/>
    <x v="16"/>
    <n v="432"/>
    <n v="86.4"/>
    <x v="2"/>
    <x v="1"/>
    <n v="4777"/>
    <s v="Music"/>
    <x v="0"/>
  </r>
  <r>
    <x v="983"/>
    <x v="143"/>
    <x v="0"/>
    <x v="10"/>
    <x v="2"/>
    <n v="11"/>
    <s v="Madurai"/>
    <s v="2021-06-23"/>
    <x v="40"/>
    <x v="4"/>
    <x v="24"/>
    <x v="39"/>
    <x v="0"/>
    <x v="44"/>
    <n v="296"/>
    <n v="59.2"/>
    <x v="3"/>
    <x v="0"/>
    <n v="1881"/>
    <s v="Sports"/>
    <x v="0"/>
  </r>
  <r>
    <x v="984"/>
    <x v="75"/>
    <x v="1"/>
    <x v="6"/>
    <x v="1"/>
    <n v="10"/>
    <s v="Bangalore"/>
    <s v="2025-08-18"/>
    <x v="0"/>
    <x v="21"/>
    <x v="61"/>
    <x v="4"/>
    <x v="7"/>
    <x v="33"/>
    <n v="422"/>
    <n v="84.4"/>
    <x v="2"/>
    <x v="0"/>
    <n v="4828"/>
    <s v="Coding Club"/>
    <x v="0"/>
  </r>
  <r>
    <x v="985"/>
    <x v="139"/>
    <x v="0"/>
    <x v="5"/>
    <x v="1"/>
    <n v="6"/>
    <s v="Mumbai"/>
    <s v="2025-10-26"/>
    <x v="18"/>
    <x v="10"/>
    <x v="11"/>
    <x v="60"/>
    <x v="49"/>
    <x v="39"/>
    <n v="346"/>
    <n v="69.2"/>
    <x v="0"/>
    <x v="1"/>
    <n v="1864"/>
    <s v="Sports"/>
    <x v="0"/>
  </r>
  <r>
    <x v="986"/>
    <x v="139"/>
    <x v="1"/>
    <x v="11"/>
    <x v="1"/>
    <n v="17"/>
    <s v="Pune"/>
    <s v="2022-01-26"/>
    <x v="12"/>
    <x v="60"/>
    <x v="13"/>
    <x v="61"/>
    <x v="65"/>
    <x v="31"/>
    <n v="392"/>
    <n v="78.400000000000006"/>
    <x v="1"/>
    <x v="1"/>
    <n v="3916"/>
    <s v="Drama"/>
    <x v="0"/>
  </r>
  <r>
    <x v="987"/>
    <x v="2"/>
    <x v="1"/>
    <x v="7"/>
    <x v="1"/>
    <n v="10"/>
    <s v="Mumbai"/>
    <s v="2021-08-29"/>
    <x v="8"/>
    <x v="60"/>
    <x v="39"/>
    <x v="40"/>
    <x v="18"/>
    <x v="64"/>
    <n v="307"/>
    <n v="61.4"/>
    <x v="0"/>
    <x v="0"/>
    <n v="2360"/>
    <s v="Music"/>
    <x v="0"/>
  </r>
  <r>
    <x v="988"/>
    <x v="135"/>
    <x v="1"/>
    <x v="2"/>
    <x v="1"/>
    <n v="9"/>
    <s v="Madurai"/>
    <s v="2024-08-15"/>
    <x v="2"/>
    <x v="30"/>
    <x v="54"/>
    <x v="21"/>
    <x v="32"/>
    <x v="9"/>
    <n v="293"/>
    <n v="58.6"/>
    <x v="3"/>
    <x v="0"/>
    <n v="3101"/>
    <s v="Music"/>
    <x v="0"/>
  </r>
  <r>
    <x v="989"/>
    <x v="148"/>
    <x v="1"/>
    <x v="8"/>
    <x v="3"/>
    <n v="9"/>
    <s v="Pune"/>
    <s v="2021-12-30"/>
    <x v="5"/>
    <x v="48"/>
    <x v="57"/>
    <x v="11"/>
    <x v="46"/>
    <x v="8"/>
    <n v="283"/>
    <n v="56.6"/>
    <x v="3"/>
    <x v="1"/>
    <n v="3937"/>
    <s v="Drama"/>
    <x v="0"/>
  </r>
  <r>
    <x v="990"/>
    <x v="34"/>
    <x v="0"/>
    <x v="10"/>
    <x v="3"/>
    <n v="11"/>
    <s v="Chennai"/>
    <s v="2022-04-10"/>
    <x v="35"/>
    <x v="54"/>
    <x v="22"/>
    <x v="15"/>
    <x v="14"/>
    <x v="43"/>
    <n v="340"/>
    <n v="68"/>
    <x v="0"/>
    <x v="1"/>
    <n v="3694"/>
    <s v="Music"/>
    <x v="0"/>
  </r>
  <r>
    <x v="991"/>
    <x v="93"/>
    <x v="0"/>
    <x v="3"/>
    <x v="1"/>
    <n v="6"/>
    <s v="Bangalore"/>
    <s v="2022-06-01"/>
    <x v="16"/>
    <x v="47"/>
    <x v="39"/>
    <x v="63"/>
    <x v="20"/>
    <x v="32"/>
    <n v="391"/>
    <n v="78.2"/>
    <x v="1"/>
    <x v="0"/>
    <n v="2924"/>
    <s v="Music"/>
    <x v="0"/>
  </r>
  <r>
    <x v="992"/>
    <x v="128"/>
    <x v="1"/>
    <x v="8"/>
    <x v="3"/>
    <n v="7"/>
    <s v="Mumbai"/>
    <s v="2025-08-21"/>
    <x v="22"/>
    <x v="14"/>
    <x v="24"/>
    <x v="21"/>
    <x v="40"/>
    <x v="39"/>
    <n v="267"/>
    <n v="53.4"/>
    <x v="3"/>
    <x v="1"/>
    <n v="3978"/>
    <s v="Coding Club"/>
    <x v="1"/>
  </r>
  <r>
    <x v="993"/>
    <x v="105"/>
    <x v="0"/>
    <x v="5"/>
    <x v="1"/>
    <n v="6"/>
    <s v="Coimbatore"/>
    <s v="2024-12-24"/>
    <x v="18"/>
    <x v="58"/>
    <x v="16"/>
    <x v="14"/>
    <x v="44"/>
    <x v="56"/>
    <n v="297"/>
    <n v="59.4"/>
    <x v="3"/>
    <x v="1"/>
    <n v="2021"/>
    <s v="Dance"/>
    <x v="0"/>
  </r>
  <r>
    <x v="994"/>
    <x v="147"/>
    <x v="1"/>
    <x v="11"/>
    <x v="1"/>
    <n v="15"/>
    <s v="Mumbai"/>
    <s v="2021-07-04"/>
    <x v="34"/>
    <x v="2"/>
    <x v="24"/>
    <x v="34"/>
    <x v="5"/>
    <x v="6"/>
    <n v="325"/>
    <n v="65"/>
    <x v="0"/>
    <x v="0"/>
    <n v="3404"/>
    <s v="Dance"/>
    <x v="0"/>
  </r>
  <r>
    <x v="995"/>
    <x v="8"/>
    <x v="0"/>
    <x v="5"/>
    <x v="0"/>
    <n v="6"/>
    <s v="Coimbatore"/>
    <s v="2022-11-10"/>
    <x v="20"/>
    <x v="15"/>
    <x v="32"/>
    <x v="54"/>
    <x v="23"/>
    <x v="10"/>
    <n v="399"/>
    <n v="79.8"/>
    <x v="1"/>
    <x v="1"/>
    <n v="2731"/>
    <s v="Music"/>
    <x v="0"/>
  </r>
  <r>
    <x v="996"/>
    <x v="95"/>
    <x v="0"/>
    <x v="0"/>
    <x v="2"/>
    <n v="15"/>
    <s v="Mumbai"/>
    <s v="2021-01-28"/>
    <x v="35"/>
    <x v="39"/>
    <x v="40"/>
    <x v="58"/>
    <x v="64"/>
    <x v="35"/>
    <n v="252"/>
    <n v="50.4"/>
    <x v="3"/>
    <x v="1"/>
    <n v="3292"/>
    <s v="Coding Club"/>
    <x v="1"/>
  </r>
  <r>
    <x v="997"/>
    <x v="24"/>
    <x v="1"/>
    <x v="2"/>
    <x v="0"/>
    <n v="8"/>
    <s v="Chennai"/>
    <s v="2023-05-02"/>
    <x v="34"/>
    <x v="17"/>
    <x v="19"/>
    <x v="52"/>
    <x v="56"/>
    <x v="36"/>
    <n v="357"/>
    <n v="71.400000000000006"/>
    <x v="1"/>
    <x v="1"/>
    <n v="3155"/>
    <s v="Dance"/>
    <x v="0"/>
  </r>
  <r>
    <x v="998"/>
    <x v="15"/>
    <x v="1"/>
    <x v="2"/>
    <x v="1"/>
    <n v="8"/>
    <s v="Mumbai"/>
    <s v="2025-05-23"/>
    <x v="18"/>
    <x v="51"/>
    <x v="55"/>
    <x v="46"/>
    <x v="9"/>
    <x v="63"/>
    <n v="264"/>
    <n v="52.8"/>
    <x v="3"/>
    <x v="0"/>
    <n v="4320"/>
    <s v="Drama"/>
    <x v="1"/>
  </r>
  <r>
    <x v="999"/>
    <x v="27"/>
    <x v="1"/>
    <x v="10"/>
    <x v="3"/>
    <n v="12"/>
    <s v="Pune"/>
    <s v="2025-01-29"/>
    <x v="1"/>
    <x v="59"/>
    <x v="35"/>
    <x v="42"/>
    <x v="36"/>
    <x v="12"/>
    <n v="297"/>
    <n v="59.4"/>
    <x v="3"/>
    <x v="1"/>
    <n v="1786"/>
    <s v="Drama"/>
    <x v="0"/>
  </r>
  <r>
    <x v="1000"/>
    <x v="14"/>
    <x v="1"/>
    <x v="4"/>
    <x v="3"/>
    <n v="16"/>
    <s v="Pune"/>
    <s v="2022-05-02"/>
    <x v="35"/>
    <x v="28"/>
    <x v="7"/>
    <x v="29"/>
    <x v="2"/>
    <x v="55"/>
    <n v="350"/>
    <n v="70"/>
    <x v="1"/>
    <x v="0"/>
    <n v="4859"/>
    <s v="Dance"/>
    <x v="0"/>
  </r>
  <r>
    <x v="1001"/>
    <x v="38"/>
    <x v="0"/>
    <x v="8"/>
    <x v="2"/>
    <n v="9"/>
    <s v="Madurai"/>
    <s v="2021-09-01"/>
    <x v="39"/>
    <x v="61"/>
    <x v="34"/>
    <x v="62"/>
    <x v="1"/>
    <x v="64"/>
    <n v="327"/>
    <n v="65.400000000000006"/>
    <x v="0"/>
    <x v="1"/>
    <n v="3991"/>
    <s v="Sports"/>
    <x v="0"/>
  </r>
  <r>
    <x v="1002"/>
    <x v="125"/>
    <x v="0"/>
    <x v="3"/>
    <x v="2"/>
    <n v="7"/>
    <s v="Mumbai"/>
    <s v="2022-11-08"/>
    <x v="35"/>
    <x v="35"/>
    <x v="33"/>
    <x v="11"/>
    <x v="45"/>
    <x v="54"/>
    <n v="255"/>
    <n v="51"/>
    <x v="3"/>
    <x v="1"/>
    <n v="2124"/>
    <s v="Sports"/>
    <x v="1"/>
  </r>
  <r>
    <x v="1003"/>
    <x v="32"/>
    <x v="1"/>
    <x v="10"/>
    <x v="0"/>
    <n v="13"/>
    <s v="Mumbai"/>
    <s v="2023-04-29"/>
    <x v="17"/>
    <x v="62"/>
    <x v="59"/>
    <x v="28"/>
    <x v="51"/>
    <x v="38"/>
    <n v="305"/>
    <n v="61"/>
    <x v="0"/>
    <x v="1"/>
    <n v="1904"/>
    <s v="Drama"/>
    <x v="0"/>
  </r>
  <r>
    <x v="1004"/>
    <x v="52"/>
    <x v="0"/>
    <x v="5"/>
    <x v="3"/>
    <n v="8"/>
    <s v="Hyderabad"/>
    <s v="2021-09-06"/>
    <x v="22"/>
    <x v="9"/>
    <x v="9"/>
    <x v="2"/>
    <x v="6"/>
    <x v="52"/>
    <n v="298"/>
    <n v="59.6"/>
    <x v="3"/>
    <x v="1"/>
    <n v="3333"/>
    <s v="Sports"/>
    <x v="0"/>
  </r>
  <r>
    <x v="1005"/>
    <x v="130"/>
    <x v="0"/>
    <x v="5"/>
    <x v="3"/>
    <n v="7"/>
    <s v="Pune"/>
    <s v="2025-12-06"/>
    <x v="8"/>
    <x v="31"/>
    <x v="29"/>
    <x v="64"/>
    <x v="56"/>
    <x v="53"/>
    <n v="405"/>
    <n v="81"/>
    <x v="2"/>
    <x v="0"/>
    <n v="4110"/>
    <s v="Dance"/>
    <x v="0"/>
  </r>
  <r>
    <x v="1006"/>
    <x v="4"/>
    <x v="0"/>
    <x v="0"/>
    <x v="1"/>
    <n v="14"/>
    <s v="Pune"/>
    <s v="2024-05-20"/>
    <x v="31"/>
    <x v="32"/>
    <x v="0"/>
    <x v="48"/>
    <x v="46"/>
    <x v="58"/>
    <n v="329"/>
    <n v="65.8"/>
    <x v="0"/>
    <x v="1"/>
    <n v="1963"/>
    <s v="Music"/>
    <x v="0"/>
  </r>
  <r>
    <x v="1007"/>
    <x v="2"/>
    <x v="0"/>
    <x v="2"/>
    <x v="2"/>
    <n v="9"/>
    <s v="Hyderabad"/>
    <s v="2022-06-29"/>
    <x v="35"/>
    <x v="41"/>
    <x v="48"/>
    <x v="28"/>
    <x v="39"/>
    <x v="51"/>
    <n v="259"/>
    <n v="51.8"/>
    <x v="3"/>
    <x v="0"/>
    <n v="3111"/>
    <s v="Art"/>
    <x v="1"/>
  </r>
  <r>
    <x v="1008"/>
    <x v="121"/>
    <x v="0"/>
    <x v="1"/>
    <x v="3"/>
    <n v="12"/>
    <s v="Chennai"/>
    <s v="2025-02-27"/>
    <x v="12"/>
    <x v="7"/>
    <x v="38"/>
    <x v="60"/>
    <x v="23"/>
    <x v="53"/>
    <n v="337"/>
    <n v="67.400000000000006"/>
    <x v="0"/>
    <x v="0"/>
    <n v="1875"/>
    <s v="Music"/>
    <x v="0"/>
  </r>
  <r>
    <x v="1009"/>
    <x v="12"/>
    <x v="1"/>
    <x v="11"/>
    <x v="1"/>
    <n v="17"/>
    <s v="Chennai"/>
    <s v="2022-05-12"/>
    <x v="37"/>
    <x v="3"/>
    <x v="48"/>
    <x v="16"/>
    <x v="52"/>
    <x v="34"/>
    <n v="324"/>
    <n v="64.8"/>
    <x v="0"/>
    <x v="0"/>
    <n v="1941"/>
    <s v="Music"/>
    <x v="0"/>
  </r>
  <r>
    <x v="1010"/>
    <x v="23"/>
    <x v="0"/>
    <x v="0"/>
    <x v="2"/>
    <n v="14"/>
    <s v="Madurai"/>
    <s v="2025-03-18"/>
    <x v="4"/>
    <x v="63"/>
    <x v="28"/>
    <x v="37"/>
    <x v="8"/>
    <x v="52"/>
    <n v="340"/>
    <n v="68"/>
    <x v="0"/>
    <x v="1"/>
    <n v="3937"/>
    <s v="Drama"/>
    <x v="0"/>
  </r>
  <r>
    <x v="1011"/>
    <x v="119"/>
    <x v="1"/>
    <x v="1"/>
    <x v="1"/>
    <n v="14"/>
    <s v="Hyderabad"/>
    <s v="2024-06-06"/>
    <x v="30"/>
    <x v="54"/>
    <x v="45"/>
    <x v="34"/>
    <x v="38"/>
    <x v="0"/>
    <n v="337"/>
    <n v="67.400000000000006"/>
    <x v="0"/>
    <x v="0"/>
    <n v="2040"/>
    <s v="Dance"/>
    <x v="0"/>
  </r>
  <r>
    <x v="1012"/>
    <x v="32"/>
    <x v="1"/>
    <x v="5"/>
    <x v="1"/>
    <n v="8"/>
    <s v="Pune"/>
    <s v="2022-07-18"/>
    <x v="29"/>
    <x v="53"/>
    <x v="46"/>
    <x v="40"/>
    <x v="60"/>
    <x v="53"/>
    <n v="313"/>
    <n v="62.6"/>
    <x v="0"/>
    <x v="0"/>
    <n v="3777"/>
    <s v="Music"/>
    <x v="0"/>
  </r>
  <r>
    <x v="1013"/>
    <x v="31"/>
    <x v="0"/>
    <x v="9"/>
    <x v="1"/>
    <n v="13"/>
    <s v="Chennai"/>
    <s v="2021-04-18"/>
    <x v="40"/>
    <x v="57"/>
    <x v="54"/>
    <x v="64"/>
    <x v="38"/>
    <x v="0"/>
    <n v="343"/>
    <n v="68.599999999999994"/>
    <x v="0"/>
    <x v="0"/>
    <n v="3967"/>
    <s v="Dance"/>
    <x v="0"/>
  </r>
  <r>
    <x v="1014"/>
    <x v="61"/>
    <x v="1"/>
    <x v="6"/>
    <x v="1"/>
    <n v="10"/>
    <s v="Pune"/>
    <s v="2021-07-31"/>
    <x v="32"/>
    <x v="64"/>
    <x v="38"/>
    <x v="54"/>
    <x v="20"/>
    <x v="3"/>
    <n v="370"/>
    <n v="74"/>
    <x v="1"/>
    <x v="1"/>
    <n v="2415"/>
    <s v="Art"/>
    <x v="0"/>
  </r>
  <r>
    <x v="1015"/>
    <x v="136"/>
    <x v="0"/>
    <x v="0"/>
    <x v="1"/>
    <n v="15"/>
    <s v="Chennai"/>
    <s v="2022-06-11"/>
    <x v="6"/>
    <x v="27"/>
    <x v="56"/>
    <x v="63"/>
    <x v="63"/>
    <x v="4"/>
    <n v="372"/>
    <n v="74.400000000000006"/>
    <x v="1"/>
    <x v="0"/>
    <n v="2423"/>
    <s v="Dance"/>
    <x v="0"/>
  </r>
  <r>
    <x v="1016"/>
    <x v="32"/>
    <x v="1"/>
    <x v="4"/>
    <x v="2"/>
    <n v="17"/>
    <s v="Mumbai"/>
    <s v="2024-03-14"/>
    <x v="12"/>
    <x v="1"/>
    <x v="58"/>
    <x v="16"/>
    <x v="42"/>
    <x v="27"/>
    <n v="331"/>
    <n v="66.2"/>
    <x v="0"/>
    <x v="1"/>
    <n v="2442"/>
    <s v="Coding Club"/>
    <x v="0"/>
  </r>
  <r>
    <x v="1017"/>
    <x v="47"/>
    <x v="1"/>
    <x v="7"/>
    <x v="0"/>
    <n v="10"/>
    <s v="Chennai"/>
    <s v="2021-11-27"/>
    <x v="23"/>
    <x v="13"/>
    <x v="22"/>
    <x v="41"/>
    <x v="2"/>
    <x v="1"/>
    <n v="392"/>
    <n v="78.400000000000006"/>
    <x v="1"/>
    <x v="0"/>
    <n v="4884"/>
    <s v="Music"/>
    <x v="0"/>
  </r>
  <r>
    <x v="1018"/>
    <x v="133"/>
    <x v="1"/>
    <x v="0"/>
    <x v="1"/>
    <n v="16"/>
    <s v="Pune"/>
    <s v="2025-05-03"/>
    <x v="37"/>
    <x v="4"/>
    <x v="52"/>
    <x v="63"/>
    <x v="38"/>
    <x v="16"/>
    <n v="394"/>
    <n v="78.8"/>
    <x v="1"/>
    <x v="0"/>
    <n v="4762"/>
    <s v="Coding Club"/>
    <x v="0"/>
  </r>
  <r>
    <x v="1019"/>
    <x v="95"/>
    <x v="1"/>
    <x v="2"/>
    <x v="3"/>
    <n v="8"/>
    <s v="Pune"/>
    <s v="2022-09-13"/>
    <x v="25"/>
    <x v="20"/>
    <x v="54"/>
    <x v="54"/>
    <x v="0"/>
    <x v="25"/>
    <n v="305"/>
    <n v="61"/>
    <x v="0"/>
    <x v="1"/>
    <n v="4221"/>
    <s v="Art"/>
    <x v="0"/>
  </r>
  <r>
    <x v="1020"/>
    <x v="105"/>
    <x v="0"/>
    <x v="9"/>
    <x v="0"/>
    <n v="13"/>
    <s v="Madurai"/>
    <s v="2024-08-12"/>
    <x v="0"/>
    <x v="17"/>
    <x v="27"/>
    <x v="30"/>
    <x v="15"/>
    <x v="30"/>
    <n v="376"/>
    <n v="75.2"/>
    <x v="1"/>
    <x v="1"/>
    <n v="1943"/>
    <s v="Dance"/>
    <x v="0"/>
  </r>
  <r>
    <x v="1021"/>
    <x v="85"/>
    <x v="1"/>
    <x v="4"/>
    <x v="2"/>
    <n v="18"/>
    <s v="Mumbai"/>
    <s v="2023-06-08"/>
    <x v="9"/>
    <x v="63"/>
    <x v="33"/>
    <x v="53"/>
    <x v="42"/>
    <x v="61"/>
    <n v="331"/>
    <n v="66.2"/>
    <x v="0"/>
    <x v="0"/>
    <n v="1908"/>
    <s v="Art"/>
    <x v="0"/>
  </r>
  <r>
    <x v="1022"/>
    <x v="89"/>
    <x v="0"/>
    <x v="1"/>
    <x v="3"/>
    <n v="13"/>
    <s v="Bangalore"/>
    <s v="2024-09-06"/>
    <x v="14"/>
    <x v="37"/>
    <x v="64"/>
    <x v="48"/>
    <x v="36"/>
    <x v="24"/>
    <n v="290"/>
    <n v="58"/>
    <x v="3"/>
    <x v="0"/>
    <n v="3079"/>
    <s v="Coding Club"/>
    <x v="0"/>
  </r>
  <r>
    <x v="1023"/>
    <x v="43"/>
    <x v="1"/>
    <x v="1"/>
    <x v="3"/>
    <n v="14"/>
    <s v="Coimbatore"/>
    <s v="2024-03-20"/>
    <x v="28"/>
    <x v="12"/>
    <x v="45"/>
    <x v="64"/>
    <x v="28"/>
    <x v="57"/>
    <n v="447"/>
    <n v="89.4"/>
    <x v="2"/>
    <x v="0"/>
    <n v="3945"/>
    <s v="Art"/>
    <x v="0"/>
  </r>
  <r>
    <x v="1024"/>
    <x v="127"/>
    <x v="1"/>
    <x v="9"/>
    <x v="2"/>
    <n v="15"/>
    <s v="Chennai"/>
    <s v="2023-04-06"/>
    <x v="6"/>
    <x v="4"/>
    <x v="47"/>
    <x v="42"/>
    <x v="38"/>
    <x v="36"/>
    <n v="293"/>
    <n v="58.6"/>
    <x v="3"/>
    <x v="1"/>
    <n v="3443"/>
    <s v="Art"/>
    <x v="0"/>
  </r>
  <r>
    <x v="1025"/>
    <x v="20"/>
    <x v="0"/>
    <x v="8"/>
    <x v="2"/>
    <n v="7"/>
    <s v="Hyderabad"/>
    <s v="2021-01-05"/>
    <x v="35"/>
    <x v="32"/>
    <x v="60"/>
    <x v="32"/>
    <x v="21"/>
    <x v="50"/>
    <n v="347"/>
    <n v="69.400000000000006"/>
    <x v="0"/>
    <x v="0"/>
    <n v="1958"/>
    <s v="Sports"/>
    <x v="0"/>
  </r>
  <r>
    <x v="1026"/>
    <x v="107"/>
    <x v="0"/>
    <x v="11"/>
    <x v="0"/>
    <n v="17"/>
    <s v="Pune"/>
    <s v="2025-05-03"/>
    <x v="25"/>
    <x v="56"/>
    <x v="21"/>
    <x v="44"/>
    <x v="2"/>
    <x v="3"/>
    <n v="402"/>
    <n v="80.400000000000006"/>
    <x v="2"/>
    <x v="0"/>
    <n v="2113"/>
    <s v="Drama"/>
    <x v="0"/>
  </r>
  <r>
    <x v="1027"/>
    <x v="4"/>
    <x v="0"/>
    <x v="10"/>
    <x v="1"/>
    <n v="11"/>
    <s v="Mumbai"/>
    <s v="2024-07-12"/>
    <x v="20"/>
    <x v="14"/>
    <x v="54"/>
    <x v="61"/>
    <x v="42"/>
    <x v="12"/>
    <n v="320"/>
    <n v="64"/>
    <x v="0"/>
    <x v="1"/>
    <n v="4078"/>
    <s v="Music"/>
    <x v="0"/>
  </r>
  <r>
    <x v="1028"/>
    <x v="121"/>
    <x v="1"/>
    <x v="7"/>
    <x v="3"/>
    <n v="11"/>
    <s v="Mumbai"/>
    <s v="2021-09-08"/>
    <x v="38"/>
    <x v="58"/>
    <x v="15"/>
    <x v="3"/>
    <x v="47"/>
    <x v="44"/>
    <n v="318"/>
    <n v="63.6"/>
    <x v="0"/>
    <x v="1"/>
    <n v="3701"/>
    <s v="Sports"/>
    <x v="0"/>
  </r>
  <r>
    <x v="1029"/>
    <x v="25"/>
    <x v="1"/>
    <x v="10"/>
    <x v="0"/>
    <n v="11"/>
    <s v="Hyderabad"/>
    <s v="2022-01-08"/>
    <x v="14"/>
    <x v="43"/>
    <x v="65"/>
    <x v="51"/>
    <x v="42"/>
    <x v="37"/>
    <n v="333"/>
    <n v="66.599999999999994"/>
    <x v="0"/>
    <x v="1"/>
    <n v="3610"/>
    <s v="Dance"/>
    <x v="0"/>
  </r>
  <r>
    <x v="1030"/>
    <x v="38"/>
    <x v="1"/>
    <x v="1"/>
    <x v="0"/>
    <n v="12"/>
    <s v="Coimbatore"/>
    <s v="2022-12-08"/>
    <x v="19"/>
    <x v="40"/>
    <x v="9"/>
    <x v="51"/>
    <x v="17"/>
    <x v="10"/>
    <n v="310"/>
    <n v="62"/>
    <x v="0"/>
    <x v="0"/>
    <n v="4035"/>
    <s v="Music"/>
    <x v="0"/>
  </r>
  <r>
    <x v="1031"/>
    <x v="99"/>
    <x v="1"/>
    <x v="8"/>
    <x v="0"/>
    <n v="8"/>
    <s v="Hyderabad"/>
    <s v="2022-05-14"/>
    <x v="14"/>
    <x v="55"/>
    <x v="7"/>
    <x v="36"/>
    <x v="33"/>
    <x v="59"/>
    <n v="291"/>
    <n v="58.2"/>
    <x v="3"/>
    <x v="0"/>
    <n v="4567"/>
    <s v="Music"/>
    <x v="0"/>
  </r>
  <r>
    <x v="1032"/>
    <x v="102"/>
    <x v="1"/>
    <x v="4"/>
    <x v="2"/>
    <n v="16"/>
    <s v="Pune"/>
    <s v="2021-06-09"/>
    <x v="32"/>
    <x v="40"/>
    <x v="26"/>
    <x v="23"/>
    <x v="14"/>
    <x v="41"/>
    <n v="320"/>
    <n v="64"/>
    <x v="0"/>
    <x v="1"/>
    <n v="1726"/>
    <s v="Coding Club"/>
    <x v="0"/>
  </r>
  <r>
    <x v="1033"/>
    <x v="14"/>
    <x v="0"/>
    <x v="11"/>
    <x v="2"/>
    <n v="15"/>
    <s v="Bangalore"/>
    <s v="2024-06-10"/>
    <x v="22"/>
    <x v="55"/>
    <x v="53"/>
    <x v="25"/>
    <x v="3"/>
    <x v="4"/>
    <n v="399"/>
    <n v="79.8"/>
    <x v="1"/>
    <x v="0"/>
    <n v="2666"/>
    <s v="Dance"/>
    <x v="0"/>
  </r>
  <r>
    <x v="1034"/>
    <x v="57"/>
    <x v="1"/>
    <x v="4"/>
    <x v="3"/>
    <n v="17"/>
    <s v="Mumbai"/>
    <s v="2022-03-02"/>
    <x v="0"/>
    <x v="35"/>
    <x v="8"/>
    <x v="20"/>
    <x v="64"/>
    <x v="45"/>
    <n v="330"/>
    <n v="66"/>
    <x v="0"/>
    <x v="0"/>
    <n v="2073"/>
    <s v="Drama"/>
    <x v="0"/>
  </r>
  <r>
    <x v="1035"/>
    <x v="89"/>
    <x v="0"/>
    <x v="11"/>
    <x v="0"/>
    <n v="15"/>
    <s v="Bangalore"/>
    <s v="2021-10-04"/>
    <x v="6"/>
    <x v="14"/>
    <x v="52"/>
    <x v="63"/>
    <x v="30"/>
    <x v="39"/>
    <n v="314"/>
    <n v="62.8"/>
    <x v="0"/>
    <x v="0"/>
    <n v="1552"/>
    <s v="Art"/>
    <x v="0"/>
  </r>
  <r>
    <x v="1036"/>
    <x v="148"/>
    <x v="1"/>
    <x v="7"/>
    <x v="3"/>
    <n v="11"/>
    <s v="Bangalore"/>
    <s v="2023-11-26"/>
    <x v="6"/>
    <x v="3"/>
    <x v="13"/>
    <x v="14"/>
    <x v="51"/>
    <x v="16"/>
    <n v="424"/>
    <n v="84.8"/>
    <x v="2"/>
    <x v="0"/>
    <n v="4038"/>
    <s v="Coding Club"/>
    <x v="0"/>
  </r>
  <r>
    <x v="1037"/>
    <x v="24"/>
    <x v="0"/>
    <x v="2"/>
    <x v="0"/>
    <n v="9"/>
    <s v="Chennai"/>
    <s v="2023-10-07"/>
    <x v="3"/>
    <x v="52"/>
    <x v="7"/>
    <x v="57"/>
    <x v="2"/>
    <x v="60"/>
    <n v="320"/>
    <n v="64"/>
    <x v="0"/>
    <x v="0"/>
    <n v="2472"/>
    <s v="Sports"/>
    <x v="0"/>
  </r>
  <r>
    <x v="1038"/>
    <x v="62"/>
    <x v="0"/>
    <x v="11"/>
    <x v="3"/>
    <n v="17"/>
    <s v="Pune"/>
    <s v="2022-11-20"/>
    <x v="1"/>
    <x v="37"/>
    <x v="42"/>
    <x v="47"/>
    <x v="31"/>
    <x v="47"/>
    <n v="347"/>
    <n v="69.400000000000006"/>
    <x v="0"/>
    <x v="0"/>
    <n v="3039"/>
    <s v="Art"/>
    <x v="0"/>
  </r>
  <r>
    <x v="1039"/>
    <x v="141"/>
    <x v="0"/>
    <x v="10"/>
    <x v="3"/>
    <n v="13"/>
    <s v="Madurai"/>
    <s v="2021-06-09"/>
    <x v="33"/>
    <x v="45"/>
    <x v="30"/>
    <x v="59"/>
    <x v="44"/>
    <x v="33"/>
    <n v="352"/>
    <n v="70.400000000000006"/>
    <x v="1"/>
    <x v="0"/>
    <n v="2164"/>
    <s v="Dance"/>
    <x v="0"/>
  </r>
  <r>
    <x v="1040"/>
    <x v="8"/>
    <x v="0"/>
    <x v="1"/>
    <x v="2"/>
    <n v="12"/>
    <s v="Pune"/>
    <s v="2025-09-20"/>
    <x v="33"/>
    <x v="28"/>
    <x v="7"/>
    <x v="63"/>
    <x v="29"/>
    <x v="41"/>
    <n v="294"/>
    <n v="58.8"/>
    <x v="3"/>
    <x v="0"/>
    <n v="4186"/>
    <s v="Drama"/>
    <x v="0"/>
  </r>
  <r>
    <x v="1041"/>
    <x v="93"/>
    <x v="0"/>
    <x v="0"/>
    <x v="1"/>
    <n v="15"/>
    <s v="Pune"/>
    <s v="2021-09-27"/>
    <x v="38"/>
    <x v="31"/>
    <x v="8"/>
    <x v="57"/>
    <x v="55"/>
    <x v="38"/>
    <n v="322"/>
    <n v="64.400000000000006"/>
    <x v="0"/>
    <x v="0"/>
    <n v="2294"/>
    <s v="Coding Club"/>
    <x v="0"/>
  </r>
  <r>
    <x v="1042"/>
    <x v="66"/>
    <x v="1"/>
    <x v="9"/>
    <x v="3"/>
    <n v="15"/>
    <s v="Pune"/>
    <s v="2025-03-20"/>
    <x v="0"/>
    <x v="61"/>
    <x v="52"/>
    <x v="55"/>
    <x v="49"/>
    <x v="37"/>
    <n v="332"/>
    <n v="66.400000000000006"/>
    <x v="0"/>
    <x v="1"/>
    <n v="4991"/>
    <s v="Dance"/>
    <x v="0"/>
  </r>
  <r>
    <x v="1043"/>
    <x v="112"/>
    <x v="0"/>
    <x v="11"/>
    <x v="1"/>
    <n v="17"/>
    <s v="Pune"/>
    <s v="2021-02-14"/>
    <x v="27"/>
    <x v="17"/>
    <x v="64"/>
    <x v="48"/>
    <x v="33"/>
    <x v="16"/>
    <n v="344"/>
    <n v="68.8"/>
    <x v="0"/>
    <x v="1"/>
    <n v="3236"/>
    <s v="Sports"/>
    <x v="0"/>
  </r>
  <r>
    <x v="1044"/>
    <x v="44"/>
    <x v="1"/>
    <x v="9"/>
    <x v="1"/>
    <n v="13"/>
    <s v="Pune"/>
    <s v="2023-01-30"/>
    <x v="25"/>
    <x v="12"/>
    <x v="58"/>
    <x v="34"/>
    <x v="23"/>
    <x v="27"/>
    <n v="358"/>
    <n v="71.599999999999994"/>
    <x v="1"/>
    <x v="1"/>
    <n v="3928"/>
    <s v="Music"/>
    <x v="0"/>
  </r>
  <r>
    <x v="1045"/>
    <x v="49"/>
    <x v="1"/>
    <x v="10"/>
    <x v="0"/>
    <n v="12"/>
    <s v="Pune"/>
    <s v="2021-11-28"/>
    <x v="27"/>
    <x v="10"/>
    <x v="16"/>
    <x v="39"/>
    <x v="47"/>
    <x v="16"/>
    <n v="386"/>
    <n v="77.2"/>
    <x v="1"/>
    <x v="1"/>
    <n v="3896"/>
    <s v="Music"/>
    <x v="0"/>
  </r>
  <r>
    <x v="1046"/>
    <x v="89"/>
    <x v="1"/>
    <x v="7"/>
    <x v="3"/>
    <n v="9"/>
    <s v="Bangalore"/>
    <s v="2022-02-11"/>
    <x v="30"/>
    <x v="37"/>
    <x v="16"/>
    <x v="57"/>
    <x v="64"/>
    <x v="18"/>
    <n v="313"/>
    <n v="62.6"/>
    <x v="0"/>
    <x v="0"/>
    <n v="3469"/>
    <s v="Dance"/>
    <x v="0"/>
  </r>
  <r>
    <x v="1047"/>
    <x v="29"/>
    <x v="1"/>
    <x v="8"/>
    <x v="1"/>
    <n v="7"/>
    <s v="Madurai"/>
    <s v="2023-08-05"/>
    <x v="32"/>
    <x v="9"/>
    <x v="62"/>
    <x v="33"/>
    <x v="61"/>
    <x v="39"/>
    <n v="362"/>
    <n v="72.400000000000006"/>
    <x v="1"/>
    <x v="0"/>
    <n v="2163"/>
    <s v="Coding Club"/>
    <x v="0"/>
  </r>
  <r>
    <x v="1048"/>
    <x v="59"/>
    <x v="1"/>
    <x v="7"/>
    <x v="2"/>
    <n v="11"/>
    <s v="Bangalore"/>
    <s v="2023-02-25"/>
    <x v="0"/>
    <x v="12"/>
    <x v="12"/>
    <x v="38"/>
    <x v="30"/>
    <x v="46"/>
    <n v="385"/>
    <n v="77"/>
    <x v="1"/>
    <x v="0"/>
    <n v="1755"/>
    <s v="Coding Club"/>
    <x v="0"/>
  </r>
  <r>
    <x v="1049"/>
    <x v="22"/>
    <x v="1"/>
    <x v="2"/>
    <x v="0"/>
    <n v="9"/>
    <s v="Madurai"/>
    <s v="2024-11-22"/>
    <x v="30"/>
    <x v="54"/>
    <x v="17"/>
    <x v="40"/>
    <x v="42"/>
    <x v="56"/>
    <n v="273"/>
    <n v="54.6"/>
    <x v="3"/>
    <x v="0"/>
    <n v="2150"/>
    <s v="Drama"/>
    <x v="1"/>
  </r>
  <r>
    <x v="1050"/>
    <x v="103"/>
    <x v="0"/>
    <x v="4"/>
    <x v="2"/>
    <n v="16"/>
    <s v="Mumbai"/>
    <s v="2021-04-18"/>
    <x v="19"/>
    <x v="60"/>
    <x v="22"/>
    <x v="7"/>
    <x v="56"/>
    <x v="42"/>
    <n v="359"/>
    <n v="71.8"/>
    <x v="1"/>
    <x v="0"/>
    <n v="3479"/>
    <s v="Sports"/>
    <x v="0"/>
  </r>
  <r>
    <x v="1051"/>
    <x v="88"/>
    <x v="0"/>
    <x v="8"/>
    <x v="1"/>
    <n v="8"/>
    <s v="Bangalore"/>
    <s v="2025-02-05"/>
    <x v="27"/>
    <x v="19"/>
    <x v="22"/>
    <x v="14"/>
    <x v="6"/>
    <x v="60"/>
    <n v="355"/>
    <n v="71"/>
    <x v="1"/>
    <x v="1"/>
    <n v="3912"/>
    <s v="Coding Club"/>
    <x v="0"/>
  </r>
  <r>
    <x v="1052"/>
    <x v="75"/>
    <x v="1"/>
    <x v="0"/>
    <x v="2"/>
    <n v="16"/>
    <s v="Madurai"/>
    <s v="2022-03-17"/>
    <x v="35"/>
    <x v="43"/>
    <x v="24"/>
    <x v="35"/>
    <x v="56"/>
    <x v="15"/>
    <n v="320"/>
    <n v="64"/>
    <x v="0"/>
    <x v="1"/>
    <n v="3500"/>
    <s v="Sports"/>
    <x v="0"/>
  </r>
  <r>
    <x v="1053"/>
    <x v="4"/>
    <x v="1"/>
    <x v="0"/>
    <x v="1"/>
    <n v="16"/>
    <s v="Bangalore"/>
    <s v="2025-11-10"/>
    <x v="22"/>
    <x v="48"/>
    <x v="8"/>
    <x v="31"/>
    <x v="38"/>
    <x v="6"/>
    <n v="378"/>
    <n v="75.599999999999994"/>
    <x v="1"/>
    <x v="0"/>
    <n v="4952"/>
    <s v="Music"/>
    <x v="0"/>
  </r>
  <r>
    <x v="1054"/>
    <x v="58"/>
    <x v="0"/>
    <x v="8"/>
    <x v="1"/>
    <n v="8"/>
    <s v="Pune"/>
    <s v="2021-07-15"/>
    <x v="21"/>
    <x v="30"/>
    <x v="24"/>
    <x v="39"/>
    <x v="38"/>
    <x v="24"/>
    <n v="302"/>
    <n v="60.4"/>
    <x v="0"/>
    <x v="0"/>
    <n v="4959"/>
    <s v="Art"/>
    <x v="0"/>
  </r>
  <r>
    <x v="1055"/>
    <x v="78"/>
    <x v="1"/>
    <x v="5"/>
    <x v="3"/>
    <n v="6"/>
    <s v="Chennai"/>
    <s v="2025-01-13"/>
    <x v="5"/>
    <x v="12"/>
    <x v="4"/>
    <x v="17"/>
    <x v="62"/>
    <x v="31"/>
    <n v="428"/>
    <n v="85.6"/>
    <x v="2"/>
    <x v="0"/>
    <n v="2397"/>
    <s v="Sports"/>
    <x v="0"/>
  </r>
  <r>
    <x v="1056"/>
    <x v="37"/>
    <x v="1"/>
    <x v="8"/>
    <x v="1"/>
    <n v="7"/>
    <s v="Chennai"/>
    <s v="2021-07-20"/>
    <x v="27"/>
    <x v="65"/>
    <x v="53"/>
    <x v="57"/>
    <x v="58"/>
    <x v="64"/>
    <n v="293"/>
    <n v="58.6"/>
    <x v="3"/>
    <x v="1"/>
    <n v="2439"/>
    <s v="Sports"/>
    <x v="0"/>
  </r>
  <r>
    <x v="1057"/>
    <x v="87"/>
    <x v="0"/>
    <x v="7"/>
    <x v="1"/>
    <n v="9"/>
    <s v="Madurai"/>
    <s v="2024-01-16"/>
    <x v="13"/>
    <x v="27"/>
    <x v="10"/>
    <x v="27"/>
    <x v="40"/>
    <x v="31"/>
    <n v="293"/>
    <n v="58.6"/>
    <x v="3"/>
    <x v="0"/>
    <n v="3607"/>
    <s v="Coding Club"/>
    <x v="0"/>
  </r>
  <r>
    <x v="1058"/>
    <x v="10"/>
    <x v="1"/>
    <x v="0"/>
    <x v="3"/>
    <n v="14"/>
    <s v="Coimbatore"/>
    <s v="2021-04-21"/>
    <x v="12"/>
    <x v="5"/>
    <x v="49"/>
    <x v="8"/>
    <x v="48"/>
    <x v="42"/>
    <n v="328"/>
    <n v="65.599999999999994"/>
    <x v="0"/>
    <x v="0"/>
    <n v="3398"/>
    <s v="Sports"/>
    <x v="0"/>
  </r>
  <r>
    <x v="1059"/>
    <x v="50"/>
    <x v="1"/>
    <x v="6"/>
    <x v="3"/>
    <n v="10"/>
    <s v="Bangalore"/>
    <s v="2025-03-01"/>
    <x v="22"/>
    <x v="1"/>
    <x v="46"/>
    <x v="33"/>
    <x v="13"/>
    <x v="16"/>
    <n v="367"/>
    <n v="73.400000000000006"/>
    <x v="1"/>
    <x v="0"/>
    <n v="3073"/>
    <s v="Music"/>
    <x v="0"/>
  </r>
  <r>
    <x v="1060"/>
    <x v="53"/>
    <x v="1"/>
    <x v="4"/>
    <x v="0"/>
    <n v="18"/>
    <s v="Hyderabad"/>
    <s v="2023-07-21"/>
    <x v="4"/>
    <x v="65"/>
    <x v="3"/>
    <x v="53"/>
    <x v="59"/>
    <x v="45"/>
    <n v="353"/>
    <n v="70.599999999999994"/>
    <x v="1"/>
    <x v="1"/>
    <n v="2832"/>
    <s v="Art"/>
    <x v="0"/>
  </r>
  <r>
    <x v="1061"/>
    <x v="142"/>
    <x v="1"/>
    <x v="6"/>
    <x v="1"/>
    <n v="12"/>
    <s v="Coimbatore"/>
    <s v="2025-05-09"/>
    <x v="8"/>
    <x v="14"/>
    <x v="10"/>
    <x v="20"/>
    <x v="31"/>
    <x v="27"/>
    <n v="352"/>
    <n v="70.400000000000006"/>
    <x v="1"/>
    <x v="1"/>
    <n v="4812"/>
    <s v="Art"/>
    <x v="0"/>
  </r>
  <r>
    <x v="1062"/>
    <x v="100"/>
    <x v="0"/>
    <x v="1"/>
    <x v="2"/>
    <n v="14"/>
    <s v="Coimbatore"/>
    <s v="2024-06-01"/>
    <x v="6"/>
    <x v="4"/>
    <x v="59"/>
    <x v="42"/>
    <x v="31"/>
    <x v="10"/>
    <n v="397"/>
    <n v="79.400000000000006"/>
    <x v="1"/>
    <x v="0"/>
    <n v="4206"/>
    <s v="Art"/>
    <x v="0"/>
  </r>
  <r>
    <x v="1063"/>
    <x v="44"/>
    <x v="1"/>
    <x v="8"/>
    <x v="3"/>
    <n v="7"/>
    <s v="Pune"/>
    <s v="2025-09-03"/>
    <x v="23"/>
    <x v="41"/>
    <x v="18"/>
    <x v="5"/>
    <x v="45"/>
    <x v="55"/>
    <n v="326"/>
    <n v="65.2"/>
    <x v="0"/>
    <x v="0"/>
    <n v="2105"/>
    <s v="Music"/>
    <x v="0"/>
  </r>
  <r>
    <x v="1064"/>
    <x v="143"/>
    <x v="0"/>
    <x v="4"/>
    <x v="2"/>
    <n v="17"/>
    <s v="Mumbai"/>
    <s v="2021-03-06"/>
    <x v="7"/>
    <x v="27"/>
    <x v="49"/>
    <x v="1"/>
    <x v="0"/>
    <x v="14"/>
    <n v="227"/>
    <n v="45.4"/>
    <x v="4"/>
    <x v="0"/>
    <n v="3895"/>
    <s v="Sports"/>
    <x v="1"/>
  </r>
  <r>
    <x v="1065"/>
    <x v="31"/>
    <x v="0"/>
    <x v="1"/>
    <x v="1"/>
    <n v="13"/>
    <s v="Bangalore"/>
    <s v="2023-06-04"/>
    <x v="15"/>
    <x v="7"/>
    <x v="12"/>
    <x v="35"/>
    <x v="37"/>
    <x v="32"/>
    <n v="337"/>
    <n v="67.400000000000006"/>
    <x v="0"/>
    <x v="1"/>
    <n v="4399"/>
    <s v="Dance"/>
    <x v="0"/>
  </r>
  <r>
    <x v="1066"/>
    <x v="64"/>
    <x v="1"/>
    <x v="2"/>
    <x v="3"/>
    <n v="9"/>
    <s v="Bangalore"/>
    <s v="2022-06-17"/>
    <x v="18"/>
    <x v="58"/>
    <x v="47"/>
    <x v="65"/>
    <x v="33"/>
    <x v="14"/>
    <n v="220"/>
    <n v="44"/>
    <x v="4"/>
    <x v="1"/>
    <n v="4935"/>
    <s v="Art"/>
    <x v="1"/>
  </r>
  <r>
    <x v="1067"/>
    <x v="122"/>
    <x v="1"/>
    <x v="3"/>
    <x v="0"/>
    <n v="6"/>
    <s v="Coimbatore"/>
    <s v="2023-05-30"/>
    <x v="13"/>
    <x v="11"/>
    <x v="56"/>
    <x v="49"/>
    <x v="34"/>
    <x v="18"/>
    <n v="324"/>
    <n v="64.8"/>
    <x v="0"/>
    <x v="1"/>
    <n v="4236"/>
    <s v="Sports"/>
    <x v="0"/>
  </r>
  <r>
    <x v="1068"/>
    <x v="58"/>
    <x v="0"/>
    <x v="6"/>
    <x v="2"/>
    <n v="11"/>
    <s v="Coimbatore"/>
    <s v="2024-12-18"/>
    <x v="1"/>
    <x v="46"/>
    <x v="17"/>
    <x v="22"/>
    <x v="18"/>
    <x v="22"/>
    <n v="325"/>
    <n v="65"/>
    <x v="0"/>
    <x v="0"/>
    <n v="2250"/>
    <s v="Drama"/>
    <x v="0"/>
  </r>
  <r>
    <x v="1069"/>
    <x v="101"/>
    <x v="0"/>
    <x v="0"/>
    <x v="3"/>
    <n v="16"/>
    <s v="Hyderabad"/>
    <s v="2022-11-19"/>
    <x v="9"/>
    <x v="22"/>
    <x v="60"/>
    <x v="42"/>
    <x v="16"/>
    <x v="28"/>
    <n v="344"/>
    <n v="68.8"/>
    <x v="0"/>
    <x v="0"/>
    <n v="4720"/>
    <s v="Art"/>
    <x v="0"/>
  </r>
  <r>
    <x v="1070"/>
    <x v="32"/>
    <x v="0"/>
    <x v="6"/>
    <x v="2"/>
    <n v="12"/>
    <s v="Bangalore"/>
    <s v="2021-02-18"/>
    <x v="35"/>
    <x v="5"/>
    <x v="48"/>
    <x v="44"/>
    <x v="13"/>
    <x v="7"/>
    <n v="300"/>
    <n v="60"/>
    <x v="0"/>
    <x v="0"/>
    <n v="4234"/>
    <s v="Music"/>
    <x v="0"/>
  </r>
  <r>
    <x v="1071"/>
    <x v="51"/>
    <x v="1"/>
    <x v="5"/>
    <x v="3"/>
    <n v="6"/>
    <s v="Coimbatore"/>
    <s v="2023-01-30"/>
    <x v="15"/>
    <x v="12"/>
    <x v="9"/>
    <x v="59"/>
    <x v="30"/>
    <x v="0"/>
    <n v="308"/>
    <n v="61.6"/>
    <x v="0"/>
    <x v="1"/>
    <n v="3341"/>
    <s v="Dance"/>
    <x v="0"/>
  </r>
  <r>
    <x v="1072"/>
    <x v="44"/>
    <x v="1"/>
    <x v="8"/>
    <x v="3"/>
    <n v="9"/>
    <s v="Madurai"/>
    <s v="2021-12-30"/>
    <x v="5"/>
    <x v="14"/>
    <x v="44"/>
    <x v="3"/>
    <x v="41"/>
    <x v="37"/>
    <n v="423"/>
    <n v="84.6"/>
    <x v="2"/>
    <x v="1"/>
    <n v="2683"/>
    <s v="Coding Club"/>
    <x v="0"/>
  </r>
  <r>
    <x v="1073"/>
    <x v="19"/>
    <x v="1"/>
    <x v="6"/>
    <x v="2"/>
    <n v="12"/>
    <s v="Pune"/>
    <s v="2024-06-27"/>
    <x v="3"/>
    <x v="32"/>
    <x v="20"/>
    <x v="57"/>
    <x v="38"/>
    <x v="63"/>
    <n v="307"/>
    <n v="61.4"/>
    <x v="0"/>
    <x v="1"/>
    <n v="3906"/>
    <s v="Drama"/>
    <x v="0"/>
  </r>
  <r>
    <x v="1074"/>
    <x v="98"/>
    <x v="0"/>
    <x v="10"/>
    <x v="1"/>
    <n v="12"/>
    <s v="Mumbai"/>
    <s v="2025-02-02"/>
    <x v="29"/>
    <x v="59"/>
    <x v="10"/>
    <x v="38"/>
    <x v="7"/>
    <x v="55"/>
    <n v="386"/>
    <n v="77.2"/>
    <x v="1"/>
    <x v="0"/>
    <n v="4419"/>
    <s v="Sports"/>
    <x v="0"/>
  </r>
  <r>
    <x v="1075"/>
    <x v="117"/>
    <x v="0"/>
    <x v="9"/>
    <x v="0"/>
    <n v="15"/>
    <s v="Pune"/>
    <s v="2022-11-05"/>
    <x v="14"/>
    <x v="51"/>
    <x v="30"/>
    <x v="59"/>
    <x v="20"/>
    <x v="53"/>
    <n v="322"/>
    <n v="64.400000000000006"/>
    <x v="0"/>
    <x v="0"/>
    <n v="4886"/>
    <s v="Sports"/>
    <x v="0"/>
  </r>
  <r>
    <x v="1076"/>
    <x v="63"/>
    <x v="1"/>
    <x v="5"/>
    <x v="2"/>
    <n v="6"/>
    <s v="Chennai"/>
    <s v="2023-12-01"/>
    <x v="34"/>
    <x v="58"/>
    <x v="18"/>
    <x v="27"/>
    <x v="10"/>
    <x v="62"/>
    <n v="351"/>
    <n v="70.2"/>
    <x v="1"/>
    <x v="0"/>
    <n v="3195"/>
    <s v="Music"/>
    <x v="0"/>
  </r>
  <r>
    <x v="1077"/>
    <x v="33"/>
    <x v="0"/>
    <x v="11"/>
    <x v="2"/>
    <n v="15"/>
    <s v="Pune"/>
    <s v="2022-09-19"/>
    <x v="11"/>
    <x v="22"/>
    <x v="36"/>
    <x v="21"/>
    <x v="51"/>
    <x v="10"/>
    <n v="365"/>
    <n v="73"/>
    <x v="1"/>
    <x v="0"/>
    <n v="1506"/>
    <s v="Art"/>
    <x v="0"/>
  </r>
  <r>
    <x v="1078"/>
    <x v="85"/>
    <x v="0"/>
    <x v="0"/>
    <x v="2"/>
    <n v="16"/>
    <s v="Chennai"/>
    <s v="2025-08-07"/>
    <x v="38"/>
    <x v="16"/>
    <x v="34"/>
    <x v="40"/>
    <x v="30"/>
    <x v="43"/>
    <n v="249"/>
    <n v="49.8"/>
    <x v="4"/>
    <x v="1"/>
    <n v="4308"/>
    <s v="Drama"/>
    <x v="1"/>
  </r>
  <r>
    <x v="1079"/>
    <x v="149"/>
    <x v="1"/>
    <x v="5"/>
    <x v="2"/>
    <n v="6"/>
    <s v="Pune"/>
    <s v="2024-02-22"/>
    <x v="14"/>
    <x v="38"/>
    <x v="52"/>
    <x v="2"/>
    <x v="33"/>
    <x v="1"/>
    <n v="297"/>
    <n v="59.4"/>
    <x v="3"/>
    <x v="0"/>
    <n v="2437"/>
    <s v="Drama"/>
    <x v="0"/>
  </r>
  <r>
    <x v="1080"/>
    <x v="36"/>
    <x v="1"/>
    <x v="9"/>
    <x v="0"/>
    <n v="15"/>
    <s v="Bangalore"/>
    <s v="2021-03-12"/>
    <x v="20"/>
    <x v="12"/>
    <x v="20"/>
    <x v="47"/>
    <x v="19"/>
    <x v="39"/>
    <n v="313"/>
    <n v="62.6"/>
    <x v="0"/>
    <x v="1"/>
    <n v="4950"/>
    <s v="Music"/>
    <x v="0"/>
  </r>
  <r>
    <x v="1081"/>
    <x v="139"/>
    <x v="1"/>
    <x v="3"/>
    <x v="0"/>
    <n v="6"/>
    <s v="Chennai"/>
    <s v="2023-06-16"/>
    <x v="25"/>
    <x v="50"/>
    <x v="4"/>
    <x v="24"/>
    <x v="48"/>
    <x v="61"/>
    <n v="401"/>
    <n v="80.2"/>
    <x v="2"/>
    <x v="0"/>
    <n v="2155"/>
    <s v="Music"/>
    <x v="0"/>
  </r>
  <r>
    <x v="1082"/>
    <x v="7"/>
    <x v="0"/>
    <x v="9"/>
    <x v="0"/>
    <n v="14"/>
    <s v="Pune"/>
    <s v="2023-01-23"/>
    <x v="17"/>
    <x v="39"/>
    <x v="11"/>
    <x v="4"/>
    <x v="53"/>
    <x v="0"/>
    <n v="374"/>
    <n v="74.8"/>
    <x v="1"/>
    <x v="1"/>
    <n v="2393"/>
    <s v="Music"/>
    <x v="0"/>
  </r>
  <r>
    <x v="1083"/>
    <x v="128"/>
    <x v="0"/>
    <x v="3"/>
    <x v="3"/>
    <n v="7"/>
    <s v="Chennai"/>
    <s v="2024-02-29"/>
    <x v="18"/>
    <x v="7"/>
    <x v="44"/>
    <x v="62"/>
    <x v="37"/>
    <x v="1"/>
    <n v="355"/>
    <n v="71"/>
    <x v="1"/>
    <x v="1"/>
    <n v="3087"/>
    <s v="Drama"/>
    <x v="0"/>
  </r>
  <r>
    <x v="1084"/>
    <x v="29"/>
    <x v="1"/>
    <x v="4"/>
    <x v="2"/>
    <n v="17"/>
    <s v="Pune"/>
    <s v="2024-05-30"/>
    <x v="26"/>
    <x v="17"/>
    <x v="58"/>
    <x v="41"/>
    <x v="25"/>
    <x v="4"/>
    <n v="404"/>
    <n v="80.8"/>
    <x v="2"/>
    <x v="0"/>
    <n v="1946"/>
    <s v="Dance"/>
    <x v="0"/>
  </r>
  <r>
    <x v="1085"/>
    <x v="92"/>
    <x v="1"/>
    <x v="2"/>
    <x v="3"/>
    <n v="8"/>
    <s v="Bangalore"/>
    <s v="2023-06-04"/>
    <x v="14"/>
    <x v="15"/>
    <x v="51"/>
    <x v="15"/>
    <x v="33"/>
    <x v="61"/>
    <n v="286"/>
    <n v="57.2"/>
    <x v="3"/>
    <x v="0"/>
    <n v="4638"/>
    <s v="Sports"/>
    <x v="0"/>
  </r>
  <r>
    <x v="1086"/>
    <x v="106"/>
    <x v="1"/>
    <x v="9"/>
    <x v="1"/>
    <n v="13"/>
    <s v="Hyderabad"/>
    <s v="2023-11-02"/>
    <x v="27"/>
    <x v="4"/>
    <x v="61"/>
    <x v="47"/>
    <x v="43"/>
    <x v="20"/>
    <n v="414"/>
    <n v="82.8"/>
    <x v="2"/>
    <x v="1"/>
    <n v="1552"/>
    <s v="Coding Club"/>
    <x v="0"/>
  </r>
  <r>
    <x v="1087"/>
    <x v="28"/>
    <x v="1"/>
    <x v="1"/>
    <x v="0"/>
    <n v="14"/>
    <s v="Bangalore"/>
    <s v="2025-06-28"/>
    <x v="3"/>
    <x v="10"/>
    <x v="18"/>
    <x v="56"/>
    <x v="9"/>
    <x v="27"/>
    <n v="381"/>
    <n v="76.2"/>
    <x v="1"/>
    <x v="0"/>
    <n v="3389"/>
    <s v="Art"/>
    <x v="0"/>
  </r>
  <r>
    <x v="1088"/>
    <x v="20"/>
    <x v="1"/>
    <x v="5"/>
    <x v="2"/>
    <n v="6"/>
    <s v="Madurai"/>
    <s v="2022-03-08"/>
    <x v="40"/>
    <x v="17"/>
    <x v="40"/>
    <x v="11"/>
    <x v="47"/>
    <x v="20"/>
    <n v="383"/>
    <n v="76.599999999999994"/>
    <x v="1"/>
    <x v="0"/>
    <n v="2451"/>
    <s v="Dance"/>
    <x v="0"/>
  </r>
  <r>
    <x v="1089"/>
    <x v="56"/>
    <x v="1"/>
    <x v="10"/>
    <x v="2"/>
    <n v="11"/>
    <s v="Coimbatore"/>
    <s v="2022-10-12"/>
    <x v="30"/>
    <x v="6"/>
    <x v="18"/>
    <x v="59"/>
    <x v="49"/>
    <x v="16"/>
    <n v="381"/>
    <n v="76.2"/>
    <x v="1"/>
    <x v="1"/>
    <n v="4214"/>
    <s v="Sports"/>
    <x v="0"/>
  </r>
  <r>
    <x v="1090"/>
    <x v="89"/>
    <x v="1"/>
    <x v="10"/>
    <x v="1"/>
    <n v="13"/>
    <s v="Coimbatore"/>
    <s v="2022-07-01"/>
    <x v="17"/>
    <x v="2"/>
    <x v="10"/>
    <x v="36"/>
    <x v="59"/>
    <x v="16"/>
    <n v="355"/>
    <n v="71"/>
    <x v="1"/>
    <x v="0"/>
    <n v="1989"/>
    <s v="Music"/>
    <x v="0"/>
  </r>
  <r>
    <x v="1091"/>
    <x v="70"/>
    <x v="1"/>
    <x v="0"/>
    <x v="3"/>
    <n v="15"/>
    <s v="Bangalore"/>
    <s v="2022-01-12"/>
    <x v="0"/>
    <x v="55"/>
    <x v="9"/>
    <x v="25"/>
    <x v="43"/>
    <x v="45"/>
    <n v="342"/>
    <n v="68.400000000000006"/>
    <x v="0"/>
    <x v="1"/>
    <n v="4335"/>
    <s v="Dance"/>
    <x v="0"/>
  </r>
  <r>
    <x v="1092"/>
    <x v="77"/>
    <x v="0"/>
    <x v="11"/>
    <x v="2"/>
    <n v="17"/>
    <s v="Coimbatore"/>
    <s v="2024-05-19"/>
    <x v="2"/>
    <x v="58"/>
    <x v="9"/>
    <x v="31"/>
    <x v="23"/>
    <x v="11"/>
    <n v="272"/>
    <n v="54.4"/>
    <x v="3"/>
    <x v="0"/>
    <n v="2646"/>
    <s v="Coding Club"/>
    <x v="1"/>
  </r>
  <r>
    <x v="1093"/>
    <x v="32"/>
    <x v="1"/>
    <x v="0"/>
    <x v="2"/>
    <n v="14"/>
    <s v="Pune"/>
    <s v="2025-09-06"/>
    <x v="33"/>
    <x v="38"/>
    <x v="9"/>
    <x v="30"/>
    <x v="50"/>
    <x v="58"/>
    <n v="325"/>
    <n v="65"/>
    <x v="0"/>
    <x v="0"/>
    <n v="1771"/>
    <s v="Drama"/>
    <x v="0"/>
  </r>
  <r>
    <x v="1094"/>
    <x v="122"/>
    <x v="1"/>
    <x v="5"/>
    <x v="1"/>
    <n v="7"/>
    <s v="Mumbai"/>
    <s v="2025-01-28"/>
    <x v="12"/>
    <x v="3"/>
    <x v="42"/>
    <x v="61"/>
    <x v="15"/>
    <x v="34"/>
    <n v="393"/>
    <n v="78.599999999999994"/>
    <x v="1"/>
    <x v="1"/>
    <n v="3275"/>
    <s v="Art"/>
    <x v="0"/>
  </r>
  <r>
    <x v="1095"/>
    <x v="132"/>
    <x v="1"/>
    <x v="3"/>
    <x v="1"/>
    <n v="7"/>
    <s v="Mumbai"/>
    <s v="2021-10-31"/>
    <x v="12"/>
    <x v="16"/>
    <x v="5"/>
    <x v="1"/>
    <x v="54"/>
    <x v="22"/>
    <n v="272"/>
    <n v="54.4"/>
    <x v="3"/>
    <x v="0"/>
    <n v="2002"/>
    <s v="Dance"/>
    <x v="1"/>
  </r>
  <r>
    <x v="1096"/>
    <x v="93"/>
    <x v="1"/>
    <x v="7"/>
    <x v="1"/>
    <n v="9"/>
    <s v="Coimbatore"/>
    <s v="2024-03-25"/>
    <x v="21"/>
    <x v="61"/>
    <x v="41"/>
    <x v="31"/>
    <x v="16"/>
    <x v="29"/>
    <n v="355"/>
    <n v="71"/>
    <x v="1"/>
    <x v="1"/>
    <n v="3474"/>
    <s v="Coding Club"/>
    <x v="0"/>
  </r>
  <r>
    <x v="1097"/>
    <x v="101"/>
    <x v="0"/>
    <x v="2"/>
    <x v="3"/>
    <n v="10"/>
    <s v="Bangalore"/>
    <s v="2024-07-29"/>
    <x v="22"/>
    <x v="52"/>
    <x v="26"/>
    <x v="50"/>
    <x v="31"/>
    <x v="57"/>
    <n v="345"/>
    <n v="69"/>
    <x v="0"/>
    <x v="1"/>
    <n v="4549"/>
    <s v="Drama"/>
    <x v="0"/>
  </r>
  <r>
    <x v="1098"/>
    <x v="142"/>
    <x v="0"/>
    <x v="8"/>
    <x v="0"/>
    <n v="7"/>
    <s v="Coimbatore"/>
    <s v="2021-12-28"/>
    <x v="5"/>
    <x v="10"/>
    <x v="25"/>
    <x v="56"/>
    <x v="8"/>
    <x v="13"/>
    <n v="382"/>
    <n v="76.400000000000006"/>
    <x v="1"/>
    <x v="1"/>
    <n v="2701"/>
    <s v="Drama"/>
    <x v="0"/>
  </r>
  <r>
    <x v="1099"/>
    <x v="145"/>
    <x v="1"/>
    <x v="1"/>
    <x v="2"/>
    <n v="14"/>
    <s v="Bangalore"/>
    <s v="2024-12-07"/>
    <x v="16"/>
    <x v="14"/>
    <x v="62"/>
    <x v="35"/>
    <x v="43"/>
    <x v="1"/>
    <n v="352"/>
    <n v="70.400000000000006"/>
    <x v="1"/>
    <x v="1"/>
    <n v="4536"/>
    <s v="Dance"/>
    <x v="0"/>
  </r>
  <r>
    <x v="1100"/>
    <x v="102"/>
    <x v="0"/>
    <x v="9"/>
    <x v="3"/>
    <n v="14"/>
    <s v="Pune"/>
    <s v="2023-04-25"/>
    <x v="7"/>
    <x v="17"/>
    <x v="32"/>
    <x v="15"/>
    <x v="36"/>
    <x v="21"/>
    <n v="306"/>
    <n v="61.2"/>
    <x v="0"/>
    <x v="1"/>
    <n v="4448"/>
    <s v="Drama"/>
    <x v="0"/>
  </r>
  <r>
    <x v="1101"/>
    <x v="132"/>
    <x v="1"/>
    <x v="9"/>
    <x v="1"/>
    <n v="15"/>
    <s v="Pune"/>
    <s v="2025-07-13"/>
    <x v="23"/>
    <x v="37"/>
    <x v="30"/>
    <x v="62"/>
    <x v="37"/>
    <x v="25"/>
    <n v="287"/>
    <n v="57.4"/>
    <x v="3"/>
    <x v="0"/>
    <n v="3637"/>
    <s v="Coding Club"/>
    <x v="0"/>
  </r>
  <r>
    <x v="1102"/>
    <x v="59"/>
    <x v="0"/>
    <x v="9"/>
    <x v="1"/>
    <n v="15"/>
    <s v="Chennai"/>
    <s v="2024-01-09"/>
    <x v="3"/>
    <x v="65"/>
    <x v="62"/>
    <x v="17"/>
    <x v="24"/>
    <x v="1"/>
    <n v="375"/>
    <n v="75"/>
    <x v="1"/>
    <x v="1"/>
    <n v="4302"/>
    <s v="Sports"/>
    <x v="0"/>
  </r>
  <r>
    <x v="1103"/>
    <x v="98"/>
    <x v="0"/>
    <x v="7"/>
    <x v="1"/>
    <n v="10"/>
    <s v="Mumbai"/>
    <s v="2022-12-24"/>
    <x v="12"/>
    <x v="54"/>
    <x v="47"/>
    <x v="56"/>
    <x v="10"/>
    <x v="62"/>
    <n v="338"/>
    <n v="67.599999999999994"/>
    <x v="0"/>
    <x v="0"/>
    <n v="1635"/>
    <s v="Music"/>
    <x v="0"/>
  </r>
  <r>
    <x v="1104"/>
    <x v="65"/>
    <x v="1"/>
    <x v="1"/>
    <x v="2"/>
    <n v="14"/>
    <s v="Chennai"/>
    <s v="2021-12-31"/>
    <x v="35"/>
    <x v="18"/>
    <x v="64"/>
    <x v="60"/>
    <x v="23"/>
    <x v="59"/>
    <n v="303"/>
    <n v="60.6"/>
    <x v="0"/>
    <x v="0"/>
    <n v="4244"/>
    <s v="Dance"/>
    <x v="0"/>
  </r>
  <r>
    <x v="1105"/>
    <x v="131"/>
    <x v="1"/>
    <x v="7"/>
    <x v="0"/>
    <n v="10"/>
    <s v="Madurai"/>
    <s v="2024-02-16"/>
    <x v="7"/>
    <x v="22"/>
    <x v="21"/>
    <x v="12"/>
    <x v="1"/>
    <x v="34"/>
    <n v="385"/>
    <n v="77"/>
    <x v="1"/>
    <x v="1"/>
    <n v="3013"/>
    <s v="Sports"/>
    <x v="0"/>
  </r>
  <r>
    <x v="1106"/>
    <x v="147"/>
    <x v="1"/>
    <x v="3"/>
    <x v="2"/>
    <n v="6"/>
    <s v="Madurai"/>
    <s v="2023-10-26"/>
    <x v="0"/>
    <x v="45"/>
    <x v="4"/>
    <x v="61"/>
    <x v="46"/>
    <x v="12"/>
    <n v="348"/>
    <n v="69.599999999999994"/>
    <x v="0"/>
    <x v="0"/>
    <n v="3423"/>
    <s v="Drama"/>
    <x v="0"/>
  </r>
  <r>
    <x v="1107"/>
    <x v="107"/>
    <x v="0"/>
    <x v="5"/>
    <x v="0"/>
    <n v="8"/>
    <s v="Chennai"/>
    <s v="2023-01-24"/>
    <x v="22"/>
    <x v="64"/>
    <x v="35"/>
    <x v="3"/>
    <x v="58"/>
    <x v="54"/>
    <n v="322"/>
    <n v="64.400000000000006"/>
    <x v="0"/>
    <x v="1"/>
    <n v="3384"/>
    <s v="Dance"/>
    <x v="0"/>
  </r>
  <r>
    <x v="1108"/>
    <x v="20"/>
    <x v="1"/>
    <x v="2"/>
    <x v="0"/>
    <n v="8"/>
    <s v="Hyderabad"/>
    <s v="2021-08-26"/>
    <x v="2"/>
    <x v="59"/>
    <x v="42"/>
    <x v="42"/>
    <x v="5"/>
    <x v="34"/>
    <n v="336"/>
    <n v="67.2"/>
    <x v="0"/>
    <x v="0"/>
    <n v="2443"/>
    <s v="Sports"/>
    <x v="0"/>
  </r>
  <r>
    <x v="1109"/>
    <x v="114"/>
    <x v="0"/>
    <x v="0"/>
    <x v="0"/>
    <n v="16"/>
    <s v="Mumbai"/>
    <s v="2024-10-27"/>
    <x v="16"/>
    <x v="19"/>
    <x v="45"/>
    <x v="35"/>
    <x v="9"/>
    <x v="5"/>
    <n v="270"/>
    <n v="54"/>
    <x v="3"/>
    <x v="0"/>
    <n v="3531"/>
    <s v="Sports"/>
    <x v="1"/>
  </r>
  <r>
    <x v="1110"/>
    <x v="95"/>
    <x v="1"/>
    <x v="2"/>
    <x v="0"/>
    <n v="8"/>
    <s v="Madurai"/>
    <s v="2025-03-04"/>
    <x v="0"/>
    <x v="6"/>
    <x v="6"/>
    <x v="4"/>
    <x v="3"/>
    <x v="23"/>
    <n v="393"/>
    <n v="78.599999999999994"/>
    <x v="1"/>
    <x v="0"/>
    <n v="4476"/>
    <s v="Music"/>
    <x v="0"/>
  </r>
  <r>
    <x v="1111"/>
    <x v="107"/>
    <x v="1"/>
    <x v="4"/>
    <x v="0"/>
    <n v="16"/>
    <s v="Coimbatore"/>
    <s v="2023-05-16"/>
    <x v="9"/>
    <x v="36"/>
    <x v="19"/>
    <x v="23"/>
    <x v="2"/>
    <x v="59"/>
    <n v="330"/>
    <n v="66"/>
    <x v="0"/>
    <x v="1"/>
    <n v="4369"/>
    <s v="Music"/>
    <x v="0"/>
  </r>
  <r>
    <x v="1112"/>
    <x v="22"/>
    <x v="1"/>
    <x v="0"/>
    <x v="2"/>
    <n v="15"/>
    <s v="Chennai"/>
    <s v="2022-08-06"/>
    <x v="1"/>
    <x v="16"/>
    <x v="34"/>
    <x v="62"/>
    <x v="5"/>
    <x v="10"/>
    <n v="347"/>
    <n v="69.400000000000006"/>
    <x v="0"/>
    <x v="1"/>
    <n v="3326"/>
    <s v="Drama"/>
    <x v="0"/>
  </r>
  <r>
    <x v="1113"/>
    <x v="101"/>
    <x v="1"/>
    <x v="4"/>
    <x v="1"/>
    <n v="18"/>
    <s v="Bangalore"/>
    <s v="2024-07-10"/>
    <x v="17"/>
    <x v="56"/>
    <x v="7"/>
    <x v="56"/>
    <x v="43"/>
    <x v="43"/>
    <n v="358"/>
    <n v="71.599999999999994"/>
    <x v="1"/>
    <x v="0"/>
    <n v="4974"/>
    <s v="Dance"/>
    <x v="0"/>
  </r>
  <r>
    <x v="1114"/>
    <x v="107"/>
    <x v="1"/>
    <x v="9"/>
    <x v="0"/>
    <n v="15"/>
    <s v="Mumbai"/>
    <s v="2021-06-16"/>
    <x v="9"/>
    <x v="20"/>
    <x v="50"/>
    <x v="17"/>
    <x v="37"/>
    <x v="10"/>
    <n v="369"/>
    <n v="73.8"/>
    <x v="1"/>
    <x v="0"/>
    <n v="2547"/>
    <s v="Music"/>
    <x v="0"/>
  </r>
  <r>
    <x v="1115"/>
    <x v="136"/>
    <x v="0"/>
    <x v="9"/>
    <x v="2"/>
    <n v="15"/>
    <s v="Chennai"/>
    <s v="2023-12-23"/>
    <x v="30"/>
    <x v="26"/>
    <x v="30"/>
    <x v="60"/>
    <x v="27"/>
    <x v="9"/>
    <n v="338"/>
    <n v="67.599999999999994"/>
    <x v="0"/>
    <x v="1"/>
    <n v="2843"/>
    <s v="Dance"/>
    <x v="0"/>
  </r>
  <r>
    <x v="1116"/>
    <x v="50"/>
    <x v="0"/>
    <x v="0"/>
    <x v="1"/>
    <n v="14"/>
    <s v="Hyderabad"/>
    <s v="2024-06-13"/>
    <x v="1"/>
    <x v="8"/>
    <x v="46"/>
    <x v="1"/>
    <x v="54"/>
    <x v="13"/>
    <n v="363"/>
    <n v="72.599999999999994"/>
    <x v="1"/>
    <x v="1"/>
    <n v="1794"/>
    <s v="Dance"/>
    <x v="0"/>
  </r>
  <r>
    <x v="1117"/>
    <x v="8"/>
    <x v="1"/>
    <x v="8"/>
    <x v="1"/>
    <n v="7"/>
    <s v="Madurai"/>
    <s v="2022-12-03"/>
    <x v="39"/>
    <x v="21"/>
    <x v="59"/>
    <x v="33"/>
    <x v="8"/>
    <x v="11"/>
    <n v="368"/>
    <n v="73.599999999999994"/>
    <x v="1"/>
    <x v="1"/>
    <n v="4995"/>
    <s v="Coding Club"/>
    <x v="0"/>
  </r>
  <r>
    <x v="1118"/>
    <x v="110"/>
    <x v="0"/>
    <x v="3"/>
    <x v="3"/>
    <n v="6"/>
    <s v="Hyderabad"/>
    <s v="2021-09-03"/>
    <x v="13"/>
    <x v="63"/>
    <x v="20"/>
    <x v="3"/>
    <x v="43"/>
    <x v="6"/>
    <n v="384"/>
    <n v="76.8"/>
    <x v="1"/>
    <x v="1"/>
    <n v="4249"/>
    <s v="Sports"/>
    <x v="0"/>
  </r>
  <r>
    <x v="1119"/>
    <x v="47"/>
    <x v="1"/>
    <x v="9"/>
    <x v="2"/>
    <n v="14"/>
    <s v="Bangalore"/>
    <s v="2021-03-16"/>
    <x v="3"/>
    <x v="16"/>
    <x v="61"/>
    <x v="50"/>
    <x v="22"/>
    <x v="41"/>
    <n v="346"/>
    <n v="69.2"/>
    <x v="0"/>
    <x v="0"/>
    <n v="4283"/>
    <s v="Sports"/>
    <x v="0"/>
  </r>
  <r>
    <x v="1120"/>
    <x v="127"/>
    <x v="1"/>
    <x v="7"/>
    <x v="0"/>
    <n v="9"/>
    <s v="Coimbatore"/>
    <s v="2022-08-28"/>
    <x v="17"/>
    <x v="22"/>
    <x v="34"/>
    <x v="36"/>
    <x v="45"/>
    <x v="60"/>
    <n v="304"/>
    <n v="60.8"/>
    <x v="0"/>
    <x v="1"/>
    <n v="2361"/>
    <s v="Coding Club"/>
    <x v="0"/>
  </r>
  <r>
    <x v="1121"/>
    <x v="120"/>
    <x v="1"/>
    <x v="4"/>
    <x v="3"/>
    <n v="18"/>
    <s v="Chennai"/>
    <s v="2024-05-25"/>
    <x v="34"/>
    <x v="39"/>
    <x v="34"/>
    <x v="27"/>
    <x v="65"/>
    <x v="62"/>
    <n v="321"/>
    <n v="64.2"/>
    <x v="0"/>
    <x v="1"/>
    <n v="3988"/>
    <s v="Dance"/>
    <x v="0"/>
  </r>
  <r>
    <x v="1122"/>
    <x v="44"/>
    <x v="1"/>
    <x v="6"/>
    <x v="2"/>
    <n v="12"/>
    <s v="Bangalore"/>
    <s v="2021-01-26"/>
    <x v="26"/>
    <x v="49"/>
    <x v="45"/>
    <x v="51"/>
    <x v="51"/>
    <x v="15"/>
    <n v="311"/>
    <n v="62.2"/>
    <x v="0"/>
    <x v="1"/>
    <n v="2299"/>
    <s v="Art"/>
    <x v="0"/>
  </r>
  <r>
    <x v="1123"/>
    <x v="78"/>
    <x v="0"/>
    <x v="10"/>
    <x v="2"/>
    <n v="11"/>
    <s v="Chennai"/>
    <s v="2024-07-10"/>
    <x v="26"/>
    <x v="3"/>
    <x v="40"/>
    <x v="20"/>
    <x v="64"/>
    <x v="15"/>
    <n v="367"/>
    <n v="73.400000000000006"/>
    <x v="1"/>
    <x v="0"/>
    <n v="4987"/>
    <s v="Coding Club"/>
    <x v="0"/>
  </r>
  <r>
    <x v="1124"/>
    <x v="94"/>
    <x v="1"/>
    <x v="6"/>
    <x v="2"/>
    <n v="12"/>
    <s v="Madurai"/>
    <s v="2021-10-30"/>
    <x v="18"/>
    <x v="64"/>
    <x v="14"/>
    <x v="17"/>
    <x v="49"/>
    <x v="46"/>
    <n v="365"/>
    <n v="73"/>
    <x v="1"/>
    <x v="1"/>
    <n v="1852"/>
    <s v="Dance"/>
    <x v="0"/>
  </r>
  <r>
    <x v="1125"/>
    <x v="86"/>
    <x v="1"/>
    <x v="6"/>
    <x v="1"/>
    <n v="11"/>
    <s v="Hyderabad"/>
    <s v="2021-01-28"/>
    <x v="16"/>
    <x v="51"/>
    <x v="3"/>
    <x v="4"/>
    <x v="22"/>
    <x v="7"/>
    <n v="418"/>
    <n v="83.6"/>
    <x v="2"/>
    <x v="1"/>
    <n v="4386"/>
    <s v="Music"/>
    <x v="0"/>
  </r>
  <r>
    <x v="1126"/>
    <x v="7"/>
    <x v="0"/>
    <x v="3"/>
    <x v="1"/>
    <n v="7"/>
    <s v="Chennai"/>
    <s v="2024-01-02"/>
    <x v="18"/>
    <x v="13"/>
    <x v="1"/>
    <x v="7"/>
    <x v="9"/>
    <x v="27"/>
    <n v="316"/>
    <n v="63.2"/>
    <x v="0"/>
    <x v="1"/>
    <n v="2358"/>
    <s v="Dance"/>
    <x v="0"/>
  </r>
  <r>
    <x v="1127"/>
    <x v="62"/>
    <x v="0"/>
    <x v="10"/>
    <x v="2"/>
    <n v="13"/>
    <s v="Chennai"/>
    <s v="2022-02-11"/>
    <x v="32"/>
    <x v="59"/>
    <x v="46"/>
    <x v="50"/>
    <x v="45"/>
    <x v="0"/>
    <n v="351"/>
    <n v="70.2"/>
    <x v="1"/>
    <x v="0"/>
    <n v="2323"/>
    <s v="Art"/>
    <x v="0"/>
  </r>
  <r>
    <x v="1128"/>
    <x v="86"/>
    <x v="1"/>
    <x v="4"/>
    <x v="0"/>
    <n v="17"/>
    <s v="Bangalore"/>
    <s v="2024-03-29"/>
    <x v="13"/>
    <x v="64"/>
    <x v="45"/>
    <x v="48"/>
    <x v="59"/>
    <x v="22"/>
    <n v="364"/>
    <n v="72.8"/>
    <x v="1"/>
    <x v="0"/>
    <n v="2331"/>
    <s v="Dance"/>
    <x v="0"/>
  </r>
  <r>
    <x v="1129"/>
    <x v="126"/>
    <x v="0"/>
    <x v="0"/>
    <x v="3"/>
    <n v="14"/>
    <s v="Pune"/>
    <s v="2022-03-25"/>
    <x v="25"/>
    <x v="55"/>
    <x v="0"/>
    <x v="56"/>
    <x v="48"/>
    <x v="19"/>
    <n v="328"/>
    <n v="65.599999999999994"/>
    <x v="0"/>
    <x v="0"/>
    <n v="1739"/>
    <s v="Coding Club"/>
    <x v="0"/>
  </r>
  <r>
    <x v="1130"/>
    <x v="60"/>
    <x v="0"/>
    <x v="1"/>
    <x v="0"/>
    <n v="14"/>
    <s v="Bangalore"/>
    <s v="2022-04-20"/>
    <x v="5"/>
    <x v="45"/>
    <x v="4"/>
    <x v="21"/>
    <x v="9"/>
    <x v="53"/>
    <n v="331"/>
    <n v="66.2"/>
    <x v="0"/>
    <x v="0"/>
    <n v="4706"/>
    <s v="Coding Club"/>
    <x v="0"/>
  </r>
  <r>
    <x v="1131"/>
    <x v="138"/>
    <x v="0"/>
    <x v="0"/>
    <x v="2"/>
    <n v="16"/>
    <s v="Bangalore"/>
    <s v="2025-08-17"/>
    <x v="37"/>
    <x v="11"/>
    <x v="29"/>
    <x v="37"/>
    <x v="38"/>
    <x v="32"/>
    <n v="364"/>
    <n v="72.8"/>
    <x v="1"/>
    <x v="1"/>
    <n v="2892"/>
    <s v="Drama"/>
    <x v="0"/>
  </r>
  <r>
    <x v="1132"/>
    <x v="144"/>
    <x v="1"/>
    <x v="1"/>
    <x v="3"/>
    <n v="13"/>
    <s v="Chennai"/>
    <s v="2024-04-12"/>
    <x v="37"/>
    <x v="21"/>
    <x v="42"/>
    <x v="24"/>
    <x v="41"/>
    <x v="10"/>
    <n v="356"/>
    <n v="71.2"/>
    <x v="1"/>
    <x v="1"/>
    <n v="4822"/>
    <s v="Drama"/>
    <x v="0"/>
  </r>
  <r>
    <x v="1133"/>
    <x v="135"/>
    <x v="1"/>
    <x v="11"/>
    <x v="1"/>
    <n v="17"/>
    <s v="Mumbai"/>
    <s v="2024-02-13"/>
    <x v="5"/>
    <x v="12"/>
    <x v="25"/>
    <x v="43"/>
    <x v="59"/>
    <x v="14"/>
    <n v="368"/>
    <n v="73.599999999999994"/>
    <x v="1"/>
    <x v="1"/>
    <n v="4953"/>
    <s v="Drama"/>
    <x v="0"/>
  </r>
  <r>
    <x v="1134"/>
    <x v="82"/>
    <x v="1"/>
    <x v="5"/>
    <x v="0"/>
    <n v="8"/>
    <s v="Bangalore"/>
    <s v="2023-08-05"/>
    <x v="36"/>
    <x v="8"/>
    <x v="21"/>
    <x v="56"/>
    <x v="47"/>
    <x v="3"/>
    <n v="404"/>
    <n v="80.8"/>
    <x v="2"/>
    <x v="1"/>
    <n v="4603"/>
    <s v="Music"/>
    <x v="0"/>
  </r>
  <r>
    <x v="1135"/>
    <x v="5"/>
    <x v="1"/>
    <x v="2"/>
    <x v="2"/>
    <n v="9"/>
    <s v="Madurai"/>
    <s v="2022-09-20"/>
    <x v="1"/>
    <x v="15"/>
    <x v="26"/>
    <x v="14"/>
    <x v="57"/>
    <x v="63"/>
    <n v="363"/>
    <n v="72.599999999999994"/>
    <x v="1"/>
    <x v="1"/>
    <n v="3065"/>
    <s v="Sports"/>
    <x v="0"/>
  </r>
  <r>
    <x v="1136"/>
    <x v="104"/>
    <x v="1"/>
    <x v="8"/>
    <x v="1"/>
    <n v="9"/>
    <s v="Madurai"/>
    <s v="2022-03-17"/>
    <x v="28"/>
    <x v="40"/>
    <x v="56"/>
    <x v="48"/>
    <x v="0"/>
    <x v="43"/>
    <n v="333"/>
    <n v="66.599999999999994"/>
    <x v="0"/>
    <x v="1"/>
    <n v="3603"/>
    <s v="Drama"/>
    <x v="0"/>
  </r>
  <r>
    <x v="1137"/>
    <x v="72"/>
    <x v="1"/>
    <x v="1"/>
    <x v="2"/>
    <n v="12"/>
    <s v="Coimbatore"/>
    <s v="2024-11-17"/>
    <x v="13"/>
    <x v="28"/>
    <x v="7"/>
    <x v="23"/>
    <x v="13"/>
    <x v="42"/>
    <n v="274"/>
    <n v="54.8"/>
    <x v="3"/>
    <x v="0"/>
    <n v="4738"/>
    <s v="Art"/>
    <x v="1"/>
  </r>
  <r>
    <x v="1138"/>
    <x v="79"/>
    <x v="1"/>
    <x v="5"/>
    <x v="1"/>
    <n v="8"/>
    <s v="Chennai"/>
    <s v="2023-07-05"/>
    <x v="12"/>
    <x v="65"/>
    <x v="0"/>
    <x v="29"/>
    <x v="27"/>
    <x v="17"/>
    <n v="354"/>
    <n v="70.8"/>
    <x v="1"/>
    <x v="0"/>
    <n v="3274"/>
    <s v="Music"/>
    <x v="0"/>
  </r>
  <r>
    <x v="1139"/>
    <x v="95"/>
    <x v="0"/>
    <x v="8"/>
    <x v="1"/>
    <n v="8"/>
    <s v="Mumbai"/>
    <s v="2022-11-10"/>
    <x v="37"/>
    <x v="30"/>
    <x v="25"/>
    <x v="14"/>
    <x v="36"/>
    <x v="23"/>
    <n v="325"/>
    <n v="65"/>
    <x v="0"/>
    <x v="1"/>
    <n v="3399"/>
    <s v="Art"/>
    <x v="0"/>
  </r>
  <r>
    <x v="1140"/>
    <x v="56"/>
    <x v="1"/>
    <x v="6"/>
    <x v="0"/>
    <n v="12"/>
    <s v="Madurai"/>
    <s v="2025-11-24"/>
    <x v="18"/>
    <x v="57"/>
    <x v="25"/>
    <x v="57"/>
    <x v="64"/>
    <x v="57"/>
    <n v="362"/>
    <n v="72.400000000000006"/>
    <x v="1"/>
    <x v="1"/>
    <n v="4796"/>
    <s v="Art"/>
    <x v="0"/>
  </r>
  <r>
    <x v="1141"/>
    <x v="58"/>
    <x v="0"/>
    <x v="7"/>
    <x v="3"/>
    <n v="9"/>
    <s v="Pune"/>
    <s v="2024-11-25"/>
    <x v="18"/>
    <x v="33"/>
    <x v="43"/>
    <x v="41"/>
    <x v="26"/>
    <x v="3"/>
    <n v="396"/>
    <n v="79.2"/>
    <x v="1"/>
    <x v="0"/>
    <n v="3712"/>
    <s v="Drama"/>
    <x v="0"/>
  </r>
  <r>
    <x v="1142"/>
    <x v="34"/>
    <x v="0"/>
    <x v="5"/>
    <x v="2"/>
    <n v="7"/>
    <s v="Bangalore"/>
    <s v="2023-02-25"/>
    <x v="19"/>
    <x v="60"/>
    <x v="6"/>
    <x v="38"/>
    <x v="8"/>
    <x v="56"/>
    <n v="326"/>
    <n v="65.2"/>
    <x v="0"/>
    <x v="1"/>
    <n v="1904"/>
    <s v="Drama"/>
    <x v="0"/>
  </r>
  <r>
    <x v="1143"/>
    <x v="81"/>
    <x v="1"/>
    <x v="9"/>
    <x v="0"/>
    <n v="13"/>
    <s v="Chennai"/>
    <s v="2024-06-07"/>
    <x v="5"/>
    <x v="13"/>
    <x v="31"/>
    <x v="15"/>
    <x v="26"/>
    <x v="10"/>
    <n v="384"/>
    <n v="76.8"/>
    <x v="1"/>
    <x v="0"/>
    <n v="3887"/>
    <s v="Art"/>
    <x v="0"/>
  </r>
  <r>
    <x v="1144"/>
    <x v="129"/>
    <x v="1"/>
    <x v="10"/>
    <x v="0"/>
    <n v="12"/>
    <s v="Pune"/>
    <s v="2023-11-28"/>
    <x v="36"/>
    <x v="65"/>
    <x v="30"/>
    <x v="42"/>
    <x v="40"/>
    <x v="24"/>
    <n v="270"/>
    <n v="54"/>
    <x v="3"/>
    <x v="0"/>
    <n v="4358"/>
    <s v="Drama"/>
    <x v="1"/>
  </r>
  <r>
    <x v="1145"/>
    <x v="54"/>
    <x v="1"/>
    <x v="2"/>
    <x v="2"/>
    <n v="10"/>
    <s v="Pune"/>
    <s v="2023-09-28"/>
    <x v="33"/>
    <x v="3"/>
    <x v="53"/>
    <x v="54"/>
    <x v="54"/>
    <x v="53"/>
    <n v="407"/>
    <n v="81.400000000000006"/>
    <x v="2"/>
    <x v="1"/>
    <n v="3786"/>
    <s v="Music"/>
    <x v="0"/>
  </r>
  <r>
    <x v="1146"/>
    <x v="107"/>
    <x v="1"/>
    <x v="6"/>
    <x v="0"/>
    <n v="11"/>
    <s v="Pune"/>
    <s v="2024-05-06"/>
    <x v="10"/>
    <x v="13"/>
    <x v="16"/>
    <x v="51"/>
    <x v="19"/>
    <x v="49"/>
    <n v="245"/>
    <n v="49"/>
    <x v="4"/>
    <x v="1"/>
    <n v="2483"/>
    <s v="Sports"/>
    <x v="1"/>
  </r>
  <r>
    <x v="1147"/>
    <x v="140"/>
    <x v="1"/>
    <x v="0"/>
    <x v="3"/>
    <n v="14"/>
    <s v="Mumbai"/>
    <s v="2021-07-24"/>
    <x v="40"/>
    <x v="42"/>
    <x v="50"/>
    <x v="33"/>
    <x v="25"/>
    <x v="48"/>
    <n v="327"/>
    <n v="65.400000000000006"/>
    <x v="0"/>
    <x v="0"/>
    <n v="2461"/>
    <s v="Coding Club"/>
    <x v="0"/>
  </r>
  <r>
    <x v="1148"/>
    <x v="78"/>
    <x v="1"/>
    <x v="2"/>
    <x v="3"/>
    <n v="9"/>
    <s v="Coimbatore"/>
    <s v="2025-01-22"/>
    <x v="1"/>
    <x v="65"/>
    <x v="27"/>
    <x v="49"/>
    <x v="39"/>
    <x v="64"/>
    <n v="313"/>
    <n v="62.6"/>
    <x v="0"/>
    <x v="0"/>
    <n v="3660"/>
    <s v="Dance"/>
    <x v="0"/>
  </r>
  <r>
    <x v="1149"/>
    <x v="88"/>
    <x v="1"/>
    <x v="10"/>
    <x v="2"/>
    <n v="11"/>
    <s v="Coimbatore"/>
    <s v="2024-10-03"/>
    <x v="9"/>
    <x v="54"/>
    <x v="37"/>
    <x v="1"/>
    <x v="52"/>
    <x v="54"/>
    <n v="310"/>
    <n v="62"/>
    <x v="0"/>
    <x v="0"/>
    <n v="3890"/>
    <s v="Dance"/>
    <x v="0"/>
  </r>
  <r>
    <x v="1150"/>
    <x v="103"/>
    <x v="1"/>
    <x v="1"/>
    <x v="1"/>
    <n v="13"/>
    <s v="Mumbai"/>
    <s v="2022-10-08"/>
    <x v="0"/>
    <x v="8"/>
    <x v="1"/>
    <x v="9"/>
    <x v="10"/>
    <x v="5"/>
    <n v="337"/>
    <n v="67.400000000000006"/>
    <x v="0"/>
    <x v="0"/>
    <n v="3517"/>
    <s v="Art"/>
    <x v="0"/>
  </r>
  <r>
    <x v="1151"/>
    <x v="65"/>
    <x v="1"/>
    <x v="2"/>
    <x v="3"/>
    <n v="10"/>
    <s v="Bangalore"/>
    <s v="2025-06-21"/>
    <x v="0"/>
    <x v="14"/>
    <x v="65"/>
    <x v="9"/>
    <x v="52"/>
    <x v="38"/>
    <n v="318"/>
    <n v="63.6"/>
    <x v="0"/>
    <x v="0"/>
    <n v="2312"/>
    <s v="Art"/>
    <x v="0"/>
  </r>
  <r>
    <x v="1152"/>
    <x v="5"/>
    <x v="1"/>
    <x v="7"/>
    <x v="3"/>
    <n v="11"/>
    <s v="Pune"/>
    <s v="2024-10-26"/>
    <x v="20"/>
    <x v="50"/>
    <x v="37"/>
    <x v="26"/>
    <x v="40"/>
    <x v="62"/>
    <n v="318"/>
    <n v="63.6"/>
    <x v="0"/>
    <x v="1"/>
    <n v="3923"/>
    <s v="Dance"/>
    <x v="0"/>
  </r>
  <r>
    <x v="1153"/>
    <x v="6"/>
    <x v="1"/>
    <x v="6"/>
    <x v="3"/>
    <n v="10"/>
    <s v="Chennai"/>
    <s v="2024-03-21"/>
    <x v="6"/>
    <x v="50"/>
    <x v="22"/>
    <x v="3"/>
    <x v="53"/>
    <x v="31"/>
    <n v="421"/>
    <n v="84.2"/>
    <x v="2"/>
    <x v="1"/>
    <n v="3719"/>
    <s v="Music"/>
    <x v="0"/>
  </r>
  <r>
    <x v="1154"/>
    <x v="113"/>
    <x v="1"/>
    <x v="2"/>
    <x v="3"/>
    <n v="9"/>
    <s v="Madurai"/>
    <s v="2023-02-17"/>
    <x v="11"/>
    <x v="21"/>
    <x v="51"/>
    <x v="61"/>
    <x v="28"/>
    <x v="52"/>
    <n v="320"/>
    <n v="64"/>
    <x v="0"/>
    <x v="0"/>
    <n v="1511"/>
    <s v="Art"/>
    <x v="0"/>
  </r>
  <r>
    <x v="1155"/>
    <x v="141"/>
    <x v="0"/>
    <x v="0"/>
    <x v="0"/>
    <n v="16"/>
    <s v="Bangalore"/>
    <s v="2024-06-17"/>
    <x v="6"/>
    <x v="62"/>
    <x v="6"/>
    <x v="64"/>
    <x v="18"/>
    <x v="65"/>
    <n v="378"/>
    <n v="75.599999999999994"/>
    <x v="1"/>
    <x v="0"/>
    <n v="2538"/>
    <s v="Drama"/>
    <x v="0"/>
  </r>
  <r>
    <x v="1156"/>
    <x v="127"/>
    <x v="0"/>
    <x v="3"/>
    <x v="1"/>
    <n v="7"/>
    <s v="Pune"/>
    <s v="2025-06-26"/>
    <x v="26"/>
    <x v="8"/>
    <x v="4"/>
    <x v="41"/>
    <x v="18"/>
    <x v="42"/>
    <n v="442"/>
    <n v="88.4"/>
    <x v="2"/>
    <x v="1"/>
    <n v="4442"/>
    <s v="Sports"/>
    <x v="0"/>
  </r>
  <r>
    <x v="1157"/>
    <x v="107"/>
    <x v="1"/>
    <x v="8"/>
    <x v="3"/>
    <n v="9"/>
    <s v="Bangalore"/>
    <s v="2024-08-04"/>
    <x v="23"/>
    <x v="2"/>
    <x v="48"/>
    <x v="41"/>
    <x v="38"/>
    <x v="42"/>
    <n v="369"/>
    <n v="73.8"/>
    <x v="1"/>
    <x v="1"/>
    <n v="2467"/>
    <s v="Art"/>
    <x v="0"/>
  </r>
  <r>
    <x v="1158"/>
    <x v="76"/>
    <x v="0"/>
    <x v="4"/>
    <x v="2"/>
    <n v="16"/>
    <s v="Coimbatore"/>
    <s v="2022-08-25"/>
    <x v="22"/>
    <x v="19"/>
    <x v="1"/>
    <x v="47"/>
    <x v="14"/>
    <x v="45"/>
    <n v="271"/>
    <n v="54.2"/>
    <x v="3"/>
    <x v="1"/>
    <n v="1629"/>
    <s v="Music"/>
    <x v="1"/>
  </r>
  <r>
    <x v="1159"/>
    <x v="6"/>
    <x v="1"/>
    <x v="10"/>
    <x v="3"/>
    <n v="12"/>
    <s v="Coimbatore"/>
    <s v="2024-01-21"/>
    <x v="38"/>
    <x v="48"/>
    <x v="47"/>
    <x v="63"/>
    <x v="27"/>
    <x v="54"/>
    <n v="311"/>
    <n v="62.2"/>
    <x v="0"/>
    <x v="0"/>
    <n v="4371"/>
    <s v="Dance"/>
    <x v="0"/>
  </r>
  <r>
    <x v="1160"/>
    <x v="110"/>
    <x v="0"/>
    <x v="7"/>
    <x v="1"/>
    <n v="11"/>
    <s v="Hyderabad"/>
    <s v="2023-02-06"/>
    <x v="29"/>
    <x v="61"/>
    <x v="50"/>
    <x v="60"/>
    <x v="61"/>
    <x v="54"/>
    <n v="299"/>
    <n v="59.8"/>
    <x v="3"/>
    <x v="1"/>
    <n v="2252"/>
    <s v="Music"/>
    <x v="0"/>
  </r>
  <r>
    <x v="1161"/>
    <x v="34"/>
    <x v="0"/>
    <x v="4"/>
    <x v="2"/>
    <n v="17"/>
    <s v="Hyderabad"/>
    <s v="2022-04-09"/>
    <x v="25"/>
    <x v="9"/>
    <x v="26"/>
    <x v="27"/>
    <x v="60"/>
    <x v="43"/>
    <n v="370"/>
    <n v="74"/>
    <x v="1"/>
    <x v="0"/>
    <n v="3869"/>
    <s v="Drama"/>
    <x v="0"/>
  </r>
  <r>
    <x v="1162"/>
    <x v="33"/>
    <x v="1"/>
    <x v="4"/>
    <x v="3"/>
    <n v="18"/>
    <s v="Mumbai"/>
    <s v="2023-12-27"/>
    <x v="27"/>
    <x v="24"/>
    <x v="60"/>
    <x v="5"/>
    <x v="25"/>
    <x v="33"/>
    <n v="331"/>
    <n v="66.2"/>
    <x v="0"/>
    <x v="0"/>
    <n v="2790"/>
    <s v="Coding Club"/>
    <x v="0"/>
  </r>
  <r>
    <x v="1163"/>
    <x v="126"/>
    <x v="0"/>
    <x v="6"/>
    <x v="0"/>
    <n v="12"/>
    <s v="Hyderabad"/>
    <s v="2022-05-28"/>
    <x v="2"/>
    <x v="23"/>
    <x v="51"/>
    <x v="62"/>
    <x v="22"/>
    <x v="8"/>
    <n v="345"/>
    <n v="69"/>
    <x v="0"/>
    <x v="0"/>
    <n v="2422"/>
    <s v="Art"/>
    <x v="0"/>
  </r>
  <r>
    <x v="1164"/>
    <x v="76"/>
    <x v="1"/>
    <x v="5"/>
    <x v="1"/>
    <n v="7"/>
    <s v="Coimbatore"/>
    <s v="2023-10-02"/>
    <x v="40"/>
    <x v="37"/>
    <x v="47"/>
    <x v="30"/>
    <x v="62"/>
    <x v="6"/>
    <n v="296"/>
    <n v="59.2"/>
    <x v="3"/>
    <x v="1"/>
    <n v="2844"/>
    <s v="Art"/>
    <x v="0"/>
  </r>
  <r>
    <x v="1165"/>
    <x v="137"/>
    <x v="1"/>
    <x v="4"/>
    <x v="2"/>
    <n v="18"/>
    <s v="Coimbatore"/>
    <s v="2023-06-29"/>
    <x v="16"/>
    <x v="31"/>
    <x v="26"/>
    <x v="52"/>
    <x v="10"/>
    <x v="17"/>
    <n v="372"/>
    <n v="74.400000000000006"/>
    <x v="1"/>
    <x v="0"/>
    <n v="4182"/>
    <s v="Coding Club"/>
    <x v="0"/>
  </r>
  <r>
    <x v="1166"/>
    <x v="28"/>
    <x v="1"/>
    <x v="8"/>
    <x v="2"/>
    <n v="8"/>
    <s v="Coimbatore"/>
    <s v="2025-07-11"/>
    <x v="21"/>
    <x v="29"/>
    <x v="34"/>
    <x v="58"/>
    <x v="1"/>
    <x v="17"/>
    <n v="302"/>
    <n v="60.4"/>
    <x v="0"/>
    <x v="0"/>
    <n v="4800"/>
    <s v="Dance"/>
    <x v="0"/>
  </r>
  <r>
    <x v="1167"/>
    <x v="78"/>
    <x v="1"/>
    <x v="4"/>
    <x v="1"/>
    <n v="18"/>
    <s v="Hyderabad"/>
    <s v="2022-11-05"/>
    <x v="20"/>
    <x v="13"/>
    <x v="18"/>
    <x v="61"/>
    <x v="44"/>
    <x v="8"/>
    <n v="353"/>
    <n v="70.599999999999994"/>
    <x v="1"/>
    <x v="0"/>
    <n v="2701"/>
    <s v="Music"/>
    <x v="0"/>
  </r>
  <r>
    <x v="1168"/>
    <x v="69"/>
    <x v="0"/>
    <x v="1"/>
    <x v="2"/>
    <n v="12"/>
    <s v="Coimbatore"/>
    <s v="2024-12-18"/>
    <x v="38"/>
    <x v="45"/>
    <x v="23"/>
    <x v="0"/>
    <x v="52"/>
    <x v="19"/>
    <n v="311"/>
    <n v="62.2"/>
    <x v="0"/>
    <x v="1"/>
    <n v="3994"/>
    <s v="Sports"/>
    <x v="0"/>
  </r>
  <r>
    <x v="1169"/>
    <x v="117"/>
    <x v="1"/>
    <x v="9"/>
    <x v="1"/>
    <n v="13"/>
    <s v="Pune"/>
    <s v="2021-05-23"/>
    <x v="21"/>
    <x v="12"/>
    <x v="11"/>
    <x v="32"/>
    <x v="12"/>
    <x v="64"/>
    <n v="433"/>
    <n v="86.6"/>
    <x v="2"/>
    <x v="0"/>
    <n v="3951"/>
    <s v="Music"/>
    <x v="0"/>
  </r>
  <r>
    <x v="1170"/>
    <x v="138"/>
    <x v="0"/>
    <x v="3"/>
    <x v="2"/>
    <n v="7"/>
    <s v="Madurai"/>
    <s v="2022-07-17"/>
    <x v="34"/>
    <x v="41"/>
    <x v="50"/>
    <x v="22"/>
    <x v="53"/>
    <x v="57"/>
    <n v="290"/>
    <n v="58"/>
    <x v="3"/>
    <x v="1"/>
    <n v="2471"/>
    <s v="Dance"/>
    <x v="0"/>
  </r>
  <r>
    <x v="1171"/>
    <x v="64"/>
    <x v="1"/>
    <x v="7"/>
    <x v="0"/>
    <n v="10"/>
    <s v="Pune"/>
    <s v="2025-07-06"/>
    <x v="21"/>
    <x v="46"/>
    <x v="23"/>
    <x v="11"/>
    <x v="27"/>
    <x v="58"/>
    <n v="355"/>
    <n v="71"/>
    <x v="1"/>
    <x v="1"/>
    <n v="3097"/>
    <s v="Dance"/>
    <x v="0"/>
  </r>
  <r>
    <x v="1172"/>
    <x v="50"/>
    <x v="0"/>
    <x v="9"/>
    <x v="2"/>
    <n v="15"/>
    <s v="Pune"/>
    <s v="2022-08-30"/>
    <x v="32"/>
    <x v="47"/>
    <x v="44"/>
    <x v="5"/>
    <x v="38"/>
    <x v="45"/>
    <n v="339"/>
    <n v="67.8"/>
    <x v="0"/>
    <x v="0"/>
    <n v="4677"/>
    <s v="Drama"/>
    <x v="0"/>
  </r>
  <r>
    <x v="1173"/>
    <x v="35"/>
    <x v="0"/>
    <x v="11"/>
    <x v="0"/>
    <n v="15"/>
    <s v="Hyderabad"/>
    <s v="2021-05-06"/>
    <x v="40"/>
    <x v="19"/>
    <x v="11"/>
    <x v="7"/>
    <x v="61"/>
    <x v="59"/>
    <n v="385"/>
    <n v="77"/>
    <x v="1"/>
    <x v="1"/>
    <n v="3436"/>
    <s v="Music"/>
    <x v="0"/>
  </r>
  <r>
    <x v="1174"/>
    <x v="36"/>
    <x v="0"/>
    <x v="9"/>
    <x v="1"/>
    <n v="15"/>
    <s v="Pune"/>
    <s v="2023-10-21"/>
    <x v="12"/>
    <x v="47"/>
    <x v="36"/>
    <x v="50"/>
    <x v="38"/>
    <x v="21"/>
    <n v="340"/>
    <n v="68"/>
    <x v="0"/>
    <x v="0"/>
    <n v="4530"/>
    <s v="Coding Club"/>
    <x v="0"/>
  </r>
  <r>
    <x v="1175"/>
    <x v="113"/>
    <x v="0"/>
    <x v="2"/>
    <x v="2"/>
    <n v="8"/>
    <s v="Mumbai"/>
    <s v="2023-03-05"/>
    <x v="22"/>
    <x v="64"/>
    <x v="3"/>
    <x v="1"/>
    <x v="17"/>
    <x v="40"/>
    <n v="332"/>
    <n v="66.400000000000006"/>
    <x v="0"/>
    <x v="1"/>
    <n v="4208"/>
    <s v="Music"/>
    <x v="0"/>
  </r>
  <r>
    <x v="1176"/>
    <x v="127"/>
    <x v="0"/>
    <x v="4"/>
    <x v="2"/>
    <n v="17"/>
    <s v="Madurai"/>
    <s v="2021-01-16"/>
    <x v="25"/>
    <x v="51"/>
    <x v="21"/>
    <x v="29"/>
    <x v="2"/>
    <x v="22"/>
    <n v="341"/>
    <n v="68.2"/>
    <x v="0"/>
    <x v="0"/>
    <n v="2244"/>
    <s v="Coding Club"/>
    <x v="0"/>
  </r>
  <r>
    <x v="1177"/>
    <x v="53"/>
    <x v="0"/>
    <x v="9"/>
    <x v="2"/>
    <n v="13"/>
    <s v="Coimbatore"/>
    <s v="2021-05-16"/>
    <x v="17"/>
    <x v="24"/>
    <x v="63"/>
    <x v="54"/>
    <x v="15"/>
    <x v="7"/>
    <n v="447"/>
    <n v="89.4"/>
    <x v="2"/>
    <x v="1"/>
    <n v="2754"/>
    <s v="Dance"/>
    <x v="0"/>
  </r>
  <r>
    <x v="1178"/>
    <x v="4"/>
    <x v="0"/>
    <x v="10"/>
    <x v="3"/>
    <n v="12"/>
    <s v="Madurai"/>
    <s v="2024-11-10"/>
    <x v="19"/>
    <x v="6"/>
    <x v="46"/>
    <x v="13"/>
    <x v="21"/>
    <x v="60"/>
    <n v="364"/>
    <n v="72.8"/>
    <x v="1"/>
    <x v="0"/>
    <n v="4476"/>
    <s v="Music"/>
    <x v="0"/>
  </r>
  <r>
    <x v="1179"/>
    <x v="117"/>
    <x v="1"/>
    <x v="11"/>
    <x v="2"/>
    <n v="17"/>
    <s v="Madurai"/>
    <s v="2023-03-01"/>
    <x v="18"/>
    <x v="53"/>
    <x v="32"/>
    <x v="38"/>
    <x v="16"/>
    <x v="48"/>
    <n v="334"/>
    <n v="66.8"/>
    <x v="0"/>
    <x v="1"/>
    <n v="3032"/>
    <s v="Sports"/>
    <x v="0"/>
  </r>
  <r>
    <x v="1180"/>
    <x v="122"/>
    <x v="0"/>
    <x v="1"/>
    <x v="2"/>
    <n v="13"/>
    <s v="Madurai"/>
    <s v="2025-03-21"/>
    <x v="11"/>
    <x v="20"/>
    <x v="6"/>
    <x v="28"/>
    <x v="54"/>
    <x v="36"/>
    <n v="307"/>
    <n v="61.4"/>
    <x v="0"/>
    <x v="0"/>
    <n v="3420"/>
    <s v="Sports"/>
    <x v="0"/>
  </r>
  <r>
    <x v="1181"/>
    <x v="102"/>
    <x v="0"/>
    <x v="6"/>
    <x v="3"/>
    <n v="10"/>
    <s v="Coimbatore"/>
    <s v="2022-12-27"/>
    <x v="38"/>
    <x v="26"/>
    <x v="40"/>
    <x v="6"/>
    <x v="65"/>
    <x v="32"/>
    <n v="362"/>
    <n v="72.400000000000006"/>
    <x v="1"/>
    <x v="0"/>
    <n v="2513"/>
    <s v="Sports"/>
    <x v="0"/>
  </r>
  <r>
    <x v="1182"/>
    <x v="89"/>
    <x v="1"/>
    <x v="10"/>
    <x v="1"/>
    <n v="11"/>
    <s v="Pune"/>
    <s v="2021-01-08"/>
    <x v="12"/>
    <x v="0"/>
    <x v="5"/>
    <x v="61"/>
    <x v="7"/>
    <x v="0"/>
    <n v="359"/>
    <n v="71.8"/>
    <x v="1"/>
    <x v="1"/>
    <n v="3470"/>
    <s v="Drama"/>
    <x v="0"/>
  </r>
  <r>
    <x v="1183"/>
    <x v="14"/>
    <x v="1"/>
    <x v="1"/>
    <x v="3"/>
    <n v="13"/>
    <s v="Chennai"/>
    <s v="2024-09-05"/>
    <x v="4"/>
    <x v="39"/>
    <x v="20"/>
    <x v="41"/>
    <x v="47"/>
    <x v="50"/>
    <n v="363"/>
    <n v="72.599999999999994"/>
    <x v="1"/>
    <x v="1"/>
    <n v="3921"/>
    <s v="Coding Club"/>
    <x v="0"/>
  </r>
  <r>
    <x v="1184"/>
    <x v="97"/>
    <x v="0"/>
    <x v="2"/>
    <x v="0"/>
    <n v="9"/>
    <s v="Hyderabad"/>
    <s v="2025-04-21"/>
    <x v="2"/>
    <x v="44"/>
    <x v="6"/>
    <x v="38"/>
    <x v="44"/>
    <x v="25"/>
    <n v="355"/>
    <n v="71"/>
    <x v="1"/>
    <x v="0"/>
    <n v="2601"/>
    <s v="Sports"/>
    <x v="0"/>
  </r>
  <r>
    <x v="1185"/>
    <x v="126"/>
    <x v="1"/>
    <x v="5"/>
    <x v="1"/>
    <n v="8"/>
    <s v="Chennai"/>
    <s v="2022-07-15"/>
    <x v="3"/>
    <x v="37"/>
    <x v="16"/>
    <x v="38"/>
    <x v="17"/>
    <x v="53"/>
    <n v="317"/>
    <n v="63.4"/>
    <x v="0"/>
    <x v="0"/>
    <n v="4303"/>
    <s v="Art"/>
    <x v="0"/>
  </r>
  <r>
    <x v="1186"/>
    <x v="94"/>
    <x v="0"/>
    <x v="1"/>
    <x v="0"/>
    <n v="13"/>
    <s v="Coimbatore"/>
    <s v="2021-04-12"/>
    <x v="31"/>
    <x v="33"/>
    <x v="45"/>
    <x v="2"/>
    <x v="33"/>
    <x v="43"/>
    <n v="273"/>
    <n v="54.6"/>
    <x v="3"/>
    <x v="1"/>
    <n v="4585"/>
    <s v="Art"/>
    <x v="1"/>
  </r>
  <r>
    <x v="1187"/>
    <x v="23"/>
    <x v="1"/>
    <x v="0"/>
    <x v="3"/>
    <n v="16"/>
    <s v="Madurai"/>
    <s v="2021-03-10"/>
    <x v="26"/>
    <x v="31"/>
    <x v="63"/>
    <x v="25"/>
    <x v="26"/>
    <x v="10"/>
    <n v="415"/>
    <n v="83"/>
    <x v="2"/>
    <x v="1"/>
    <n v="1679"/>
    <s v="Coding Club"/>
    <x v="0"/>
  </r>
  <r>
    <x v="1188"/>
    <x v="4"/>
    <x v="1"/>
    <x v="4"/>
    <x v="1"/>
    <n v="18"/>
    <s v="Mumbai"/>
    <s v="2023-12-14"/>
    <x v="36"/>
    <x v="7"/>
    <x v="63"/>
    <x v="62"/>
    <x v="64"/>
    <x v="5"/>
    <n v="389"/>
    <n v="77.8"/>
    <x v="1"/>
    <x v="1"/>
    <n v="3829"/>
    <s v="Drama"/>
    <x v="0"/>
  </r>
  <r>
    <x v="1189"/>
    <x v="12"/>
    <x v="0"/>
    <x v="9"/>
    <x v="1"/>
    <n v="15"/>
    <s v="Madurai"/>
    <s v="2024-12-13"/>
    <x v="34"/>
    <x v="33"/>
    <x v="35"/>
    <x v="22"/>
    <x v="35"/>
    <x v="59"/>
    <n v="270"/>
    <n v="54"/>
    <x v="3"/>
    <x v="0"/>
    <n v="3998"/>
    <s v="Drama"/>
    <x v="1"/>
  </r>
  <r>
    <x v="1190"/>
    <x v="2"/>
    <x v="1"/>
    <x v="7"/>
    <x v="3"/>
    <n v="10"/>
    <s v="Bangalore"/>
    <s v="2025-08-12"/>
    <x v="28"/>
    <x v="29"/>
    <x v="5"/>
    <x v="16"/>
    <x v="35"/>
    <x v="31"/>
    <n v="334"/>
    <n v="66.8"/>
    <x v="0"/>
    <x v="1"/>
    <n v="2910"/>
    <s v="Music"/>
    <x v="0"/>
  </r>
  <r>
    <x v="1191"/>
    <x v="74"/>
    <x v="1"/>
    <x v="3"/>
    <x v="0"/>
    <n v="6"/>
    <s v="Hyderabad"/>
    <s v="2022-04-09"/>
    <x v="34"/>
    <x v="51"/>
    <x v="56"/>
    <x v="43"/>
    <x v="25"/>
    <x v="39"/>
    <n v="306"/>
    <n v="61.2"/>
    <x v="0"/>
    <x v="1"/>
    <n v="4803"/>
    <s v="Coding Club"/>
    <x v="0"/>
  </r>
  <r>
    <x v="1192"/>
    <x v="144"/>
    <x v="0"/>
    <x v="9"/>
    <x v="2"/>
    <n v="15"/>
    <s v="Mumbai"/>
    <s v="2024-07-19"/>
    <x v="5"/>
    <x v="8"/>
    <x v="32"/>
    <x v="38"/>
    <x v="53"/>
    <x v="25"/>
    <n v="368"/>
    <n v="73.599999999999994"/>
    <x v="1"/>
    <x v="1"/>
    <n v="2185"/>
    <s v="Music"/>
    <x v="0"/>
  </r>
  <r>
    <x v="1193"/>
    <x v="0"/>
    <x v="1"/>
    <x v="0"/>
    <x v="0"/>
    <n v="16"/>
    <s v="Mumbai"/>
    <s v="2022-01-10"/>
    <x v="23"/>
    <x v="16"/>
    <x v="30"/>
    <x v="51"/>
    <x v="43"/>
    <x v="40"/>
    <n v="293"/>
    <n v="58.6"/>
    <x v="3"/>
    <x v="0"/>
    <n v="1551"/>
    <s v="Dance"/>
    <x v="0"/>
  </r>
  <r>
    <x v="1194"/>
    <x v="5"/>
    <x v="0"/>
    <x v="3"/>
    <x v="3"/>
    <n v="6"/>
    <s v="Bangalore"/>
    <s v="2023-12-21"/>
    <x v="12"/>
    <x v="61"/>
    <x v="13"/>
    <x v="2"/>
    <x v="48"/>
    <x v="44"/>
    <n v="277"/>
    <n v="55.4"/>
    <x v="3"/>
    <x v="1"/>
    <n v="4718"/>
    <s v="Sports"/>
    <x v="0"/>
  </r>
  <r>
    <x v="1195"/>
    <x v="132"/>
    <x v="1"/>
    <x v="0"/>
    <x v="2"/>
    <n v="14"/>
    <s v="Hyderabad"/>
    <s v="2024-06-24"/>
    <x v="7"/>
    <x v="35"/>
    <x v="43"/>
    <x v="45"/>
    <x v="21"/>
    <x v="42"/>
    <n v="341"/>
    <n v="68.2"/>
    <x v="0"/>
    <x v="1"/>
    <n v="4441"/>
    <s v="Sports"/>
    <x v="0"/>
  </r>
  <r>
    <x v="1196"/>
    <x v="13"/>
    <x v="1"/>
    <x v="9"/>
    <x v="2"/>
    <n v="14"/>
    <s v="Hyderabad"/>
    <s v="2024-02-13"/>
    <x v="16"/>
    <x v="7"/>
    <x v="39"/>
    <x v="63"/>
    <x v="51"/>
    <x v="65"/>
    <n v="331"/>
    <n v="66.2"/>
    <x v="0"/>
    <x v="1"/>
    <n v="2687"/>
    <s v="Sports"/>
    <x v="0"/>
  </r>
  <r>
    <x v="1197"/>
    <x v="9"/>
    <x v="0"/>
    <x v="5"/>
    <x v="1"/>
    <n v="7"/>
    <s v="Madurai"/>
    <s v="2023-08-28"/>
    <x v="4"/>
    <x v="49"/>
    <x v="17"/>
    <x v="19"/>
    <x v="49"/>
    <x v="32"/>
    <n v="351"/>
    <n v="70.2"/>
    <x v="1"/>
    <x v="0"/>
    <n v="3378"/>
    <s v="Dance"/>
    <x v="0"/>
  </r>
  <r>
    <x v="1198"/>
    <x v="18"/>
    <x v="0"/>
    <x v="5"/>
    <x v="1"/>
    <n v="8"/>
    <s v="Bangalore"/>
    <s v="2024-02-07"/>
    <x v="14"/>
    <x v="20"/>
    <x v="27"/>
    <x v="16"/>
    <x v="37"/>
    <x v="62"/>
    <n v="307"/>
    <n v="61.4"/>
    <x v="0"/>
    <x v="0"/>
    <n v="4077"/>
    <s v="Drama"/>
    <x v="0"/>
  </r>
  <r>
    <x v="1199"/>
    <x v="110"/>
    <x v="1"/>
    <x v="9"/>
    <x v="2"/>
    <n v="15"/>
    <s v="Coimbatore"/>
    <s v="2023-02-10"/>
    <x v="18"/>
    <x v="49"/>
    <x v="59"/>
    <x v="65"/>
    <x v="57"/>
    <x v="12"/>
    <n v="387"/>
    <n v="77.400000000000006"/>
    <x v="1"/>
    <x v="0"/>
    <n v="3847"/>
    <s v="Art"/>
    <x v="0"/>
  </r>
  <r>
    <x v="1200"/>
    <x v="107"/>
    <x v="0"/>
    <x v="9"/>
    <x v="0"/>
    <n v="13"/>
    <s v="Bangalore"/>
    <s v="2024-01-05"/>
    <x v="14"/>
    <x v="18"/>
    <x v="22"/>
    <x v="30"/>
    <x v="22"/>
    <x v="65"/>
    <n v="374"/>
    <n v="74.8"/>
    <x v="1"/>
    <x v="0"/>
    <n v="3248"/>
    <s v="Drama"/>
    <x v="0"/>
  </r>
  <r>
    <x v="1201"/>
    <x v="111"/>
    <x v="1"/>
    <x v="1"/>
    <x v="0"/>
    <n v="12"/>
    <s v="Pune"/>
    <s v="2024-12-27"/>
    <x v="10"/>
    <x v="37"/>
    <x v="20"/>
    <x v="37"/>
    <x v="35"/>
    <x v="43"/>
    <n v="249"/>
    <n v="49.8"/>
    <x v="4"/>
    <x v="1"/>
    <n v="1538"/>
    <s v="Dance"/>
    <x v="1"/>
  </r>
  <r>
    <x v="1202"/>
    <x v="30"/>
    <x v="0"/>
    <x v="4"/>
    <x v="2"/>
    <n v="17"/>
    <s v="Coimbatore"/>
    <s v="2022-12-02"/>
    <x v="8"/>
    <x v="3"/>
    <x v="11"/>
    <x v="40"/>
    <x v="21"/>
    <x v="18"/>
    <n v="380"/>
    <n v="76"/>
    <x v="1"/>
    <x v="1"/>
    <n v="1854"/>
    <s v="Dance"/>
    <x v="0"/>
  </r>
  <r>
    <x v="1203"/>
    <x v="31"/>
    <x v="1"/>
    <x v="6"/>
    <x v="2"/>
    <n v="11"/>
    <s v="Coimbatore"/>
    <s v="2021-09-30"/>
    <x v="25"/>
    <x v="45"/>
    <x v="61"/>
    <x v="36"/>
    <x v="25"/>
    <x v="49"/>
    <n v="286"/>
    <n v="57.2"/>
    <x v="3"/>
    <x v="0"/>
    <n v="3687"/>
    <s v="Sports"/>
    <x v="0"/>
  </r>
  <r>
    <x v="1204"/>
    <x v="37"/>
    <x v="0"/>
    <x v="7"/>
    <x v="2"/>
    <n v="11"/>
    <s v="Madurai"/>
    <s v="2021-11-02"/>
    <x v="1"/>
    <x v="21"/>
    <x v="33"/>
    <x v="6"/>
    <x v="55"/>
    <x v="31"/>
    <n v="354"/>
    <n v="70.8"/>
    <x v="1"/>
    <x v="1"/>
    <n v="3581"/>
    <s v="Drama"/>
    <x v="0"/>
  </r>
  <r>
    <x v="1205"/>
    <x v="92"/>
    <x v="1"/>
    <x v="6"/>
    <x v="3"/>
    <n v="10"/>
    <s v="Mumbai"/>
    <s v="2025-09-08"/>
    <x v="7"/>
    <x v="9"/>
    <x v="44"/>
    <x v="39"/>
    <x v="2"/>
    <x v="47"/>
    <n v="408"/>
    <n v="81.599999999999994"/>
    <x v="2"/>
    <x v="0"/>
    <n v="3999"/>
    <s v="Drama"/>
    <x v="0"/>
  </r>
  <r>
    <x v="1206"/>
    <x v="10"/>
    <x v="0"/>
    <x v="5"/>
    <x v="1"/>
    <n v="7"/>
    <s v="Hyderabad"/>
    <s v="2022-03-22"/>
    <x v="9"/>
    <x v="33"/>
    <x v="46"/>
    <x v="0"/>
    <x v="15"/>
    <x v="49"/>
    <n v="315"/>
    <n v="63"/>
    <x v="0"/>
    <x v="0"/>
    <n v="1804"/>
    <s v="Sports"/>
    <x v="0"/>
  </r>
  <r>
    <x v="1207"/>
    <x v="20"/>
    <x v="0"/>
    <x v="8"/>
    <x v="3"/>
    <n v="8"/>
    <s v="Bangalore"/>
    <s v="2022-03-03"/>
    <x v="22"/>
    <x v="7"/>
    <x v="39"/>
    <x v="54"/>
    <x v="35"/>
    <x v="10"/>
    <n v="366"/>
    <n v="73.2"/>
    <x v="1"/>
    <x v="1"/>
    <n v="4958"/>
    <s v="Sports"/>
    <x v="0"/>
  </r>
  <r>
    <x v="1208"/>
    <x v="52"/>
    <x v="0"/>
    <x v="4"/>
    <x v="2"/>
    <n v="18"/>
    <s v="Pune"/>
    <s v="2023-02-10"/>
    <x v="12"/>
    <x v="28"/>
    <x v="42"/>
    <x v="32"/>
    <x v="53"/>
    <x v="51"/>
    <n v="319"/>
    <n v="63.8"/>
    <x v="0"/>
    <x v="0"/>
    <n v="3636"/>
    <s v="Music"/>
    <x v="0"/>
  </r>
  <r>
    <x v="1209"/>
    <x v="62"/>
    <x v="0"/>
    <x v="7"/>
    <x v="2"/>
    <n v="10"/>
    <s v="Mumbai"/>
    <s v="2023-02-20"/>
    <x v="33"/>
    <x v="17"/>
    <x v="1"/>
    <x v="38"/>
    <x v="43"/>
    <x v="0"/>
    <n v="400"/>
    <n v="80"/>
    <x v="2"/>
    <x v="1"/>
    <n v="2724"/>
    <s v="Art"/>
    <x v="0"/>
  </r>
  <r>
    <x v="1210"/>
    <x v="149"/>
    <x v="0"/>
    <x v="0"/>
    <x v="2"/>
    <n v="14"/>
    <s v="Chennai"/>
    <s v="2021-03-28"/>
    <x v="20"/>
    <x v="49"/>
    <x v="62"/>
    <x v="41"/>
    <x v="35"/>
    <x v="43"/>
    <n v="338"/>
    <n v="67.599999999999994"/>
    <x v="0"/>
    <x v="1"/>
    <n v="3426"/>
    <s v="Music"/>
    <x v="0"/>
  </r>
  <r>
    <x v="1211"/>
    <x v="120"/>
    <x v="1"/>
    <x v="6"/>
    <x v="2"/>
    <n v="12"/>
    <s v="Coimbatore"/>
    <s v="2022-06-25"/>
    <x v="40"/>
    <x v="41"/>
    <x v="57"/>
    <x v="33"/>
    <x v="39"/>
    <x v="28"/>
    <n v="344"/>
    <n v="68.8"/>
    <x v="0"/>
    <x v="1"/>
    <n v="3570"/>
    <s v="Sports"/>
    <x v="0"/>
  </r>
  <r>
    <x v="1212"/>
    <x v="41"/>
    <x v="1"/>
    <x v="2"/>
    <x v="0"/>
    <n v="9"/>
    <s v="Bangalore"/>
    <s v="2024-01-14"/>
    <x v="22"/>
    <x v="41"/>
    <x v="8"/>
    <x v="3"/>
    <x v="28"/>
    <x v="6"/>
    <n v="413"/>
    <n v="82.6"/>
    <x v="2"/>
    <x v="0"/>
    <n v="4963"/>
    <s v="Art"/>
    <x v="0"/>
  </r>
  <r>
    <x v="1213"/>
    <x v="100"/>
    <x v="1"/>
    <x v="2"/>
    <x v="1"/>
    <n v="9"/>
    <s v="Mumbai"/>
    <s v="2022-04-18"/>
    <x v="25"/>
    <x v="45"/>
    <x v="52"/>
    <x v="29"/>
    <x v="1"/>
    <x v="54"/>
    <n v="350"/>
    <n v="70"/>
    <x v="1"/>
    <x v="0"/>
    <n v="4704"/>
    <s v="Coding Club"/>
    <x v="0"/>
  </r>
  <r>
    <x v="1214"/>
    <x v="119"/>
    <x v="1"/>
    <x v="4"/>
    <x v="0"/>
    <n v="18"/>
    <s v="Madurai"/>
    <s v="2021-07-31"/>
    <x v="11"/>
    <x v="15"/>
    <x v="30"/>
    <x v="23"/>
    <x v="13"/>
    <x v="18"/>
    <n v="295"/>
    <n v="59"/>
    <x v="3"/>
    <x v="0"/>
    <n v="2110"/>
    <s v="Drama"/>
    <x v="0"/>
  </r>
  <r>
    <x v="1215"/>
    <x v="111"/>
    <x v="1"/>
    <x v="2"/>
    <x v="2"/>
    <n v="10"/>
    <s v="Pune"/>
    <s v="2021-01-01"/>
    <x v="35"/>
    <x v="55"/>
    <x v="19"/>
    <x v="29"/>
    <x v="62"/>
    <x v="7"/>
    <n v="358"/>
    <n v="71.599999999999994"/>
    <x v="1"/>
    <x v="1"/>
    <n v="2786"/>
    <s v="Drama"/>
    <x v="0"/>
  </r>
  <r>
    <x v="1216"/>
    <x v="65"/>
    <x v="0"/>
    <x v="0"/>
    <x v="0"/>
    <n v="14"/>
    <s v="Madurai"/>
    <s v="2025-05-28"/>
    <x v="20"/>
    <x v="55"/>
    <x v="23"/>
    <x v="55"/>
    <x v="55"/>
    <x v="15"/>
    <n v="384"/>
    <n v="76.8"/>
    <x v="1"/>
    <x v="0"/>
    <n v="3935"/>
    <s v="Dance"/>
    <x v="0"/>
  </r>
  <r>
    <x v="1217"/>
    <x v="60"/>
    <x v="0"/>
    <x v="6"/>
    <x v="2"/>
    <n v="11"/>
    <s v="Chennai"/>
    <s v="2024-11-18"/>
    <x v="1"/>
    <x v="19"/>
    <x v="45"/>
    <x v="44"/>
    <x v="57"/>
    <x v="7"/>
    <n v="369"/>
    <n v="73.8"/>
    <x v="1"/>
    <x v="0"/>
    <n v="2892"/>
    <s v="Coding Club"/>
    <x v="0"/>
  </r>
  <r>
    <x v="1218"/>
    <x v="142"/>
    <x v="1"/>
    <x v="10"/>
    <x v="3"/>
    <n v="13"/>
    <s v="Pune"/>
    <s v="2023-11-30"/>
    <x v="19"/>
    <x v="20"/>
    <x v="8"/>
    <x v="65"/>
    <x v="22"/>
    <x v="19"/>
    <n v="368"/>
    <n v="73.599999999999994"/>
    <x v="1"/>
    <x v="0"/>
    <n v="3775"/>
    <s v="Music"/>
    <x v="0"/>
  </r>
  <r>
    <x v="1219"/>
    <x v="37"/>
    <x v="0"/>
    <x v="1"/>
    <x v="1"/>
    <n v="13"/>
    <s v="Bangalore"/>
    <s v="2024-03-19"/>
    <x v="0"/>
    <x v="21"/>
    <x v="53"/>
    <x v="13"/>
    <x v="8"/>
    <x v="52"/>
    <n v="338"/>
    <n v="67.599999999999994"/>
    <x v="0"/>
    <x v="0"/>
    <n v="3828"/>
    <s v="Art"/>
    <x v="0"/>
  </r>
  <r>
    <x v="1220"/>
    <x v="81"/>
    <x v="0"/>
    <x v="5"/>
    <x v="0"/>
    <n v="7"/>
    <s v="Mumbai"/>
    <s v="2024-08-18"/>
    <x v="34"/>
    <x v="38"/>
    <x v="55"/>
    <x v="34"/>
    <x v="19"/>
    <x v="10"/>
    <n v="329"/>
    <n v="65.8"/>
    <x v="0"/>
    <x v="1"/>
    <n v="4620"/>
    <s v="Music"/>
    <x v="0"/>
  </r>
  <r>
    <x v="1221"/>
    <x v="110"/>
    <x v="0"/>
    <x v="7"/>
    <x v="2"/>
    <n v="11"/>
    <s v="Pune"/>
    <s v="2022-01-14"/>
    <x v="38"/>
    <x v="39"/>
    <x v="32"/>
    <x v="11"/>
    <x v="63"/>
    <x v="23"/>
    <n v="355"/>
    <n v="71"/>
    <x v="1"/>
    <x v="0"/>
    <n v="2061"/>
    <s v="Sports"/>
    <x v="0"/>
  </r>
  <r>
    <x v="1222"/>
    <x v="91"/>
    <x v="0"/>
    <x v="10"/>
    <x v="0"/>
    <n v="11"/>
    <s v="Hyderabad"/>
    <s v="2024-06-26"/>
    <x v="34"/>
    <x v="40"/>
    <x v="59"/>
    <x v="55"/>
    <x v="30"/>
    <x v="16"/>
    <n v="386"/>
    <n v="77.2"/>
    <x v="1"/>
    <x v="1"/>
    <n v="4103"/>
    <s v="Art"/>
    <x v="0"/>
  </r>
  <r>
    <x v="1223"/>
    <x v="29"/>
    <x v="0"/>
    <x v="11"/>
    <x v="3"/>
    <n v="16"/>
    <s v="Coimbatore"/>
    <s v="2025-01-30"/>
    <x v="23"/>
    <x v="24"/>
    <x v="18"/>
    <x v="41"/>
    <x v="44"/>
    <x v="48"/>
    <n v="422"/>
    <n v="84.4"/>
    <x v="2"/>
    <x v="1"/>
    <n v="1776"/>
    <s v="Coding Club"/>
    <x v="0"/>
  </r>
  <r>
    <x v="1224"/>
    <x v="3"/>
    <x v="1"/>
    <x v="9"/>
    <x v="0"/>
    <n v="15"/>
    <s v="Coimbatore"/>
    <s v="2024-10-14"/>
    <x v="3"/>
    <x v="0"/>
    <x v="65"/>
    <x v="30"/>
    <x v="61"/>
    <x v="31"/>
    <n v="397"/>
    <n v="79.400000000000006"/>
    <x v="1"/>
    <x v="0"/>
    <n v="3559"/>
    <s v="Dance"/>
    <x v="0"/>
  </r>
  <r>
    <x v="1225"/>
    <x v="137"/>
    <x v="1"/>
    <x v="8"/>
    <x v="1"/>
    <n v="8"/>
    <s v="Hyderabad"/>
    <s v="2023-10-31"/>
    <x v="40"/>
    <x v="27"/>
    <x v="46"/>
    <x v="55"/>
    <x v="20"/>
    <x v="31"/>
    <n v="372"/>
    <n v="74.400000000000006"/>
    <x v="1"/>
    <x v="0"/>
    <n v="2953"/>
    <s v="Drama"/>
    <x v="0"/>
  </r>
  <r>
    <x v="1226"/>
    <x v="37"/>
    <x v="0"/>
    <x v="3"/>
    <x v="0"/>
    <n v="6"/>
    <s v="Hyderabad"/>
    <s v="2021-07-21"/>
    <x v="31"/>
    <x v="44"/>
    <x v="17"/>
    <x v="61"/>
    <x v="41"/>
    <x v="18"/>
    <n v="294"/>
    <n v="58.8"/>
    <x v="3"/>
    <x v="1"/>
    <n v="3627"/>
    <s v="Drama"/>
    <x v="0"/>
  </r>
  <r>
    <x v="1227"/>
    <x v="20"/>
    <x v="1"/>
    <x v="1"/>
    <x v="1"/>
    <n v="12"/>
    <s v="Mumbai"/>
    <s v="2025-11-10"/>
    <x v="5"/>
    <x v="42"/>
    <x v="35"/>
    <x v="49"/>
    <x v="48"/>
    <x v="63"/>
    <n v="287"/>
    <n v="57.4"/>
    <x v="3"/>
    <x v="0"/>
    <n v="4859"/>
    <s v="Music"/>
    <x v="0"/>
  </r>
  <r>
    <x v="1228"/>
    <x v="87"/>
    <x v="1"/>
    <x v="0"/>
    <x v="2"/>
    <n v="15"/>
    <s v="Chennai"/>
    <s v="2021-09-29"/>
    <x v="23"/>
    <x v="46"/>
    <x v="5"/>
    <x v="50"/>
    <x v="65"/>
    <x v="53"/>
    <n v="407"/>
    <n v="81.400000000000006"/>
    <x v="2"/>
    <x v="1"/>
    <n v="4145"/>
    <s v="Art"/>
    <x v="0"/>
  </r>
  <r>
    <x v="1229"/>
    <x v="16"/>
    <x v="0"/>
    <x v="10"/>
    <x v="2"/>
    <n v="12"/>
    <s v="Coimbatore"/>
    <s v="2024-01-16"/>
    <x v="12"/>
    <x v="38"/>
    <x v="13"/>
    <x v="51"/>
    <x v="4"/>
    <x v="54"/>
    <n v="342"/>
    <n v="68.400000000000006"/>
    <x v="0"/>
    <x v="0"/>
    <n v="4185"/>
    <s v="Art"/>
    <x v="0"/>
  </r>
  <r>
    <x v="1230"/>
    <x v="91"/>
    <x v="0"/>
    <x v="3"/>
    <x v="0"/>
    <n v="6"/>
    <s v="Hyderabad"/>
    <s v="2024-03-21"/>
    <x v="35"/>
    <x v="24"/>
    <x v="53"/>
    <x v="16"/>
    <x v="1"/>
    <x v="59"/>
    <n v="379"/>
    <n v="75.8"/>
    <x v="1"/>
    <x v="1"/>
    <n v="1976"/>
    <s v="Dance"/>
    <x v="0"/>
  </r>
  <r>
    <x v="1231"/>
    <x v="81"/>
    <x v="1"/>
    <x v="9"/>
    <x v="3"/>
    <n v="14"/>
    <s v="Mumbai"/>
    <s v="2024-03-28"/>
    <x v="27"/>
    <x v="8"/>
    <x v="43"/>
    <x v="54"/>
    <x v="31"/>
    <x v="54"/>
    <n v="381"/>
    <n v="76.2"/>
    <x v="1"/>
    <x v="1"/>
    <n v="3672"/>
    <s v="Music"/>
    <x v="0"/>
  </r>
  <r>
    <x v="1232"/>
    <x v="65"/>
    <x v="0"/>
    <x v="10"/>
    <x v="0"/>
    <n v="12"/>
    <s v="Coimbatore"/>
    <s v="2025-01-07"/>
    <x v="24"/>
    <x v="49"/>
    <x v="46"/>
    <x v="57"/>
    <x v="34"/>
    <x v="36"/>
    <n v="301"/>
    <n v="60.2"/>
    <x v="0"/>
    <x v="1"/>
    <n v="4362"/>
    <s v="Drama"/>
    <x v="0"/>
  </r>
  <r>
    <x v="1233"/>
    <x v="147"/>
    <x v="1"/>
    <x v="1"/>
    <x v="2"/>
    <n v="14"/>
    <s v="Hyderabad"/>
    <s v="2025-12-03"/>
    <x v="21"/>
    <x v="26"/>
    <x v="0"/>
    <x v="62"/>
    <x v="27"/>
    <x v="50"/>
    <n v="366"/>
    <n v="73.2"/>
    <x v="1"/>
    <x v="0"/>
    <n v="2553"/>
    <s v="Sports"/>
    <x v="0"/>
  </r>
  <r>
    <x v="1234"/>
    <x v="34"/>
    <x v="1"/>
    <x v="6"/>
    <x v="0"/>
    <n v="12"/>
    <s v="Bangalore"/>
    <s v="2025-03-23"/>
    <x v="15"/>
    <x v="45"/>
    <x v="1"/>
    <x v="27"/>
    <x v="1"/>
    <x v="38"/>
    <n v="340"/>
    <n v="68"/>
    <x v="0"/>
    <x v="0"/>
    <n v="4459"/>
    <s v="Dance"/>
    <x v="0"/>
  </r>
  <r>
    <x v="1235"/>
    <x v="62"/>
    <x v="0"/>
    <x v="10"/>
    <x v="0"/>
    <n v="13"/>
    <s v="Madurai"/>
    <s v="2025-06-01"/>
    <x v="3"/>
    <x v="31"/>
    <x v="16"/>
    <x v="34"/>
    <x v="49"/>
    <x v="10"/>
    <n v="279"/>
    <n v="55.8"/>
    <x v="3"/>
    <x v="0"/>
    <n v="3478"/>
    <s v="Sports"/>
    <x v="0"/>
  </r>
  <r>
    <x v="1236"/>
    <x v="87"/>
    <x v="1"/>
    <x v="10"/>
    <x v="0"/>
    <n v="13"/>
    <s v="Bangalore"/>
    <s v="2024-12-11"/>
    <x v="3"/>
    <x v="11"/>
    <x v="24"/>
    <x v="61"/>
    <x v="46"/>
    <x v="57"/>
    <n v="314"/>
    <n v="62.8"/>
    <x v="0"/>
    <x v="1"/>
    <n v="4316"/>
    <s v="Drama"/>
    <x v="0"/>
  </r>
  <r>
    <x v="1237"/>
    <x v="79"/>
    <x v="1"/>
    <x v="0"/>
    <x v="2"/>
    <n v="14"/>
    <s v="Coimbatore"/>
    <s v="2021-11-28"/>
    <x v="29"/>
    <x v="35"/>
    <x v="37"/>
    <x v="53"/>
    <x v="26"/>
    <x v="4"/>
    <n v="384"/>
    <n v="76.8"/>
    <x v="1"/>
    <x v="1"/>
    <n v="3062"/>
    <s v="Coding Club"/>
    <x v="0"/>
  </r>
  <r>
    <x v="1238"/>
    <x v="103"/>
    <x v="1"/>
    <x v="5"/>
    <x v="3"/>
    <n v="8"/>
    <s v="Hyderabad"/>
    <s v="2022-11-01"/>
    <x v="34"/>
    <x v="52"/>
    <x v="62"/>
    <x v="44"/>
    <x v="42"/>
    <x v="56"/>
    <n v="258"/>
    <n v="51.6"/>
    <x v="3"/>
    <x v="0"/>
    <n v="4475"/>
    <s v="Coding Club"/>
    <x v="1"/>
  </r>
  <r>
    <x v="1239"/>
    <x v="9"/>
    <x v="0"/>
    <x v="9"/>
    <x v="2"/>
    <n v="13"/>
    <s v="Bangalore"/>
    <s v="2024-12-15"/>
    <x v="0"/>
    <x v="25"/>
    <x v="44"/>
    <x v="44"/>
    <x v="16"/>
    <x v="51"/>
    <n v="376"/>
    <n v="75.2"/>
    <x v="1"/>
    <x v="1"/>
    <n v="2542"/>
    <s v="Sports"/>
    <x v="0"/>
  </r>
  <r>
    <x v="1240"/>
    <x v="145"/>
    <x v="0"/>
    <x v="4"/>
    <x v="3"/>
    <n v="18"/>
    <s v="Hyderabad"/>
    <s v="2023-05-01"/>
    <x v="30"/>
    <x v="64"/>
    <x v="8"/>
    <x v="46"/>
    <x v="48"/>
    <x v="53"/>
    <n v="423"/>
    <n v="84.6"/>
    <x v="2"/>
    <x v="0"/>
    <n v="3921"/>
    <s v="Art"/>
    <x v="0"/>
  </r>
  <r>
    <x v="1241"/>
    <x v="100"/>
    <x v="0"/>
    <x v="8"/>
    <x v="3"/>
    <n v="7"/>
    <s v="Chennai"/>
    <s v="2021-10-03"/>
    <x v="36"/>
    <x v="55"/>
    <x v="43"/>
    <x v="39"/>
    <x v="20"/>
    <x v="21"/>
    <n v="344"/>
    <n v="68.8"/>
    <x v="0"/>
    <x v="0"/>
    <n v="4241"/>
    <s v="Drama"/>
    <x v="0"/>
  </r>
  <r>
    <x v="1242"/>
    <x v="31"/>
    <x v="1"/>
    <x v="0"/>
    <x v="1"/>
    <n v="15"/>
    <s v="Hyderabad"/>
    <s v="2022-11-27"/>
    <x v="4"/>
    <x v="39"/>
    <x v="23"/>
    <x v="24"/>
    <x v="0"/>
    <x v="39"/>
    <n v="289"/>
    <n v="57.8"/>
    <x v="3"/>
    <x v="0"/>
    <n v="2982"/>
    <s v="Music"/>
    <x v="0"/>
  </r>
  <r>
    <x v="1243"/>
    <x v="51"/>
    <x v="0"/>
    <x v="4"/>
    <x v="2"/>
    <n v="17"/>
    <s v="Madurai"/>
    <s v="2022-08-23"/>
    <x v="13"/>
    <x v="19"/>
    <x v="48"/>
    <x v="51"/>
    <x v="42"/>
    <x v="45"/>
    <n v="216"/>
    <n v="43.2"/>
    <x v="4"/>
    <x v="1"/>
    <n v="2774"/>
    <s v="Dance"/>
    <x v="1"/>
  </r>
  <r>
    <x v="1244"/>
    <x v="143"/>
    <x v="1"/>
    <x v="11"/>
    <x v="0"/>
    <n v="15"/>
    <s v="Chennai"/>
    <s v="2023-05-13"/>
    <x v="22"/>
    <x v="26"/>
    <x v="19"/>
    <x v="37"/>
    <x v="38"/>
    <x v="42"/>
    <n v="310"/>
    <n v="62"/>
    <x v="0"/>
    <x v="1"/>
    <n v="2551"/>
    <s v="Sports"/>
    <x v="0"/>
  </r>
  <r>
    <x v="1245"/>
    <x v="143"/>
    <x v="0"/>
    <x v="4"/>
    <x v="3"/>
    <n v="17"/>
    <s v="Pune"/>
    <s v="2021-02-11"/>
    <x v="31"/>
    <x v="40"/>
    <x v="17"/>
    <x v="25"/>
    <x v="46"/>
    <x v="14"/>
    <n v="315"/>
    <n v="63"/>
    <x v="0"/>
    <x v="0"/>
    <n v="3415"/>
    <s v="Drama"/>
    <x v="0"/>
  </r>
  <r>
    <x v="1246"/>
    <x v="83"/>
    <x v="0"/>
    <x v="0"/>
    <x v="0"/>
    <n v="16"/>
    <s v="Mumbai"/>
    <s v="2024-12-02"/>
    <x v="15"/>
    <x v="33"/>
    <x v="49"/>
    <x v="23"/>
    <x v="22"/>
    <x v="13"/>
    <n v="368"/>
    <n v="73.599999999999994"/>
    <x v="1"/>
    <x v="0"/>
    <n v="4140"/>
    <s v="Drama"/>
    <x v="0"/>
  </r>
  <r>
    <x v="1247"/>
    <x v="147"/>
    <x v="0"/>
    <x v="1"/>
    <x v="2"/>
    <n v="13"/>
    <s v="Bangalore"/>
    <s v="2024-06-20"/>
    <x v="8"/>
    <x v="12"/>
    <x v="60"/>
    <x v="11"/>
    <x v="21"/>
    <x v="48"/>
    <n v="324"/>
    <n v="64.8"/>
    <x v="0"/>
    <x v="1"/>
    <n v="2108"/>
    <s v="Drama"/>
    <x v="0"/>
  </r>
  <r>
    <x v="1248"/>
    <x v="130"/>
    <x v="0"/>
    <x v="5"/>
    <x v="0"/>
    <n v="8"/>
    <s v="Chennai"/>
    <s v="2024-10-03"/>
    <x v="8"/>
    <x v="32"/>
    <x v="49"/>
    <x v="51"/>
    <x v="62"/>
    <x v="63"/>
    <n v="271"/>
    <n v="54.2"/>
    <x v="3"/>
    <x v="1"/>
    <n v="2406"/>
    <s v="Dance"/>
    <x v="1"/>
  </r>
  <r>
    <x v="1249"/>
    <x v="32"/>
    <x v="1"/>
    <x v="5"/>
    <x v="2"/>
    <n v="8"/>
    <s v="Chennai"/>
    <s v="2023-10-17"/>
    <x v="31"/>
    <x v="50"/>
    <x v="45"/>
    <x v="37"/>
    <x v="64"/>
    <x v="26"/>
    <n v="329"/>
    <n v="65.8"/>
    <x v="0"/>
    <x v="0"/>
    <n v="3964"/>
    <s v="Drama"/>
    <x v="0"/>
  </r>
  <r>
    <x v="1250"/>
    <x v="18"/>
    <x v="0"/>
    <x v="6"/>
    <x v="3"/>
    <n v="10"/>
    <s v="Madurai"/>
    <s v="2021-09-24"/>
    <x v="29"/>
    <x v="14"/>
    <x v="2"/>
    <x v="8"/>
    <x v="54"/>
    <x v="25"/>
    <n v="345"/>
    <n v="69"/>
    <x v="0"/>
    <x v="0"/>
    <n v="3523"/>
    <s v="Music"/>
    <x v="0"/>
  </r>
  <r>
    <x v="1251"/>
    <x v="113"/>
    <x v="0"/>
    <x v="9"/>
    <x v="2"/>
    <n v="13"/>
    <s v="Chennai"/>
    <s v="2022-11-26"/>
    <x v="31"/>
    <x v="9"/>
    <x v="23"/>
    <x v="34"/>
    <x v="46"/>
    <x v="37"/>
    <n v="342"/>
    <n v="68.400000000000006"/>
    <x v="0"/>
    <x v="0"/>
    <n v="3759"/>
    <s v="Art"/>
    <x v="0"/>
  </r>
  <r>
    <x v="1252"/>
    <x v="6"/>
    <x v="0"/>
    <x v="11"/>
    <x v="3"/>
    <n v="15"/>
    <s v="Bangalore"/>
    <s v="2023-08-03"/>
    <x v="33"/>
    <x v="43"/>
    <x v="53"/>
    <x v="25"/>
    <x v="61"/>
    <x v="11"/>
    <n v="359"/>
    <n v="71.8"/>
    <x v="1"/>
    <x v="1"/>
    <n v="2975"/>
    <s v="Coding Club"/>
    <x v="0"/>
  </r>
  <r>
    <x v="1253"/>
    <x v="41"/>
    <x v="1"/>
    <x v="2"/>
    <x v="1"/>
    <n v="8"/>
    <s v="Bangalore"/>
    <s v="2023-01-19"/>
    <x v="25"/>
    <x v="36"/>
    <x v="0"/>
    <x v="46"/>
    <x v="35"/>
    <x v="43"/>
    <n v="330"/>
    <n v="66"/>
    <x v="0"/>
    <x v="1"/>
    <n v="1587"/>
    <s v="Drama"/>
    <x v="0"/>
  </r>
  <r>
    <x v="1254"/>
    <x v="138"/>
    <x v="0"/>
    <x v="5"/>
    <x v="2"/>
    <n v="8"/>
    <s v="Pune"/>
    <s v="2024-04-06"/>
    <x v="18"/>
    <x v="50"/>
    <x v="31"/>
    <x v="58"/>
    <x v="52"/>
    <x v="57"/>
    <n v="367"/>
    <n v="73.400000000000006"/>
    <x v="1"/>
    <x v="1"/>
    <n v="2576"/>
    <s v="Music"/>
    <x v="0"/>
  </r>
  <r>
    <x v="1255"/>
    <x v="49"/>
    <x v="0"/>
    <x v="0"/>
    <x v="0"/>
    <n v="14"/>
    <s v="Mumbai"/>
    <s v="2021-06-30"/>
    <x v="19"/>
    <x v="52"/>
    <x v="24"/>
    <x v="63"/>
    <x v="61"/>
    <x v="28"/>
    <n v="345"/>
    <n v="69"/>
    <x v="0"/>
    <x v="0"/>
    <n v="2181"/>
    <s v="Sports"/>
    <x v="0"/>
  </r>
  <r>
    <x v="1256"/>
    <x v="114"/>
    <x v="0"/>
    <x v="3"/>
    <x v="0"/>
    <n v="6"/>
    <s v="Chennai"/>
    <s v="2023-01-11"/>
    <x v="29"/>
    <x v="27"/>
    <x v="47"/>
    <x v="40"/>
    <x v="50"/>
    <x v="28"/>
    <n v="298"/>
    <n v="59.6"/>
    <x v="3"/>
    <x v="1"/>
    <n v="3564"/>
    <s v="Drama"/>
    <x v="0"/>
  </r>
  <r>
    <x v="1257"/>
    <x v="149"/>
    <x v="1"/>
    <x v="4"/>
    <x v="2"/>
    <n v="18"/>
    <s v="Coimbatore"/>
    <s v="2022-01-10"/>
    <x v="32"/>
    <x v="14"/>
    <x v="10"/>
    <x v="21"/>
    <x v="56"/>
    <x v="31"/>
    <n v="345"/>
    <n v="69"/>
    <x v="0"/>
    <x v="0"/>
    <n v="3193"/>
    <s v="Dance"/>
    <x v="0"/>
  </r>
  <r>
    <x v="1258"/>
    <x v="99"/>
    <x v="1"/>
    <x v="4"/>
    <x v="3"/>
    <n v="16"/>
    <s v="Hyderabad"/>
    <s v="2022-12-19"/>
    <x v="24"/>
    <x v="49"/>
    <x v="57"/>
    <x v="22"/>
    <x v="10"/>
    <x v="41"/>
    <n v="304"/>
    <n v="60.8"/>
    <x v="0"/>
    <x v="0"/>
    <n v="4853"/>
    <s v="Drama"/>
    <x v="0"/>
  </r>
  <r>
    <x v="1259"/>
    <x v="25"/>
    <x v="1"/>
    <x v="2"/>
    <x v="3"/>
    <n v="9"/>
    <s v="Pune"/>
    <s v="2021-07-13"/>
    <x v="36"/>
    <x v="44"/>
    <x v="62"/>
    <x v="51"/>
    <x v="22"/>
    <x v="64"/>
    <n v="328"/>
    <n v="65.599999999999994"/>
    <x v="0"/>
    <x v="0"/>
    <n v="2539"/>
    <s v="Drama"/>
    <x v="0"/>
  </r>
  <r>
    <x v="1260"/>
    <x v="38"/>
    <x v="0"/>
    <x v="2"/>
    <x v="2"/>
    <n v="8"/>
    <s v="Hyderabad"/>
    <s v="2023-10-09"/>
    <x v="15"/>
    <x v="55"/>
    <x v="22"/>
    <x v="21"/>
    <x v="54"/>
    <x v="38"/>
    <n v="321"/>
    <n v="64.2"/>
    <x v="0"/>
    <x v="1"/>
    <n v="2454"/>
    <s v="Coding Club"/>
    <x v="0"/>
  </r>
  <r>
    <x v="1261"/>
    <x v="55"/>
    <x v="0"/>
    <x v="7"/>
    <x v="2"/>
    <n v="11"/>
    <s v="Mumbai"/>
    <s v="2023-05-11"/>
    <x v="10"/>
    <x v="62"/>
    <x v="44"/>
    <x v="50"/>
    <x v="39"/>
    <x v="45"/>
    <n v="331"/>
    <n v="66.2"/>
    <x v="0"/>
    <x v="0"/>
    <n v="4223"/>
    <s v="Art"/>
    <x v="0"/>
  </r>
  <r>
    <x v="1262"/>
    <x v="30"/>
    <x v="1"/>
    <x v="0"/>
    <x v="2"/>
    <n v="16"/>
    <s v="Bangalore"/>
    <s v="2021-12-29"/>
    <x v="5"/>
    <x v="8"/>
    <x v="11"/>
    <x v="24"/>
    <x v="8"/>
    <x v="27"/>
    <n v="417"/>
    <n v="83.4"/>
    <x v="2"/>
    <x v="0"/>
    <n v="1941"/>
    <s v="Coding Club"/>
    <x v="0"/>
  </r>
  <r>
    <x v="1263"/>
    <x v="106"/>
    <x v="0"/>
    <x v="7"/>
    <x v="0"/>
    <n v="11"/>
    <s v="Mumbai"/>
    <s v="2021-04-25"/>
    <x v="16"/>
    <x v="2"/>
    <x v="64"/>
    <x v="0"/>
    <x v="6"/>
    <x v="57"/>
    <n v="374"/>
    <n v="74.8"/>
    <x v="1"/>
    <x v="0"/>
    <n v="4262"/>
    <s v="Art"/>
    <x v="0"/>
  </r>
  <r>
    <x v="1264"/>
    <x v="70"/>
    <x v="1"/>
    <x v="2"/>
    <x v="0"/>
    <n v="9"/>
    <s v="Chennai"/>
    <s v="2022-01-08"/>
    <x v="0"/>
    <x v="44"/>
    <x v="27"/>
    <x v="31"/>
    <x v="20"/>
    <x v="21"/>
    <n v="336"/>
    <n v="67.2"/>
    <x v="0"/>
    <x v="0"/>
    <n v="3208"/>
    <s v="Coding Club"/>
    <x v="0"/>
  </r>
  <r>
    <x v="1265"/>
    <x v="94"/>
    <x v="0"/>
    <x v="11"/>
    <x v="3"/>
    <n v="16"/>
    <s v="Pune"/>
    <s v="2021-11-06"/>
    <x v="30"/>
    <x v="18"/>
    <x v="51"/>
    <x v="40"/>
    <x v="21"/>
    <x v="3"/>
    <n v="258"/>
    <n v="51.6"/>
    <x v="3"/>
    <x v="1"/>
    <n v="4522"/>
    <s v="Music"/>
    <x v="1"/>
  </r>
  <r>
    <x v="1266"/>
    <x v="24"/>
    <x v="0"/>
    <x v="9"/>
    <x v="0"/>
    <n v="13"/>
    <s v="Pune"/>
    <s v="2021-10-13"/>
    <x v="29"/>
    <x v="8"/>
    <x v="23"/>
    <x v="3"/>
    <x v="19"/>
    <x v="29"/>
    <n v="393"/>
    <n v="78.599999999999994"/>
    <x v="1"/>
    <x v="0"/>
    <n v="3781"/>
    <s v="Art"/>
    <x v="0"/>
  </r>
  <r>
    <x v="1267"/>
    <x v="43"/>
    <x v="1"/>
    <x v="3"/>
    <x v="0"/>
    <n v="6"/>
    <s v="Mumbai"/>
    <s v="2025-03-26"/>
    <x v="36"/>
    <x v="15"/>
    <x v="41"/>
    <x v="12"/>
    <x v="53"/>
    <x v="4"/>
    <n v="357"/>
    <n v="71.400000000000006"/>
    <x v="1"/>
    <x v="0"/>
    <n v="4855"/>
    <s v="Art"/>
    <x v="0"/>
  </r>
  <r>
    <x v="1268"/>
    <x v="10"/>
    <x v="1"/>
    <x v="8"/>
    <x v="1"/>
    <n v="9"/>
    <s v="Coimbatore"/>
    <s v="2025-03-03"/>
    <x v="29"/>
    <x v="62"/>
    <x v="4"/>
    <x v="9"/>
    <x v="16"/>
    <x v="52"/>
    <n v="326"/>
    <n v="65.2"/>
    <x v="0"/>
    <x v="0"/>
    <n v="2727"/>
    <s v="Drama"/>
    <x v="0"/>
  </r>
  <r>
    <x v="1269"/>
    <x v="74"/>
    <x v="1"/>
    <x v="0"/>
    <x v="2"/>
    <n v="16"/>
    <s v="Hyderabad"/>
    <s v="2025-01-07"/>
    <x v="14"/>
    <x v="8"/>
    <x v="21"/>
    <x v="60"/>
    <x v="17"/>
    <x v="32"/>
    <n v="381"/>
    <n v="76.2"/>
    <x v="1"/>
    <x v="1"/>
    <n v="4591"/>
    <s v="Drama"/>
    <x v="0"/>
  </r>
  <r>
    <x v="1270"/>
    <x v="42"/>
    <x v="0"/>
    <x v="1"/>
    <x v="1"/>
    <n v="12"/>
    <s v="Coimbatore"/>
    <s v="2023-04-08"/>
    <x v="19"/>
    <x v="62"/>
    <x v="48"/>
    <x v="60"/>
    <x v="52"/>
    <x v="58"/>
    <n v="261"/>
    <n v="52.2"/>
    <x v="3"/>
    <x v="1"/>
    <n v="2030"/>
    <s v="Music"/>
    <x v="1"/>
  </r>
  <r>
    <x v="1271"/>
    <x v="123"/>
    <x v="0"/>
    <x v="6"/>
    <x v="0"/>
    <n v="11"/>
    <s v="Madurai"/>
    <s v="2025-01-28"/>
    <x v="7"/>
    <x v="54"/>
    <x v="65"/>
    <x v="10"/>
    <x v="1"/>
    <x v="20"/>
    <n v="432"/>
    <n v="86.4"/>
    <x v="2"/>
    <x v="1"/>
    <n v="3778"/>
    <s v="Coding Club"/>
    <x v="0"/>
  </r>
  <r>
    <x v="1272"/>
    <x v="125"/>
    <x v="0"/>
    <x v="10"/>
    <x v="1"/>
    <n v="13"/>
    <s v="Chennai"/>
    <s v="2025-03-21"/>
    <x v="37"/>
    <x v="49"/>
    <x v="22"/>
    <x v="45"/>
    <x v="33"/>
    <x v="33"/>
    <n v="331"/>
    <n v="66.2"/>
    <x v="0"/>
    <x v="1"/>
    <n v="2268"/>
    <s v="Art"/>
    <x v="0"/>
  </r>
  <r>
    <x v="1273"/>
    <x v="16"/>
    <x v="1"/>
    <x v="1"/>
    <x v="3"/>
    <n v="12"/>
    <s v="Mumbai"/>
    <s v="2023-07-12"/>
    <x v="33"/>
    <x v="9"/>
    <x v="7"/>
    <x v="64"/>
    <x v="25"/>
    <x v="13"/>
    <n v="361"/>
    <n v="72.2"/>
    <x v="1"/>
    <x v="0"/>
    <n v="4133"/>
    <s v="Music"/>
    <x v="0"/>
  </r>
  <r>
    <x v="1274"/>
    <x v="106"/>
    <x v="1"/>
    <x v="11"/>
    <x v="2"/>
    <n v="15"/>
    <s v="Coimbatore"/>
    <s v="2021-06-02"/>
    <x v="39"/>
    <x v="34"/>
    <x v="50"/>
    <x v="41"/>
    <x v="26"/>
    <x v="5"/>
    <n v="371"/>
    <n v="74.2"/>
    <x v="1"/>
    <x v="1"/>
    <n v="1972"/>
    <s v="Art"/>
    <x v="0"/>
  </r>
  <r>
    <x v="1275"/>
    <x v="62"/>
    <x v="1"/>
    <x v="5"/>
    <x v="1"/>
    <n v="8"/>
    <s v="Madurai"/>
    <s v="2025-10-21"/>
    <x v="40"/>
    <x v="24"/>
    <x v="59"/>
    <x v="37"/>
    <x v="30"/>
    <x v="53"/>
    <n v="359"/>
    <n v="71.8"/>
    <x v="1"/>
    <x v="0"/>
    <n v="1991"/>
    <s v="Art"/>
    <x v="0"/>
  </r>
  <r>
    <x v="1276"/>
    <x v="104"/>
    <x v="0"/>
    <x v="0"/>
    <x v="1"/>
    <n v="14"/>
    <s v="Pune"/>
    <s v="2025-01-04"/>
    <x v="23"/>
    <x v="3"/>
    <x v="40"/>
    <x v="41"/>
    <x v="15"/>
    <x v="23"/>
    <n v="416"/>
    <n v="83.2"/>
    <x v="2"/>
    <x v="1"/>
    <n v="1910"/>
    <s v="Drama"/>
    <x v="0"/>
  </r>
  <r>
    <x v="1277"/>
    <x v="50"/>
    <x v="0"/>
    <x v="4"/>
    <x v="1"/>
    <n v="16"/>
    <s v="Hyderabad"/>
    <s v="2024-02-19"/>
    <x v="21"/>
    <x v="31"/>
    <x v="53"/>
    <x v="53"/>
    <x v="50"/>
    <x v="7"/>
    <n v="337"/>
    <n v="67.400000000000006"/>
    <x v="0"/>
    <x v="0"/>
    <n v="2500"/>
    <s v="Music"/>
    <x v="0"/>
  </r>
  <r>
    <x v="1278"/>
    <x v="39"/>
    <x v="0"/>
    <x v="10"/>
    <x v="1"/>
    <n v="12"/>
    <s v="Madurai"/>
    <s v="2023-07-13"/>
    <x v="24"/>
    <x v="10"/>
    <x v="25"/>
    <x v="51"/>
    <x v="39"/>
    <x v="56"/>
    <n v="305"/>
    <n v="61"/>
    <x v="0"/>
    <x v="1"/>
    <n v="3793"/>
    <s v="Music"/>
    <x v="0"/>
  </r>
  <r>
    <x v="1279"/>
    <x v="50"/>
    <x v="1"/>
    <x v="10"/>
    <x v="2"/>
    <n v="12"/>
    <s v="Coimbatore"/>
    <s v="2022-03-04"/>
    <x v="15"/>
    <x v="9"/>
    <x v="19"/>
    <x v="63"/>
    <x v="7"/>
    <x v="62"/>
    <n v="367"/>
    <n v="73.400000000000006"/>
    <x v="1"/>
    <x v="0"/>
    <n v="3722"/>
    <s v="Music"/>
    <x v="0"/>
  </r>
  <r>
    <x v="1280"/>
    <x v="31"/>
    <x v="1"/>
    <x v="0"/>
    <x v="1"/>
    <n v="14"/>
    <s v="Mumbai"/>
    <s v="2024-07-30"/>
    <x v="7"/>
    <x v="61"/>
    <x v="24"/>
    <x v="24"/>
    <x v="8"/>
    <x v="54"/>
    <n v="289"/>
    <n v="57.8"/>
    <x v="3"/>
    <x v="0"/>
    <n v="1654"/>
    <s v="Sports"/>
    <x v="0"/>
  </r>
  <r>
    <x v="1281"/>
    <x v="4"/>
    <x v="0"/>
    <x v="4"/>
    <x v="0"/>
    <n v="18"/>
    <s v="Bangalore"/>
    <s v="2024-07-22"/>
    <x v="13"/>
    <x v="38"/>
    <x v="65"/>
    <x v="54"/>
    <x v="22"/>
    <x v="3"/>
    <n v="423"/>
    <n v="84.6"/>
    <x v="2"/>
    <x v="1"/>
    <n v="4536"/>
    <s v="Sports"/>
    <x v="0"/>
  </r>
  <r>
    <x v="1282"/>
    <x v="76"/>
    <x v="0"/>
    <x v="1"/>
    <x v="0"/>
    <n v="14"/>
    <s v="Madurai"/>
    <s v="2023-08-04"/>
    <x v="29"/>
    <x v="21"/>
    <x v="13"/>
    <x v="33"/>
    <x v="5"/>
    <x v="56"/>
    <n v="370"/>
    <n v="74"/>
    <x v="1"/>
    <x v="1"/>
    <n v="2614"/>
    <s v="Drama"/>
    <x v="0"/>
  </r>
  <r>
    <x v="1283"/>
    <x v="49"/>
    <x v="1"/>
    <x v="8"/>
    <x v="0"/>
    <n v="7"/>
    <s v="Bangalore"/>
    <s v="2022-06-04"/>
    <x v="1"/>
    <x v="30"/>
    <x v="61"/>
    <x v="56"/>
    <x v="1"/>
    <x v="45"/>
    <n v="344"/>
    <n v="68.8"/>
    <x v="0"/>
    <x v="0"/>
    <n v="1886"/>
    <s v="Coding Club"/>
    <x v="0"/>
  </r>
  <r>
    <x v="1284"/>
    <x v="54"/>
    <x v="0"/>
    <x v="0"/>
    <x v="1"/>
    <n v="15"/>
    <s v="Chennai"/>
    <s v="2022-09-20"/>
    <x v="6"/>
    <x v="58"/>
    <x v="53"/>
    <x v="19"/>
    <x v="35"/>
    <x v="35"/>
    <n v="254"/>
    <n v="50.8"/>
    <x v="3"/>
    <x v="1"/>
    <n v="2748"/>
    <s v="Music"/>
    <x v="1"/>
  </r>
  <r>
    <x v="1285"/>
    <x v="8"/>
    <x v="1"/>
    <x v="9"/>
    <x v="3"/>
    <n v="15"/>
    <s v="Mumbai"/>
    <s v="2021-09-18"/>
    <x v="10"/>
    <x v="19"/>
    <x v="57"/>
    <x v="11"/>
    <x v="32"/>
    <x v="7"/>
    <n v="312"/>
    <n v="62.4"/>
    <x v="0"/>
    <x v="1"/>
    <n v="4842"/>
    <s v="Drama"/>
    <x v="0"/>
  </r>
  <r>
    <x v="1286"/>
    <x v="71"/>
    <x v="0"/>
    <x v="10"/>
    <x v="3"/>
    <n v="12"/>
    <s v="Coimbatore"/>
    <s v="2024-05-17"/>
    <x v="14"/>
    <x v="57"/>
    <x v="47"/>
    <x v="63"/>
    <x v="7"/>
    <x v="46"/>
    <n v="346"/>
    <n v="69.2"/>
    <x v="0"/>
    <x v="1"/>
    <n v="2071"/>
    <s v="Art"/>
    <x v="0"/>
  </r>
  <r>
    <x v="1287"/>
    <x v="86"/>
    <x v="1"/>
    <x v="9"/>
    <x v="1"/>
    <n v="13"/>
    <s v="Pune"/>
    <s v="2022-08-08"/>
    <x v="34"/>
    <x v="7"/>
    <x v="21"/>
    <x v="31"/>
    <x v="58"/>
    <x v="62"/>
    <n v="338"/>
    <n v="67.599999999999994"/>
    <x v="0"/>
    <x v="1"/>
    <n v="3112"/>
    <s v="Music"/>
    <x v="0"/>
  </r>
  <r>
    <x v="1288"/>
    <x v="73"/>
    <x v="0"/>
    <x v="11"/>
    <x v="3"/>
    <n v="17"/>
    <s v="Coimbatore"/>
    <s v="2022-01-31"/>
    <x v="34"/>
    <x v="46"/>
    <x v="59"/>
    <x v="60"/>
    <x v="57"/>
    <x v="42"/>
    <n v="426"/>
    <n v="85.2"/>
    <x v="2"/>
    <x v="1"/>
    <n v="3835"/>
    <s v="Sports"/>
    <x v="0"/>
  </r>
  <r>
    <x v="1289"/>
    <x v="46"/>
    <x v="1"/>
    <x v="4"/>
    <x v="2"/>
    <n v="17"/>
    <s v="Bangalore"/>
    <s v="2021-01-20"/>
    <x v="30"/>
    <x v="17"/>
    <x v="25"/>
    <x v="30"/>
    <x v="41"/>
    <x v="37"/>
    <n v="351"/>
    <n v="70.2"/>
    <x v="1"/>
    <x v="0"/>
    <n v="3220"/>
    <s v="Coding Club"/>
    <x v="0"/>
  </r>
  <r>
    <x v="1290"/>
    <x v="7"/>
    <x v="0"/>
    <x v="8"/>
    <x v="0"/>
    <n v="9"/>
    <s v="Hyderabad"/>
    <s v="2024-10-01"/>
    <x v="19"/>
    <x v="62"/>
    <x v="24"/>
    <x v="21"/>
    <x v="8"/>
    <x v="1"/>
    <n v="299"/>
    <n v="59.8"/>
    <x v="3"/>
    <x v="0"/>
    <n v="1583"/>
    <s v="Coding Club"/>
    <x v="0"/>
  </r>
  <r>
    <x v="1291"/>
    <x v="104"/>
    <x v="0"/>
    <x v="3"/>
    <x v="3"/>
    <n v="7"/>
    <s v="Bangalore"/>
    <s v="2023-09-14"/>
    <x v="14"/>
    <x v="64"/>
    <x v="64"/>
    <x v="43"/>
    <x v="6"/>
    <x v="40"/>
    <n v="378"/>
    <n v="75.599999999999994"/>
    <x v="1"/>
    <x v="1"/>
    <n v="4778"/>
    <s v="Coding Club"/>
    <x v="0"/>
  </r>
  <r>
    <x v="1292"/>
    <x v="133"/>
    <x v="1"/>
    <x v="6"/>
    <x v="2"/>
    <n v="12"/>
    <s v="Mumbai"/>
    <s v="2024-05-02"/>
    <x v="36"/>
    <x v="14"/>
    <x v="25"/>
    <x v="14"/>
    <x v="59"/>
    <x v="56"/>
    <n v="366"/>
    <n v="73.2"/>
    <x v="1"/>
    <x v="0"/>
    <n v="3568"/>
    <s v="Music"/>
    <x v="0"/>
  </r>
  <r>
    <x v="1293"/>
    <x v="81"/>
    <x v="1"/>
    <x v="7"/>
    <x v="3"/>
    <n v="11"/>
    <s v="Hyderabad"/>
    <s v="2024-03-11"/>
    <x v="5"/>
    <x v="63"/>
    <x v="52"/>
    <x v="55"/>
    <x v="44"/>
    <x v="0"/>
    <n v="401"/>
    <n v="80.2"/>
    <x v="2"/>
    <x v="0"/>
    <n v="3797"/>
    <s v="Music"/>
    <x v="0"/>
  </r>
  <r>
    <x v="1294"/>
    <x v="139"/>
    <x v="0"/>
    <x v="1"/>
    <x v="2"/>
    <n v="14"/>
    <s v="Madurai"/>
    <s v="2022-04-22"/>
    <x v="17"/>
    <x v="43"/>
    <x v="6"/>
    <x v="8"/>
    <x v="47"/>
    <x v="54"/>
    <n v="336"/>
    <n v="67.2"/>
    <x v="0"/>
    <x v="0"/>
    <n v="3430"/>
    <s v="Music"/>
    <x v="0"/>
  </r>
  <r>
    <x v="1295"/>
    <x v="62"/>
    <x v="1"/>
    <x v="1"/>
    <x v="3"/>
    <n v="13"/>
    <s v="Hyderabad"/>
    <s v="2024-04-21"/>
    <x v="5"/>
    <x v="50"/>
    <x v="25"/>
    <x v="42"/>
    <x v="33"/>
    <x v="58"/>
    <n v="264"/>
    <n v="52.8"/>
    <x v="3"/>
    <x v="1"/>
    <n v="2051"/>
    <s v="Music"/>
    <x v="1"/>
  </r>
  <r>
    <x v="1296"/>
    <x v="87"/>
    <x v="1"/>
    <x v="3"/>
    <x v="1"/>
    <n v="7"/>
    <s v="Chennai"/>
    <s v="2025-04-24"/>
    <x v="11"/>
    <x v="57"/>
    <x v="22"/>
    <x v="20"/>
    <x v="25"/>
    <x v="63"/>
    <n v="306"/>
    <n v="61.2"/>
    <x v="0"/>
    <x v="1"/>
    <n v="1508"/>
    <s v="Art"/>
    <x v="0"/>
  </r>
  <r>
    <x v="1297"/>
    <x v="70"/>
    <x v="0"/>
    <x v="1"/>
    <x v="0"/>
    <n v="12"/>
    <s v="Madurai"/>
    <s v="2021-06-25"/>
    <x v="21"/>
    <x v="59"/>
    <x v="64"/>
    <x v="37"/>
    <x v="8"/>
    <x v="59"/>
    <n v="347"/>
    <n v="69.400000000000006"/>
    <x v="0"/>
    <x v="0"/>
    <n v="4172"/>
    <s v="Drama"/>
    <x v="0"/>
  </r>
  <r>
    <x v="1298"/>
    <x v="106"/>
    <x v="0"/>
    <x v="6"/>
    <x v="3"/>
    <n v="12"/>
    <s v="Madurai"/>
    <s v="2021-07-20"/>
    <x v="10"/>
    <x v="26"/>
    <x v="24"/>
    <x v="55"/>
    <x v="19"/>
    <x v="48"/>
    <n v="291"/>
    <n v="58.2"/>
    <x v="3"/>
    <x v="0"/>
    <n v="1551"/>
    <s v="Art"/>
    <x v="0"/>
  </r>
  <r>
    <x v="1299"/>
    <x v="125"/>
    <x v="0"/>
    <x v="4"/>
    <x v="2"/>
    <n v="16"/>
    <s v="Hyderabad"/>
    <s v="2024-01-26"/>
    <x v="0"/>
    <x v="61"/>
    <x v="59"/>
    <x v="28"/>
    <x v="13"/>
    <x v="64"/>
    <n v="281"/>
    <n v="56.2"/>
    <x v="3"/>
    <x v="1"/>
    <n v="2818"/>
    <s v="Coding Club"/>
    <x v="0"/>
  </r>
  <r>
    <x v="1300"/>
    <x v="118"/>
    <x v="1"/>
    <x v="1"/>
    <x v="1"/>
    <n v="14"/>
    <s v="Bangalore"/>
    <s v="2023-08-12"/>
    <x v="39"/>
    <x v="18"/>
    <x v="30"/>
    <x v="21"/>
    <x v="5"/>
    <x v="28"/>
    <n v="292"/>
    <n v="58.4"/>
    <x v="3"/>
    <x v="1"/>
    <n v="2796"/>
    <s v="Drama"/>
    <x v="0"/>
  </r>
  <r>
    <x v="1301"/>
    <x v="7"/>
    <x v="1"/>
    <x v="10"/>
    <x v="2"/>
    <n v="11"/>
    <s v="Chennai"/>
    <s v="2022-07-27"/>
    <x v="13"/>
    <x v="23"/>
    <x v="36"/>
    <x v="34"/>
    <x v="15"/>
    <x v="31"/>
    <n v="373"/>
    <n v="74.599999999999994"/>
    <x v="1"/>
    <x v="1"/>
    <n v="4677"/>
    <s v="Dance"/>
    <x v="0"/>
  </r>
  <r>
    <x v="1302"/>
    <x v="74"/>
    <x v="0"/>
    <x v="5"/>
    <x v="2"/>
    <n v="7"/>
    <s v="Chennai"/>
    <s v="2024-06-13"/>
    <x v="39"/>
    <x v="31"/>
    <x v="37"/>
    <x v="47"/>
    <x v="39"/>
    <x v="20"/>
    <n v="341"/>
    <n v="68.2"/>
    <x v="0"/>
    <x v="0"/>
    <n v="2229"/>
    <s v="Art"/>
    <x v="0"/>
  </r>
  <r>
    <x v="1303"/>
    <x v="8"/>
    <x v="0"/>
    <x v="4"/>
    <x v="0"/>
    <n v="16"/>
    <s v="Coimbatore"/>
    <s v="2023-05-11"/>
    <x v="24"/>
    <x v="14"/>
    <x v="9"/>
    <x v="59"/>
    <x v="43"/>
    <x v="26"/>
    <n v="314"/>
    <n v="62.8"/>
    <x v="0"/>
    <x v="1"/>
    <n v="4772"/>
    <s v="Art"/>
    <x v="0"/>
  </r>
  <r>
    <x v="1304"/>
    <x v="64"/>
    <x v="1"/>
    <x v="7"/>
    <x v="1"/>
    <n v="10"/>
    <s v="Bangalore"/>
    <s v="2024-08-18"/>
    <x v="32"/>
    <x v="17"/>
    <x v="22"/>
    <x v="16"/>
    <x v="29"/>
    <x v="25"/>
    <n v="348"/>
    <n v="69.599999999999994"/>
    <x v="0"/>
    <x v="1"/>
    <n v="1647"/>
    <s v="Drama"/>
    <x v="0"/>
  </r>
  <r>
    <x v="1305"/>
    <x v="130"/>
    <x v="0"/>
    <x v="0"/>
    <x v="3"/>
    <n v="14"/>
    <s v="Coimbatore"/>
    <s v="2021-12-09"/>
    <x v="25"/>
    <x v="24"/>
    <x v="28"/>
    <x v="22"/>
    <x v="54"/>
    <x v="34"/>
    <n v="355"/>
    <n v="71"/>
    <x v="1"/>
    <x v="1"/>
    <n v="1582"/>
    <s v="Coding Club"/>
    <x v="0"/>
  </r>
  <r>
    <x v="1306"/>
    <x v="72"/>
    <x v="0"/>
    <x v="4"/>
    <x v="0"/>
    <n v="17"/>
    <s v="Madurai"/>
    <s v="2024-05-28"/>
    <x v="2"/>
    <x v="50"/>
    <x v="60"/>
    <x v="2"/>
    <x v="20"/>
    <x v="11"/>
    <n v="284"/>
    <n v="56.8"/>
    <x v="3"/>
    <x v="0"/>
    <n v="4524"/>
    <s v="Coding Club"/>
    <x v="0"/>
  </r>
  <r>
    <x v="1307"/>
    <x v="28"/>
    <x v="1"/>
    <x v="4"/>
    <x v="1"/>
    <n v="17"/>
    <s v="Mumbai"/>
    <s v="2025-08-16"/>
    <x v="39"/>
    <x v="2"/>
    <x v="37"/>
    <x v="18"/>
    <x v="20"/>
    <x v="49"/>
    <n v="371"/>
    <n v="74.2"/>
    <x v="1"/>
    <x v="0"/>
    <n v="1919"/>
    <s v="Dance"/>
    <x v="0"/>
  </r>
  <r>
    <x v="1308"/>
    <x v="4"/>
    <x v="1"/>
    <x v="1"/>
    <x v="2"/>
    <n v="12"/>
    <s v="Hyderabad"/>
    <s v="2022-04-21"/>
    <x v="39"/>
    <x v="45"/>
    <x v="55"/>
    <x v="4"/>
    <x v="7"/>
    <x v="63"/>
    <n v="325"/>
    <n v="65"/>
    <x v="0"/>
    <x v="1"/>
    <n v="3129"/>
    <s v="Sports"/>
    <x v="0"/>
  </r>
  <r>
    <x v="1309"/>
    <x v="86"/>
    <x v="0"/>
    <x v="5"/>
    <x v="2"/>
    <n v="6"/>
    <s v="Chennai"/>
    <s v="2025-08-28"/>
    <x v="21"/>
    <x v="61"/>
    <x v="54"/>
    <x v="17"/>
    <x v="46"/>
    <x v="45"/>
    <n v="280"/>
    <n v="56"/>
    <x v="3"/>
    <x v="1"/>
    <n v="4306"/>
    <s v="Dance"/>
    <x v="0"/>
  </r>
  <r>
    <x v="1310"/>
    <x v="135"/>
    <x v="0"/>
    <x v="8"/>
    <x v="2"/>
    <n v="7"/>
    <s v="Mumbai"/>
    <s v="2021-12-28"/>
    <x v="40"/>
    <x v="6"/>
    <x v="53"/>
    <x v="6"/>
    <x v="3"/>
    <x v="37"/>
    <n v="393"/>
    <n v="78.599999999999994"/>
    <x v="1"/>
    <x v="0"/>
    <n v="4755"/>
    <s v="Music"/>
    <x v="0"/>
  </r>
  <r>
    <x v="1311"/>
    <x v="56"/>
    <x v="0"/>
    <x v="3"/>
    <x v="3"/>
    <n v="6"/>
    <s v="Madurai"/>
    <s v="2022-03-10"/>
    <x v="16"/>
    <x v="2"/>
    <x v="63"/>
    <x v="31"/>
    <x v="8"/>
    <x v="56"/>
    <n v="396"/>
    <n v="79.2"/>
    <x v="1"/>
    <x v="1"/>
    <n v="1701"/>
    <s v="Sports"/>
    <x v="0"/>
  </r>
  <r>
    <x v="1312"/>
    <x v="87"/>
    <x v="1"/>
    <x v="9"/>
    <x v="0"/>
    <n v="14"/>
    <s v="Chennai"/>
    <s v="2022-01-09"/>
    <x v="22"/>
    <x v="63"/>
    <x v="9"/>
    <x v="40"/>
    <x v="37"/>
    <x v="64"/>
    <n v="266"/>
    <n v="53.2"/>
    <x v="3"/>
    <x v="0"/>
    <n v="4992"/>
    <s v="Coding Club"/>
    <x v="1"/>
  </r>
  <r>
    <x v="1313"/>
    <x v="40"/>
    <x v="0"/>
    <x v="3"/>
    <x v="1"/>
    <n v="7"/>
    <s v="Coimbatore"/>
    <s v="2023-10-24"/>
    <x v="8"/>
    <x v="46"/>
    <x v="12"/>
    <x v="20"/>
    <x v="24"/>
    <x v="1"/>
    <n v="417"/>
    <n v="83.4"/>
    <x v="2"/>
    <x v="1"/>
    <n v="4864"/>
    <s v="Drama"/>
    <x v="0"/>
  </r>
  <r>
    <x v="1314"/>
    <x v="59"/>
    <x v="1"/>
    <x v="6"/>
    <x v="0"/>
    <n v="10"/>
    <s v="Mumbai"/>
    <s v="2022-01-28"/>
    <x v="14"/>
    <x v="51"/>
    <x v="25"/>
    <x v="17"/>
    <x v="41"/>
    <x v="33"/>
    <n v="333"/>
    <n v="66.599999999999994"/>
    <x v="0"/>
    <x v="1"/>
    <n v="4349"/>
    <s v="Music"/>
    <x v="0"/>
  </r>
  <r>
    <x v="1315"/>
    <x v="62"/>
    <x v="0"/>
    <x v="9"/>
    <x v="3"/>
    <n v="14"/>
    <s v="Hyderabad"/>
    <s v="2022-02-16"/>
    <x v="1"/>
    <x v="18"/>
    <x v="27"/>
    <x v="62"/>
    <x v="46"/>
    <x v="61"/>
    <n v="345"/>
    <n v="69"/>
    <x v="0"/>
    <x v="1"/>
    <n v="2019"/>
    <s v="Art"/>
    <x v="0"/>
  </r>
  <r>
    <x v="1316"/>
    <x v="74"/>
    <x v="1"/>
    <x v="3"/>
    <x v="0"/>
    <n v="6"/>
    <s v="Hyderabad"/>
    <s v="2021-11-25"/>
    <x v="2"/>
    <x v="22"/>
    <x v="29"/>
    <x v="25"/>
    <x v="27"/>
    <x v="39"/>
    <n v="404"/>
    <n v="80.8"/>
    <x v="2"/>
    <x v="0"/>
    <n v="2045"/>
    <s v="Dance"/>
    <x v="0"/>
  </r>
  <r>
    <x v="1317"/>
    <x v="121"/>
    <x v="0"/>
    <x v="6"/>
    <x v="2"/>
    <n v="10"/>
    <s v="Mumbai"/>
    <s v="2023-10-18"/>
    <x v="40"/>
    <x v="42"/>
    <x v="28"/>
    <x v="27"/>
    <x v="24"/>
    <x v="14"/>
    <n v="374"/>
    <n v="74.8"/>
    <x v="1"/>
    <x v="0"/>
    <n v="4235"/>
    <s v="Coding Club"/>
    <x v="0"/>
  </r>
  <r>
    <x v="1318"/>
    <x v="131"/>
    <x v="0"/>
    <x v="6"/>
    <x v="1"/>
    <n v="11"/>
    <s v="Hyderabad"/>
    <s v="2023-11-10"/>
    <x v="13"/>
    <x v="28"/>
    <x v="11"/>
    <x v="51"/>
    <x v="5"/>
    <x v="15"/>
    <n v="342"/>
    <n v="68.400000000000006"/>
    <x v="0"/>
    <x v="0"/>
    <n v="3719"/>
    <s v="Art"/>
    <x v="0"/>
  </r>
  <r>
    <x v="1319"/>
    <x v="22"/>
    <x v="0"/>
    <x v="7"/>
    <x v="2"/>
    <n v="9"/>
    <s v="Hyderabad"/>
    <s v="2021-02-14"/>
    <x v="23"/>
    <x v="25"/>
    <x v="14"/>
    <x v="52"/>
    <x v="17"/>
    <x v="17"/>
    <n v="350"/>
    <n v="70"/>
    <x v="1"/>
    <x v="0"/>
    <n v="4382"/>
    <s v="Coding Club"/>
    <x v="0"/>
  </r>
  <r>
    <x v="1320"/>
    <x v="27"/>
    <x v="0"/>
    <x v="11"/>
    <x v="0"/>
    <n v="15"/>
    <s v="Chennai"/>
    <s v="2021-07-18"/>
    <x v="13"/>
    <x v="59"/>
    <x v="58"/>
    <x v="2"/>
    <x v="9"/>
    <x v="17"/>
    <n v="304"/>
    <n v="60.8"/>
    <x v="0"/>
    <x v="0"/>
    <n v="2414"/>
    <s v="Art"/>
    <x v="0"/>
  </r>
  <r>
    <x v="1321"/>
    <x v="41"/>
    <x v="1"/>
    <x v="10"/>
    <x v="1"/>
    <n v="11"/>
    <s v="Pune"/>
    <s v="2023-07-24"/>
    <x v="0"/>
    <x v="14"/>
    <x v="11"/>
    <x v="29"/>
    <x v="48"/>
    <x v="18"/>
    <n v="407"/>
    <n v="81.400000000000006"/>
    <x v="2"/>
    <x v="1"/>
    <n v="1620"/>
    <s v="Art"/>
    <x v="0"/>
  </r>
  <r>
    <x v="1322"/>
    <x v="149"/>
    <x v="0"/>
    <x v="3"/>
    <x v="1"/>
    <n v="6"/>
    <s v="Madurai"/>
    <s v="2024-12-23"/>
    <x v="14"/>
    <x v="47"/>
    <x v="31"/>
    <x v="61"/>
    <x v="52"/>
    <x v="19"/>
    <n v="350"/>
    <n v="70"/>
    <x v="1"/>
    <x v="0"/>
    <n v="4423"/>
    <s v="Sports"/>
    <x v="0"/>
  </r>
  <r>
    <x v="1323"/>
    <x v="53"/>
    <x v="0"/>
    <x v="2"/>
    <x v="0"/>
    <n v="8"/>
    <s v="Chennai"/>
    <s v="2021-03-02"/>
    <x v="8"/>
    <x v="17"/>
    <x v="47"/>
    <x v="23"/>
    <x v="6"/>
    <x v="37"/>
    <n v="372"/>
    <n v="74.400000000000006"/>
    <x v="1"/>
    <x v="0"/>
    <n v="1828"/>
    <s v="Coding Club"/>
    <x v="0"/>
  </r>
  <r>
    <x v="1324"/>
    <x v="132"/>
    <x v="0"/>
    <x v="8"/>
    <x v="1"/>
    <n v="8"/>
    <s v="Pune"/>
    <s v="2022-04-30"/>
    <x v="1"/>
    <x v="48"/>
    <x v="42"/>
    <x v="46"/>
    <x v="6"/>
    <x v="55"/>
    <n v="397"/>
    <n v="79.400000000000006"/>
    <x v="1"/>
    <x v="0"/>
    <n v="4933"/>
    <s v="Dance"/>
    <x v="0"/>
  </r>
  <r>
    <x v="1325"/>
    <x v="14"/>
    <x v="1"/>
    <x v="1"/>
    <x v="0"/>
    <n v="13"/>
    <s v="Pune"/>
    <s v="2023-07-24"/>
    <x v="9"/>
    <x v="47"/>
    <x v="19"/>
    <x v="11"/>
    <x v="36"/>
    <x v="10"/>
    <n v="362"/>
    <n v="72.400000000000006"/>
    <x v="1"/>
    <x v="0"/>
    <n v="2518"/>
    <s v="Art"/>
    <x v="0"/>
  </r>
  <r>
    <x v="1326"/>
    <x v="81"/>
    <x v="1"/>
    <x v="4"/>
    <x v="3"/>
    <n v="17"/>
    <s v="Chennai"/>
    <s v="2025-05-07"/>
    <x v="16"/>
    <x v="15"/>
    <x v="47"/>
    <x v="55"/>
    <x v="0"/>
    <x v="42"/>
    <n v="328"/>
    <n v="65.599999999999994"/>
    <x v="0"/>
    <x v="0"/>
    <n v="3045"/>
    <s v="Music"/>
    <x v="0"/>
  </r>
  <r>
    <x v="1327"/>
    <x v="26"/>
    <x v="0"/>
    <x v="10"/>
    <x v="0"/>
    <n v="12"/>
    <s v="Pune"/>
    <s v="2025-08-23"/>
    <x v="36"/>
    <x v="46"/>
    <x v="47"/>
    <x v="54"/>
    <x v="24"/>
    <x v="34"/>
    <n v="402"/>
    <n v="80.400000000000006"/>
    <x v="2"/>
    <x v="1"/>
    <n v="3656"/>
    <s v="Music"/>
    <x v="0"/>
  </r>
  <r>
    <x v="1328"/>
    <x v="79"/>
    <x v="0"/>
    <x v="0"/>
    <x v="3"/>
    <n v="16"/>
    <s v="Chennai"/>
    <s v="2024-07-12"/>
    <x v="40"/>
    <x v="5"/>
    <x v="5"/>
    <x v="16"/>
    <x v="15"/>
    <x v="16"/>
    <n v="393"/>
    <n v="78.599999999999994"/>
    <x v="1"/>
    <x v="1"/>
    <n v="4605"/>
    <s v="Drama"/>
    <x v="0"/>
  </r>
  <r>
    <x v="1329"/>
    <x v="20"/>
    <x v="1"/>
    <x v="4"/>
    <x v="3"/>
    <n v="18"/>
    <s v="Pune"/>
    <s v="2025-04-08"/>
    <x v="13"/>
    <x v="3"/>
    <x v="22"/>
    <x v="30"/>
    <x v="53"/>
    <x v="59"/>
    <n v="396"/>
    <n v="79.2"/>
    <x v="1"/>
    <x v="1"/>
    <n v="1543"/>
    <s v="Music"/>
    <x v="0"/>
  </r>
  <r>
    <x v="1330"/>
    <x v="46"/>
    <x v="0"/>
    <x v="10"/>
    <x v="0"/>
    <n v="12"/>
    <s v="Madurai"/>
    <s v="2025-03-26"/>
    <x v="38"/>
    <x v="20"/>
    <x v="18"/>
    <x v="44"/>
    <x v="23"/>
    <x v="31"/>
    <n v="411"/>
    <n v="82.2"/>
    <x v="2"/>
    <x v="0"/>
    <n v="3349"/>
    <s v="Art"/>
    <x v="0"/>
  </r>
  <r>
    <x v="1331"/>
    <x v="72"/>
    <x v="0"/>
    <x v="6"/>
    <x v="0"/>
    <n v="10"/>
    <s v="Bangalore"/>
    <s v="2021-01-18"/>
    <x v="13"/>
    <x v="31"/>
    <x v="9"/>
    <x v="12"/>
    <x v="59"/>
    <x v="5"/>
    <n v="273"/>
    <n v="54.6"/>
    <x v="3"/>
    <x v="0"/>
    <n v="2655"/>
    <s v="Drama"/>
    <x v="1"/>
  </r>
  <r>
    <x v="1332"/>
    <x v="74"/>
    <x v="0"/>
    <x v="2"/>
    <x v="3"/>
    <n v="9"/>
    <s v="Chennai"/>
    <s v="2023-11-03"/>
    <x v="31"/>
    <x v="31"/>
    <x v="41"/>
    <x v="46"/>
    <x v="53"/>
    <x v="63"/>
    <n v="333"/>
    <n v="66.599999999999994"/>
    <x v="0"/>
    <x v="1"/>
    <n v="2495"/>
    <s v="Art"/>
    <x v="0"/>
  </r>
  <r>
    <x v="1333"/>
    <x v="28"/>
    <x v="1"/>
    <x v="5"/>
    <x v="3"/>
    <n v="6"/>
    <s v="Madurai"/>
    <s v="2025-06-24"/>
    <x v="24"/>
    <x v="12"/>
    <x v="55"/>
    <x v="57"/>
    <x v="55"/>
    <x v="22"/>
    <n v="329"/>
    <n v="65.8"/>
    <x v="0"/>
    <x v="0"/>
    <n v="4007"/>
    <s v="Coding Club"/>
    <x v="0"/>
  </r>
  <r>
    <x v="1334"/>
    <x v="25"/>
    <x v="0"/>
    <x v="11"/>
    <x v="1"/>
    <n v="15"/>
    <s v="Madurai"/>
    <s v="2024-02-04"/>
    <x v="37"/>
    <x v="53"/>
    <x v="39"/>
    <x v="63"/>
    <x v="26"/>
    <x v="0"/>
    <n v="352"/>
    <n v="70.400000000000006"/>
    <x v="1"/>
    <x v="1"/>
    <n v="2586"/>
    <s v="Sports"/>
    <x v="0"/>
  </r>
  <r>
    <x v="1335"/>
    <x v="77"/>
    <x v="0"/>
    <x v="3"/>
    <x v="2"/>
    <n v="6"/>
    <s v="Pune"/>
    <s v="2025-03-23"/>
    <x v="1"/>
    <x v="30"/>
    <x v="50"/>
    <x v="60"/>
    <x v="38"/>
    <x v="65"/>
    <n v="311"/>
    <n v="62.2"/>
    <x v="0"/>
    <x v="0"/>
    <n v="1682"/>
    <s v="Drama"/>
    <x v="0"/>
  </r>
  <r>
    <x v="1336"/>
    <x v="145"/>
    <x v="0"/>
    <x v="4"/>
    <x v="1"/>
    <n v="18"/>
    <s v="Coimbatore"/>
    <s v="2021-05-21"/>
    <x v="22"/>
    <x v="65"/>
    <x v="57"/>
    <x v="40"/>
    <x v="53"/>
    <x v="9"/>
    <n v="299"/>
    <n v="59.8"/>
    <x v="3"/>
    <x v="0"/>
    <n v="4375"/>
    <s v="Coding Club"/>
    <x v="0"/>
  </r>
  <r>
    <x v="1337"/>
    <x v="104"/>
    <x v="1"/>
    <x v="2"/>
    <x v="3"/>
    <n v="10"/>
    <s v="Mumbai"/>
    <s v="2022-07-28"/>
    <x v="5"/>
    <x v="55"/>
    <x v="65"/>
    <x v="37"/>
    <x v="6"/>
    <x v="5"/>
    <n v="350"/>
    <n v="70"/>
    <x v="1"/>
    <x v="0"/>
    <n v="3755"/>
    <s v="Art"/>
    <x v="0"/>
  </r>
  <r>
    <x v="1338"/>
    <x v="38"/>
    <x v="1"/>
    <x v="5"/>
    <x v="3"/>
    <n v="6"/>
    <s v="Chennai"/>
    <s v="2023-02-09"/>
    <x v="38"/>
    <x v="44"/>
    <x v="55"/>
    <x v="28"/>
    <x v="5"/>
    <x v="6"/>
    <n v="298"/>
    <n v="59.6"/>
    <x v="3"/>
    <x v="1"/>
    <n v="2825"/>
    <s v="Drama"/>
    <x v="0"/>
  </r>
  <r>
    <x v="1339"/>
    <x v="55"/>
    <x v="1"/>
    <x v="8"/>
    <x v="2"/>
    <n v="9"/>
    <s v="Mumbai"/>
    <s v="2022-12-15"/>
    <x v="13"/>
    <x v="52"/>
    <x v="12"/>
    <x v="14"/>
    <x v="6"/>
    <x v="64"/>
    <n v="363"/>
    <n v="72.599999999999994"/>
    <x v="1"/>
    <x v="0"/>
    <n v="3807"/>
    <s v="Drama"/>
    <x v="0"/>
  </r>
  <r>
    <x v="1340"/>
    <x v="56"/>
    <x v="0"/>
    <x v="2"/>
    <x v="1"/>
    <n v="10"/>
    <s v="Chennai"/>
    <s v="2021-04-10"/>
    <x v="21"/>
    <x v="28"/>
    <x v="22"/>
    <x v="28"/>
    <x v="48"/>
    <x v="22"/>
    <n v="296"/>
    <n v="59.2"/>
    <x v="3"/>
    <x v="1"/>
    <n v="3906"/>
    <s v="Coding Club"/>
    <x v="0"/>
  </r>
  <r>
    <x v="1341"/>
    <x v="60"/>
    <x v="1"/>
    <x v="0"/>
    <x v="1"/>
    <n v="16"/>
    <s v="Coimbatore"/>
    <s v="2022-07-02"/>
    <x v="2"/>
    <x v="49"/>
    <x v="45"/>
    <x v="36"/>
    <x v="60"/>
    <x v="45"/>
    <n v="297"/>
    <n v="59.4"/>
    <x v="3"/>
    <x v="0"/>
    <n v="2266"/>
    <s v="Sports"/>
    <x v="0"/>
  </r>
  <r>
    <x v="1342"/>
    <x v="0"/>
    <x v="1"/>
    <x v="5"/>
    <x v="0"/>
    <n v="6"/>
    <s v="Mumbai"/>
    <s v="2024-05-17"/>
    <x v="27"/>
    <x v="12"/>
    <x v="41"/>
    <x v="49"/>
    <x v="60"/>
    <x v="44"/>
    <n v="378"/>
    <n v="75.599999999999994"/>
    <x v="1"/>
    <x v="1"/>
    <n v="2403"/>
    <s v="Music"/>
    <x v="0"/>
  </r>
  <r>
    <x v="1343"/>
    <x v="142"/>
    <x v="0"/>
    <x v="7"/>
    <x v="0"/>
    <n v="11"/>
    <s v="Chennai"/>
    <s v="2023-01-01"/>
    <x v="20"/>
    <x v="7"/>
    <x v="57"/>
    <x v="22"/>
    <x v="1"/>
    <x v="64"/>
    <n v="325"/>
    <n v="65"/>
    <x v="0"/>
    <x v="1"/>
    <n v="2819"/>
    <s v="Art"/>
    <x v="0"/>
  </r>
  <r>
    <x v="1344"/>
    <x v="132"/>
    <x v="0"/>
    <x v="5"/>
    <x v="2"/>
    <n v="6"/>
    <s v="Hyderabad"/>
    <s v="2023-06-17"/>
    <x v="30"/>
    <x v="15"/>
    <x v="65"/>
    <x v="33"/>
    <x v="12"/>
    <x v="22"/>
    <n v="368"/>
    <n v="73.599999999999994"/>
    <x v="1"/>
    <x v="0"/>
    <n v="2997"/>
    <s v="Art"/>
    <x v="0"/>
  </r>
  <r>
    <x v="1345"/>
    <x v="34"/>
    <x v="0"/>
    <x v="4"/>
    <x v="1"/>
    <n v="17"/>
    <s v="Madurai"/>
    <s v="2024-03-05"/>
    <x v="29"/>
    <x v="34"/>
    <x v="47"/>
    <x v="40"/>
    <x v="35"/>
    <x v="32"/>
    <n v="307"/>
    <n v="61.4"/>
    <x v="0"/>
    <x v="0"/>
    <n v="2972"/>
    <s v="Sports"/>
    <x v="0"/>
  </r>
  <r>
    <x v="1346"/>
    <x v="127"/>
    <x v="1"/>
    <x v="3"/>
    <x v="2"/>
    <n v="6"/>
    <s v="Bangalore"/>
    <s v="2025-12-02"/>
    <x v="32"/>
    <x v="26"/>
    <x v="24"/>
    <x v="52"/>
    <x v="23"/>
    <x v="10"/>
    <n v="361"/>
    <n v="72.2"/>
    <x v="1"/>
    <x v="1"/>
    <n v="1684"/>
    <s v="Sports"/>
    <x v="0"/>
  </r>
  <r>
    <x v="1347"/>
    <x v="133"/>
    <x v="0"/>
    <x v="7"/>
    <x v="3"/>
    <n v="11"/>
    <s v="Chennai"/>
    <s v="2024-08-03"/>
    <x v="2"/>
    <x v="20"/>
    <x v="43"/>
    <x v="65"/>
    <x v="39"/>
    <x v="29"/>
    <n v="341"/>
    <n v="68.2"/>
    <x v="0"/>
    <x v="1"/>
    <n v="2711"/>
    <s v="Coding Club"/>
    <x v="0"/>
  </r>
  <r>
    <x v="1348"/>
    <x v="25"/>
    <x v="0"/>
    <x v="9"/>
    <x v="0"/>
    <n v="14"/>
    <s v="Hyderabad"/>
    <s v="2025-04-10"/>
    <x v="31"/>
    <x v="15"/>
    <x v="32"/>
    <x v="25"/>
    <x v="61"/>
    <x v="50"/>
    <n v="411"/>
    <n v="82.2"/>
    <x v="2"/>
    <x v="0"/>
    <n v="3049"/>
    <s v="Drama"/>
    <x v="0"/>
  </r>
  <r>
    <x v="1349"/>
    <x v="22"/>
    <x v="0"/>
    <x v="3"/>
    <x v="3"/>
    <n v="6"/>
    <s v="Mumbai"/>
    <s v="2025-05-24"/>
    <x v="27"/>
    <x v="41"/>
    <x v="16"/>
    <x v="43"/>
    <x v="15"/>
    <x v="50"/>
    <n v="351"/>
    <n v="70.2"/>
    <x v="1"/>
    <x v="1"/>
    <n v="2666"/>
    <s v="Drama"/>
    <x v="0"/>
  </r>
  <r>
    <x v="1350"/>
    <x v="142"/>
    <x v="0"/>
    <x v="2"/>
    <x v="0"/>
    <n v="10"/>
    <s v="Chennai"/>
    <s v="2025-06-01"/>
    <x v="24"/>
    <x v="24"/>
    <x v="10"/>
    <x v="19"/>
    <x v="16"/>
    <x v="13"/>
    <n v="361"/>
    <n v="72.2"/>
    <x v="1"/>
    <x v="1"/>
    <n v="3256"/>
    <s v="Sports"/>
    <x v="0"/>
  </r>
  <r>
    <x v="1351"/>
    <x v="4"/>
    <x v="0"/>
    <x v="0"/>
    <x v="1"/>
    <n v="16"/>
    <s v="Pune"/>
    <s v="2024-04-02"/>
    <x v="26"/>
    <x v="50"/>
    <x v="24"/>
    <x v="62"/>
    <x v="40"/>
    <x v="39"/>
    <n v="304"/>
    <n v="60.8"/>
    <x v="0"/>
    <x v="1"/>
    <n v="1895"/>
    <s v="Drama"/>
    <x v="0"/>
  </r>
  <r>
    <x v="1352"/>
    <x v="91"/>
    <x v="0"/>
    <x v="0"/>
    <x v="0"/>
    <n v="16"/>
    <s v="Bangalore"/>
    <s v="2021-08-15"/>
    <x v="37"/>
    <x v="5"/>
    <x v="30"/>
    <x v="25"/>
    <x v="44"/>
    <x v="41"/>
    <n v="379"/>
    <n v="75.8"/>
    <x v="1"/>
    <x v="0"/>
    <n v="4450"/>
    <s v="Coding Club"/>
    <x v="0"/>
  </r>
  <r>
    <x v="1353"/>
    <x v="125"/>
    <x v="0"/>
    <x v="8"/>
    <x v="0"/>
    <n v="8"/>
    <s v="Hyderabad"/>
    <s v="2025-03-18"/>
    <x v="0"/>
    <x v="42"/>
    <x v="55"/>
    <x v="36"/>
    <x v="20"/>
    <x v="16"/>
    <n v="348"/>
    <n v="69.599999999999994"/>
    <x v="0"/>
    <x v="1"/>
    <n v="4542"/>
    <s v="Drama"/>
    <x v="0"/>
  </r>
  <r>
    <x v="1354"/>
    <x v="17"/>
    <x v="0"/>
    <x v="7"/>
    <x v="0"/>
    <n v="11"/>
    <s v="Madurai"/>
    <s v="2024-04-23"/>
    <x v="7"/>
    <x v="47"/>
    <x v="22"/>
    <x v="45"/>
    <x v="64"/>
    <x v="8"/>
    <n v="351"/>
    <n v="70.2"/>
    <x v="1"/>
    <x v="0"/>
    <n v="3117"/>
    <s v="Sports"/>
    <x v="0"/>
  </r>
  <r>
    <x v="1355"/>
    <x v="105"/>
    <x v="1"/>
    <x v="7"/>
    <x v="3"/>
    <n v="11"/>
    <s v="Hyderabad"/>
    <s v="2023-02-20"/>
    <x v="26"/>
    <x v="62"/>
    <x v="31"/>
    <x v="48"/>
    <x v="61"/>
    <x v="37"/>
    <n v="427"/>
    <n v="85.4"/>
    <x v="2"/>
    <x v="0"/>
    <n v="2170"/>
    <s v="Coding Club"/>
    <x v="0"/>
  </r>
  <r>
    <x v="1356"/>
    <x v="98"/>
    <x v="0"/>
    <x v="9"/>
    <x v="1"/>
    <n v="14"/>
    <s v="Chennai"/>
    <s v="2023-09-27"/>
    <x v="9"/>
    <x v="46"/>
    <x v="43"/>
    <x v="30"/>
    <x v="19"/>
    <x v="41"/>
    <n v="376"/>
    <n v="75.2"/>
    <x v="1"/>
    <x v="1"/>
    <n v="2231"/>
    <s v="Music"/>
    <x v="0"/>
  </r>
  <r>
    <x v="1357"/>
    <x v="130"/>
    <x v="1"/>
    <x v="10"/>
    <x v="1"/>
    <n v="11"/>
    <s v="Mumbai"/>
    <s v="2023-07-03"/>
    <x v="15"/>
    <x v="34"/>
    <x v="24"/>
    <x v="63"/>
    <x v="48"/>
    <x v="58"/>
    <n v="288"/>
    <n v="57.6"/>
    <x v="3"/>
    <x v="0"/>
    <n v="3501"/>
    <s v="Sports"/>
    <x v="0"/>
  </r>
  <r>
    <x v="1358"/>
    <x v="120"/>
    <x v="0"/>
    <x v="5"/>
    <x v="1"/>
    <n v="8"/>
    <s v="Madurai"/>
    <s v="2023-10-01"/>
    <x v="36"/>
    <x v="21"/>
    <x v="15"/>
    <x v="60"/>
    <x v="62"/>
    <x v="11"/>
    <n v="244"/>
    <n v="48.8"/>
    <x v="4"/>
    <x v="0"/>
    <n v="3122"/>
    <s v="Art"/>
    <x v="1"/>
  </r>
  <r>
    <x v="1359"/>
    <x v="109"/>
    <x v="1"/>
    <x v="11"/>
    <x v="0"/>
    <n v="15"/>
    <s v="Madurai"/>
    <s v="2021-11-03"/>
    <x v="26"/>
    <x v="25"/>
    <x v="62"/>
    <x v="37"/>
    <x v="26"/>
    <x v="17"/>
    <n v="342"/>
    <n v="68.400000000000006"/>
    <x v="0"/>
    <x v="1"/>
    <n v="2003"/>
    <s v="Drama"/>
    <x v="0"/>
  </r>
  <r>
    <x v="1360"/>
    <x v="65"/>
    <x v="1"/>
    <x v="1"/>
    <x v="1"/>
    <n v="14"/>
    <s v="Hyderabad"/>
    <s v="2025-08-24"/>
    <x v="23"/>
    <x v="36"/>
    <x v="35"/>
    <x v="57"/>
    <x v="17"/>
    <x v="14"/>
    <n v="251"/>
    <n v="50.2"/>
    <x v="3"/>
    <x v="0"/>
    <n v="2269"/>
    <s v="Music"/>
    <x v="1"/>
  </r>
  <r>
    <x v="1361"/>
    <x v="82"/>
    <x v="1"/>
    <x v="11"/>
    <x v="0"/>
    <n v="15"/>
    <s v="Mumbai"/>
    <s v="2024-02-20"/>
    <x v="15"/>
    <x v="18"/>
    <x v="30"/>
    <x v="58"/>
    <x v="44"/>
    <x v="2"/>
    <n v="311"/>
    <n v="62.2"/>
    <x v="0"/>
    <x v="0"/>
    <n v="3596"/>
    <s v="Art"/>
    <x v="0"/>
  </r>
  <r>
    <x v="1362"/>
    <x v="80"/>
    <x v="1"/>
    <x v="6"/>
    <x v="1"/>
    <n v="12"/>
    <s v="Chennai"/>
    <s v="2021-04-20"/>
    <x v="21"/>
    <x v="27"/>
    <x v="35"/>
    <x v="60"/>
    <x v="44"/>
    <x v="44"/>
    <n v="285"/>
    <n v="57"/>
    <x v="3"/>
    <x v="0"/>
    <n v="1651"/>
    <s v="Drama"/>
    <x v="0"/>
  </r>
  <r>
    <x v="1363"/>
    <x v="118"/>
    <x v="0"/>
    <x v="3"/>
    <x v="2"/>
    <n v="6"/>
    <s v="Madurai"/>
    <s v="2022-05-03"/>
    <x v="15"/>
    <x v="34"/>
    <x v="56"/>
    <x v="47"/>
    <x v="38"/>
    <x v="31"/>
    <n v="370"/>
    <n v="74"/>
    <x v="1"/>
    <x v="0"/>
    <n v="3922"/>
    <s v="Music"/>
    <x v="0"/>
  </r>
  <r>
    <x v="1364"/>
    <x v="143"/>
    <x v="1"/>
    <x v="7"/>
    <x v="3"/>
    <n v="10"/>
    <s v="Mumbai"/>
    <s v="2021-01-24"/>
    <x v="18"/>
    <x v="0"/>
    <x v="13"/>
    <x v="25"/>
    <x v="55"/>
    <x v="19"/>
    <n v="354"/>
    <n v="70.8"/>
    <x v="1"/>
    <x v="0"/>
    <n v="3832"/>
    <s v="Music"/>
    <x v="0"/>
  </r>
  <r>
    <x v="1365"/>
    <x v="124"/>
    <x v="1"/>
    <x v="8"/>
    <x v="0"/>
    <n v="7"/>
    <s v="Mumbai"/>
    <s v="2024-12-09"/>
    <x v="28"/>
    <x v="1"/>
    <x v="31"/>
    <x v="13"/>
    <x v="28"/>
    <x v="57"/>
    <n v="425"/>
    <n v="85"/>
    <x v="2"/>
    <x v="0"/>
    <n v="2398"/>
    <s v="Drama"/>
    <x v="0"/>
  </r>
  <r>
    <x v="1366"/>
    <x v="57"/>
    <x v="1"/>
    <x v="3"/>
    <x v="3"/>
    <n v="6"/>
    <s v="Chennai"/>
    <s v="2025-01-20"/>
    <x v="20"/>
    <x v="15"/>
    <x v="14"/>
    <x v="29"/>
    <x v="23"/>
    <x v="63"/>
    <n v="304"/>
    <n v="60.8"/>
    <x v="0"/>
    <x v="0"/>
    <n v="3892"/>
    <s v="Drama"/>
    <x v="0"/>
  </r>
  <r>
    <x v="1367"/>
    <x v="128"/>
    <x v="1"/>
    <x v="2"/>
    <x v="1"/>
    <n v="8"/>
    <s v="Bangalore"/>
    <s v="2024-11-05"/>
    <x v="32"/>
    <x v="64"/>
    <x v="54"/>
    <x v="51"/>
    <x v="60"/>
    <x v="22"/>
    <n v="285"/>
    <n v="57"/>
    <x v="3"/>
    <x v="0"/>
    <n v="2237"/>
    <s v="Coding Club"/>
    <x v="0"/>
  </r>
  <r>
    <x v="1368"/>
    <x v="17"/>
    <x v="1"/>
    <x v="5"/>
    <x v="0"/>
    <n v="6"/>
    <s v="Bangalore"/>
    <s v="2025-08-25"/>
    <x v="39"/>
    <x v="1"/>
    <x v="25"/>
    <x v="9"/>
    <x v="22"/>
    <x v="30"/>
    <n v="331"/>
    <n v="66.2"/>
    <x v="0"/>
    <x v="0"/>
    <n v="4564"/>
    <s v="Drama"/>
    <x v="0"/>
  </r>
  <r>
    <x v="1369"/>
    <x v="89"/>
    <x v="1"/>
    <x v="11"/>
    <x v="2"/>
    <n v="15"/>
    <s v="Bangalore"/>
    <s v="2023-04-07"/>
    <x v="5"/>
    <x v="55"/>
    <x v="4"/>
    <x v="11"/>
    <x v="56"/>
    <x v="39"/>
    <n v="346"/>
    <n v="69.2"/>
    <x v="0"/>
    <x v="0"/>
    <n v="4864"/>
    <s v="Art"/>
    <x v="0"/>
  </r>
  <r>
    <x v="1370"/>
    <x v="78"/>
    <x v="0"/>
    <x v="8"/>
    <x v="3"/>
    <n v="7"/>
    <s v="Hyderabad"/>
    <s v="2022-06-13"/>
    <x v="20"/>
    <x v="31"/>
    <x v="64"/>
    <x v="13"/>
    <x v="49"/>
    <x v="20"/>
    <n v="326"/>
    <n v="65.2"/>
    <x v="0"/>
    <x v="0"/>
    <n v="2728"/>
    <s v="Coding Club"/>
    <x v="0"/>
  </r>
  <r>
    <x v="1371"/>
    <x v="83"/>
    <x v="1"/>
    <x v="8"/>
    <x v="2"/>
    <n v="8"/>
    <s v="Bangalore"/>
    <s v="2021-06-02"/>
    <x v="6"/>
    <x v="14"/>
    <x v="29"/>
    <x v="49"/>
    <x v="5"/>
    <x v="50"/>
    <n v="404"/>
    <n v="80.8"/>
    <x v="2"/>
    <x v="1"/>
    <n v="2627"/>
    <s v="Music"/>
    <x v="0"/>
  </r>
  <r>
    <x v="1372"/>
    <x v="143"/>
    <x v="0"/>
    <x v="9"/>
    <x v="3"/>
    <n v="15"/>
    <s v="Pune"/>
    <s v="2023-05-21"/>
    <x v="11"/>
    <x v="18"/>
    <x v="13"/>
    <x v="26"/>
    <x v="18"/>
    <x v="13"/>
    <n v="367"/>
    <n v="73.400000000000006"/>
    <x v="1"/>
    <x v="1"/>
    <n v="4173"/>
    <s v="Dance"/>
    <x v="0"/>
  </r>
  <r>
    <x v="1373"/>
    <x v="50"/>
    <x v="0"/>
    <x v="4"/>
    <x v="0"/>
    <n v="18"/>
    <s v="Pune"/>
    <s v="2021-12-13"/>
    <x v="37"/>
    <x v="34"/>
    <x v="35"/>
    <x v="15"/>
    <x v="10"/>
    <x v="57"/>
    <n v="331"/>
    <n v="66.2"/>
    <x v="0"/>
    <x v="1"/>
    <n v="3840"/>
    <s v="Drama"/>
    <x v="0"/>
  </r>
  <r>
    <x v="1374"/>
    <x v="46"/>
    <x v="1"/>
    <x v="4"/>
    <x v="2"/>
    <n v="16"/>
    <s v="Coimbatore"/>
    <s v="2022-04-09"/>
    <x v="8"/>
    <x v="32"/>
    <x v="22"/>
    <x v="45"/>
    <x v="42"/>
    <x v="49"/>
    <n v="302"/>
    <n v="60.4"/>
    <x v="0"/>
    <x v="0"/>
    <n v="3096"/>
    <s v="Coding Club"/>
    <x v="0"/>
  </r>
  <r>
    <x v="1375"/>
    <x v="104"/>
    <x v="0"/>
    <x v="5"/>
    <x v="0"/>
    <n v="8"/>
    <s v="Mumbai"/>
    <s v="2024-11-14"/>
    <x v="27"/>
    <x v="24"/>
    <x v="5"/>
    <x v="9"/>
    <x v="5"/>
    <x v="28"/>
    <n v="348"/>
    <n v="69.599999999999994"/>
    <x v="0"/>
    <x v="0"/>
    <n v="3499"/>
    <s v="Music"/>
    <x v="0"/>
  </r>
  <r>
    <x v="1376"/>
    <x v="13"/>
    <x v="0"/>
    <x v="5"/>
    <x v="3"/>
    <n v="7"/>
    <s v="Mumbai"/>
    <s v="2023-01-08"/>
    <x v="40"/>
    <x v="1"/>
    <x v="7"/>
    <x v="8"/>
    <x v="8"/>
    <x v="31"/>
    <n v="350"/>
    <n v="70"/>
    <x v="1"/>
    <x v="1"/>
    <n v="2527"/>
    <s v="Art"/>
    <x v="0"/>
  </r>
  <r>
    <x v="1377"/>
    <x v="76"/>
    <x v="0"/>
    <x v="7"/>
    <x v="0"/>
    <n v="10"/>
    <s v="Mumbai"/>
    <s v="2023-03-14"/>
    <x v="22"/>
    <x v="34"/>
    <x v="61"/>
    <x v="61"/>
    <x v="39"/>
    <x v="4"/>
    <n v="365"/>
    <n v="73"/>
    <x v="1"/>
    <x v="1"/>
    <n v="3434"/>
    <s v="Coding Club"/>
    <x v="0"/>
  </r>
  <r>
    <x v="1378"/>
    <x v="65"/>
    <x v="0"/>
    <x v="2"/>
    <x v="2"/>
    <n v="8"/>
    <s v="Madurai"/>
    <s v="2021-09-26"/>
    <x v="14"/>
    <x v="39"/>
    <x v="9"/>
    <x v="45"/>
    <x v="13"/>
    <x v="12"/>
    <n v="256"/>
    <n v="51.2"/>
    <x v="3"/>
    <x v="0"/>
    <n v="3716"/>
    <s v="Art"/>
    <x v="1"/>
  </r>
  <r>
    <x v="1379"/>
    <x v="89"/>
    <x v="0"/>
    <x v="1"/>
    <x v="2"/>
    <n v="12"/>
    <s v="Madurai"/>
    <s v="2025-05-29"/>
    <x v="2"/>
    <x v="19"/>
    <x v="29"/>
    <x v="43"/>
    <x v="16"/>
    <x v="12"/>
    <n v="375"/>
    <n v="75"/>
    <x v="1"/>
    <x v="1"/>
    <n v="2190"/>
    <s v="Music"/>
    <x v="0"/>
  </r>
  <r>
    <x v="1380"/>
    <x v="148"/>
    <x v="1"/>
    <x v="7"/>
    <x v="1"/>
    <n v="10"/>
    <s v="Mumbai"/>
    <s v="2024-09-21"/>
    <x v="40"/>
    <x v="64"/>
    <x v="34"/>
    <x v="40"/>
    <x v="60"/>
    <x v="58"/>
    <n v="289"/>
    <n v="57.8"/>
    <x v="3"/>
    <x v="0"/>
    <n v="2417"/>
    <s v="Coding Club"/>
    <x v="0"/>
  </r>
  <r>
    <x v="1381"/>
    <x v="30"/>
    <x v="1"/>
    <x v="7"/>
    <x v="2"/>
    <n v="9"/>
    <s v="Pune"/>
    <s v="2025-01-15"/>
    <x v="5"/>
    <x v="61"/>
    <x v="21"/>
    <x v="7"/>
    <x v="57"/>
    <x v="38"/>
    <n v="336"/>
    <n v="67.2"/>
    <x v="0"/>
    <x v="1"/>
    <n v="4618"/>
    <s v="Art"/>
    <x v="0"/>
  </r>
  <r>
    <x v="1382"/>
    <x v="76"/>
    <x v="0"/>
    <x v="7"/>
    <x v="3"/>
    <n v="9"/>
    <s v="Mumbai"/>
    <s v="2023-02-24"/>
    <x v="31"/>
    <x v="40"/>
    <x v="63"/>
    <x v="22"/>
    <x v="53"/>
    <x v="61"/>
    <n v="354"/>
    <n v="70.8"/>
    <x v="1"/>
    <x v="0"/>
    <n v="3453"/>
    <s v="Drama"/>
    <x v="0"/>
  </r>
  <r>
    <x v="1383"/>
    <x v="42"/>
    <x v="0"/>
    <x v="0"/>
    <x v="3"/>
    <n v="16"/>
    <s v="Madurai"/>
    <s v="2025-01-24"/>
    <x v="14"/>
    <x v="9"/>
    <x v="22"/>
    <x v="27"/>
    <x v="55"/>
    <x v="7"/>
    <n v="395"/>
    <n v="79"/>
    <x v="1"/>
    <x v="0"/>
    <n v="4162"/>
    <s v="Art"/>
    <x v="0"/>
  </r>
  <r>
    <x v="1384"/>
    <x v="92"/>
    <x v="0"/>
    <x v="4"/>
    <x v="1"/>
    <n v="16"/>
    <s v="Hyderabad"/>
    <s v="2025-07-17"/>
    <x v="37"/>
    <x v="12"/>
    <x v="36"/>
    <x v="43"/>
    <x v="32"/>
    <x v="11"/>
    <n v="376"/>
    <n v="75.2"/>
    <x v="1"/>
    <x v="1"/>
    <n v="3197"/>
    <s v="Drama"/>
    <x v="0"/>
  </r>
  <r>
    <x v="1385"/>
    <x v="55"/>
    <x v="0"/>
    <x v="10"/>
    <x v="0"/>
    <n v="13"/>
    <s v="Coimbatore"/>
    <s v="2021-06-09"/>
    <x v="34"/>
    <x v="21"/>
    <x v="34"/>
    <x v="50"/>
    <x v="45"/>
    <x v="63"/>
    <n v="266"/>
    <n v="53.2"/>
    <x v="3"/>
    <x v="1"/>
    <n v="2442"/>
    <s v="Dance"/>
    <x v="1"/>
  </r>
  <r>
    <x v="1386"/>
    <x v="122"/>
    <x v="0"/>
    <x v="10"/>
    <x v="1"/>
    <n v="13"/>
    <s v="Mumbai"/>
    <s v="2023-02-14"/>
    <x v="17"/>
    <x v="47"/>
    <x v="52"/>
    <x v="1"/>
    <x v="26"/>
    <x v="16"/>
    <n v="370"/>
    <n v="74"/>
    <x v="1"/>
    <x v="1"/>
    <n v="4692"/>
    <s v="Art"/>
    <x v="0"/>
  </r>
  <r>
    <x v="1387"/>
    <x v="126"/>
    <x v="1"/>
    <x v="6"/>
    <x v="0"/>
    <n v="11"/>
    <s v="Mumbai"/>
    <s v="2024-05-11"/>
    <x v="37"/>
    <x v="65"/>
    <x v="20"/>
    <x v="43"/>
    <x v="21"/>
    <x v="27"/>
    <n v="339"/>
    <n v="67.8"/>
    <x v="0"/>
    <x v="1"/>
    <n v="4519"/>
    <s v="Sports"/>
    <x v="0"/>
  </r>
  <r>
    <x v="1388"/>
    <x v="22"/>
    <x v="1"/>
    <x v="2"/>
    <x v="2"/>
    <n v="9"/>
    <s v="Hyderabad"/>
    <s v="2022-06-23"/>
    <x v="14"/>
    <x v="26"/>
    <x v="6"/>
    <x v="37"/>
    <x v="34"/>
    <x v="11"/>
    <n v="243"/>
    <n v="48.6"/>
    <x v="4"/>
    <x v="1"/>
    <n v="4832"/>
    <s v="Drama"/>
    <x v="1"/>
  </r>
  <r>
    <x v="1389"/>
    <x v="3"/>
    <x v="0"/>
    <x v="3"/>
    <x v="1"/>
    <n v="6"/>
    <s v="Madurai"/>
    <s v="2023-08-21"/>
    <x v="23"/>
    <x v="7"/>
    <x v="55"/>
    <x v="26"/>
    <x v="39"/>
    <x v="24"/>
    <n v="298"/>
    <n v="59.6"/>
    <x v="3"/>
    <x v="0"/>
    <n v="1527"/>
    <s v="Art"/>
    <x v="0"/>
  </r>
  <r>
    <x v="1390"/>
    <x v="36"/>
    <x v="0"/>
    <x v="7"/>
    <x v="3"/>
    <n v="9"/>
    <s v="Mumbai"/>
    <s v="2024-05-12"/>
    <x v="15"/>
    <x v="10"/>
    <x v="36"/>
    <x v="62"/>
    <x v="29"/>
    <x v="47"/>
    <n v="424"/>
    <n v="84.8"/>
    <x v="2"/>
    <x v="1"/>
    <n v="2417"/>
    <s v="Art"/>
    <x v="0"/>
  </r>
  <r>
    <x v="1391"/>
    <x v="13"/>
    <x v="0"/>
    <x v="2"/>
    <x v="2"/>
    <n v="10"/>
    <s v="Coimbatore"/>
    <s v="2023-08-04"/>
    <x v="1"/>
    <x v="25"/>
    <x v="54"/>
    <x v="34"/>
    <x v="42"/>
    <x v="17"/>
    <n v="269"/>
    <n v="53.8"/>
    <x v="3"/>
    <x v="0"/>
    <n v="4544"/>
    <s v="Art"/>
    <x v="1"/>
  </r>
  <r>
    <x v="1392"/>
    <x v="68"/>
    <x v="0"/>
    <x v="3"/>
    <x v="2"/>
    <n v="6"/>
    <s v="Coimbatore"/>
    <s v="2021-02-14"/>
    <x v="34"/>
    <x v="17"/>
    <x v="14"/>
    <x v="60"/>
    <x v="20"/>
    <x v="52"/>
    <n v="329"/>
    <n v="65.8"/>
    <x v="0"/>
    <x v="0"/>
    <n v="2745"/>
    <s v="Dance"/>
    <x v="0"/>
  </r>
  <r>
    <x v="1393"/>
    <x v="77"/>
    <x v="1"/>
    <x v="10"/>
    <x v="2"/>
    <n v="11"/>
    <s v="Coimbatore"/>
    <s v="2021-09-03"/>
    <x v="30"/>
    <x v="45"/>
    <x v="26"/>
    <x v="65"/>
    <x v="12"/>
    <x v="32"/>
    <n v="387"/>
    <n v="77.400000000000006"/>
    <x v="1"/>
    <x v="1"/>
    <n v="4716"/>
    <s v="Sports"/>
    <x v="0"/>
  </r>
  <r>
    <x v="1394"/>
    <x v="114"/>
    <x v="0"/>
    <x v="1"/>
    <x v="3"/>
    <n v="12"/>
    <s v="Bangalore"/>
    <s v="2021-09-19"/>
    <x v="12"/>
    <x v="11"/>
    <x v="3"/>
    <x v="6"/>
    <x v="18"/>
    <x v="37"/>
    <n v="413"/>
    <n v="82.6"/>
    <x v="2"/>
    <x v="0"/>
    <n v="4803"/>
    <s v="Music"/>
    <x v="0"/>
  </r>
  <r>
    <x v="1395"/>
    <x v="97"/>
    <x v="0"/>
    <x v="0"/>
    <x v="3"/>
    <n v="14"/>
    <s v="Coimbatore"/>
    <s v="2025-05-25"/>
    <x v="13"/>
    <x v="27"/>
    <x v="17"/>
    <x v="21"/>
    <x v="12"/>
    <x v="29"/>
    <n v="292"/>
    <n v="58.4"/>
    <x v="3"/>
    <x v="1"/>
    <n v="2638"/>
    <s v="Music"/>
    <x v="0"/>
  </r>
  <r>
    <x v="1396"/>
    <x v="127"/>
    <x v="1"/>
    <x v="11"/>
    <x v="2"/>
    <n v="17"/>
    <s v="Coimbatore"/>
    <s v="2021-09-03"/>
    <x v="21"/>
    <x v="17"/>
    <x v="55"/>
    <x v="31"/>
    <x v="16"/>
    <x v="36"/>
    <n v="313"/>
    <n v="62.6"/>
    <x v="0"/>
    <x v="0"/>
    <n v="1666"/>
    <s v="Coding Club"/>
    <x v="0"/>
  </r>
  <r>
    <x v="1397"/>
    <x v="35"/>
    <x v="1"/>
    <x v="0"/>
    <x v="2"/>
    <n v="15"/>
    <s v="Pune"/>
    <s v="2024-08-31"/>
    <x v="2"/>
    <x v="42"/>
    <x v="56"/>
    <x v="21"/>
    <x v="44"/>
    <x v="36"/>
    <n v="322"/>
    <n v="64.400000000000006"/>
    <x v="0"/>
    <x v="0"/>
    <n v="2084"/>
    <s v="Sports"/>
    <x v="0"/>
  </r>
  <r>
    <x v="1398"/>
    <x v="130"/>
    <x v="1"/>
    <x v="3"/>
    <x v="3"/>
    <n v="6"/>
    <s v="Chennai"/>
    <s v="2022-09-19"/>
    <x v="14"/>
    <x v="41"/>
    <x v="30"/>
    <x v="51"/>
    <x v="20"/>
    <x v="54"/>
    <n v="300"/>
    <n v="60"/>
    <x v="0"/>
    <x v="0"/>
    <n v="3315"/>
    <s v="Dance"/>
    <x v="0"/>
  </r>
  <r>
    <x v="1399"/>
    <x v="131"/>
    <x v="1"/>
    <x v="0"/>
    <x v="0"/>
    <n v="15"/>
    <s v="Chennai"/>
    <s v="2025-06-06"/>
    <x v="2"/>
    <x v="53"/>
    <x v="65"/>
    <x v="45"/>
    <x v="48"/>
    <x v="61"/>
    <n v="329"/>
    <n v="65.8"/>
    <x v="0"/>
    <x v="0"/>
    <n v="3877"/>
    <s v="Art"/>
    <x v="0"/>
  </r>
  <r>
    <x v="1400"/>
    <x v="143"/>
    <x v="0"/>
    <x v="0"/>
    <x v="0"/>
    <n v="14"/>
    <s v="Chennai"/>
    <s v="2023-01-20"/>
    <x v="31"/>
    <x v="31"/>
    <x v="6"/>
    <x v="28"/>
    <x v="22"/>
    <x v="11"/>
    <n v="298"/>
    <n v="59.6"/>
    <x v="3"/>
    <x v="1"/>
    <n v="4986"/>
    <s v="Art"/>
    <x v="0"/>
  </r>
  <r>
    <x v="1401"/>
    <x v="102"/>
    <x v="1"/>
    <x v="5"/>
    <x v="2"/>
    <n v="8"/>
    <s v="Mumbai"/>
    <s v="2021-03-28"/>
    <x v="34"/>
    <x v="23"/>
    <x v="55"/>
    <x v="59"/>
    <x v="48"/>
    <x v="9"/>
    <n v="298"/>
    <n v="59.6"/>
    <x v="3"/>
    <x v="1"/>
    <n v="4877"/>
    <s v="Dance"/>
    <x v="0"/>
  </r>
  <r>
    <x v="1402"/>
    <x v="7"/>
    <x v="0"/>
    <x v="8"/>
    <x v="2"/>
    <n v="8"/>
    <s v="Bangalore"/>
    <s v="2023-07-04"/>
    <x v="39"/>
    <x v="63"/>
    <x v="39"/>
    <x v="63"/>
    <x v="25"/>
    <x v="62"/>
    <n v="326"/>
    <n v="65.2"/>
    <x v="0"/>
    <x v="1"/>
    <n v="2624"/>
    <s v="Sports"/>
    <x v="0"/>
  </r>
  <r>
    <x v="1403"/>
    <x v="97"/>
    <x v="0"/>
    <x v="1"/>
    <x v="2"/>
    <n v="12"/>
    <s v="Madurai"/>
    <s v="2021-11-06"/>
    <x v="24"/>
    <x v="19"/>
    <x v="53"/>
    <x v="48"/>
    <x v="26"/>
    <x v="42"/>
    <n v="334"/>
    <n v="66.8"/>
    <x v="0"/>
    <x v="0"/>
    <n v="2671"/>
    <s v="Coding Club"/>
    <x v="0"/>
  </r>
  <r>
    <x v="1404"/>
    <x v="32"/>
    <x v="1"/>
    <x v="1"/>
    <x v="1"/>
    <n v="13"/>
    <s v="Pune"/>
    <s v="2023-11-24"/>
    <x v="2"/>
    <x v="44"/>
    <x v="26"/>
    <x v="15"/>
    <x v="60"/>
    <x v="12"/>
    <n v="327"/>
    <n v="65.400000000000006"/>
    <x v="0"/>
    <x v="0"/>
    <n v="2536"/>
    <s v="Sports"/>
    <x v="0"/>
  </r>
  <r>
    <x v="1405"/>
    <x v="113"/>
    <x v="0"/>
    <x v="9"/>
    <x v="0"/>
    <n v="13"/>
    <s v="Hyderabad"/>
    <s v="2023-10-21"/>
    <x v="29"/>
    <x v="41"/>
    <x v="49"/>
    <x v="42"/>
    <x v="35"/>
    <x v="36"/>
    <n v="243"/>
    <n v="48.6"/>
    <x v="4"/>
    <x v="0"/>
    <n v="4249"/>
    <s v="Drama"/>
    <x v="1"/>
  </r>
  <r>
    <x v="1406"/>
    <x v="17"/>
    <x v="0"/>
    <x v="6"/>
    <x v="1"/>
    <n v="11"/>
    <s v="Chennai"/>
    <s v="2023-05-08"/>
    <x v="7"/>
    <x v="62"/>
    <x v="57"/>
    <x v="1"/>
    <x v="35"/>
    <x v="57"/>
    <n v="293"/>
    <n v="58.6"/>
    <x v="3"/>
    <x v="0"/>
    <n v="1962"/>
    <s v="Dance"/>
    <x v="0"/>
  </r>
  <r>
    <x v="1407"/>
    <x v="141"/>
    <x v="0"/>
    <x v="6"/>
    <x v="3"/>
    <n v="11"/>
    <s v="Hyderabad"/>
    <s v="2023-04-29"/>
    <x v="4"/>
    <x v="48"/>
    <x v="24"/>
    <x v="11"/>
    <x v="46"/>
    <x v="20"/>
    <n v="317"/>
    <n v="63.4"/>
    <x v="0"/>
    <x v="0"/>
    <n v="1698"/>
    <s v="Art"/>
    <x v="0"/>
  </r>
  <r>
    <x v="1408"/>
    <x v="134"/>
    <x v="0"/>
    <x v="1"/>
    <x v="0"/>
    <n v="13"/>
    <s v="Madurai"/>
    <s v="2021-08-13"/>
    <x v="28"/>
    <x v="48"/>
    <x v="31"/>
    <x v="10"/>
    <x v="31"/>
    <x v="15"/>
    <n v="393"/>
    <n v="78.599999999999994"/>
    <x v="1"/>
    <x v="0"/>
    <n v="2559"/>
    <s v="Drama"/>
    <x v="0"/>
  </r>
  <r>
    <x v="1409"/>
    <x v="31"/>
    <x v="1"/>
    <x v="1"/>
    <x v="3"/>
    <n v="12"/>
    <s v="Madurai"/>
    <s v="2022-04-12"/>
    <x v="33"/>
    <x v="24"/>
    <x v="1"/>
    <x v="38"/>
    <x v="26"/>
    <x v="61"/>
    <n v="425"/>
    <n v="85"/>
    <x v="2"/>
    <x v="0"/>
    <n v="2588"/>
    <s v="Art"/>
    <x v="0"/>
  </r>
  <r>
    <x v="1410"/>
    <x v="136"/>
    <x v="0"/>
    <x v="4"/>
    <x v="0"/>
    <n v="16"/>
    <s v="Pune"/>
    <s v="2021-08-14"/>
    <x v="35"/>
    <x v="26"/>
    <x v="43"/>
    <x v="19"/>
    <x v="0"/>
    <x v="15"/>
    <n v="330"/>
    <n v="66"/>
    <x v="0"/>
    <x v="1"/>
    <n v="4949"/>
    <s v="Dance"/>
    <x v="0"/>
  </r>
  <r>
    <x v="1411"/>
    <x v="19"/>
    <x v="0"/>
    <x v="7"/>
    <x v="2"/>
    <n v="10"/>
    <s v="Pune"/>
    <s v="2025-04-23"/>
    <x v="31"/>
    <x v="37"/>
    <x v="1"/>
    <x v="30"/>
    <x v="33"/>
    <x v="22"/>
    <n v="261"/>
    <n v="52.2"/>
    <x v="3"/>
    <x v="1"/>
    <n v="2254"/>
    <s v="Dance"/>
    <x v="1"/>
  </r>
  <r>
    <x v="1412"/>
    <x v="135"/>
    <x v="0"/>
    <x v="3"/>
    <x v="2"/>
    <n v="6"/>
    <s v="Hyderabad"/>
    <s v="2023-01-04"/>
    <x v="38"/>
    <x v="20"/>
    <x v="31"/>
    <x v="40"/>
    <x v="1"/>
    <x v="22"/>
    <n v="356"/>
    <n v="71.2"/>
    <x v="1"/>
    <x v="1"/>
    <n v="2325"/>
    <s v="Drama"/>
    <x v="0"/>
  </r>
  <r>
    <x v="1413"/>
    <x v="127"/>
    <x v="0"/>
    <x v="2"/>
    <x v="3"/>
    <n v="9"/>
    <s v="Chennai"/>
    <s v="2024-10-24"/>
    <x v="30"/>
    <x v="30"/>
    <x v="8"/>
    <x v="11"/>
    <x v="43"/>
    <x v="18"/>
    <n v="359"/>
    <n v="71.8"/>
    <x v="1"/>
    <x v="0"/>
    <n v="3168"/>
    <s v="Coding Club"/>
    <x v="0"/>
  </r>
  <r>
    <x v="1414"/>
    <x v="124"/>
    <x v="1"/>
    <x v="1"/>
    <x v="2"/>
    <n v="13"/>
    <s v="Mumbai"/>
    <s v="2022-04-29"/>
    <x v="7"/>
    <x v="58"/>
    <x v="18"/>
    <x v="20"/>
    <x v="3"/>
    <x v="41"/>
    <n v="335"/>
    <n v="67"/>
    <x v="0"/>
    <x v="1"/>
    <n v="2042"/>
    <s v="Sports"/>
    <x v="0"/>
  </r>
  <r>
    <x v="1415"/>
    <x v="40"/>
    <x v="0"/>
    <x v="0"/>
    <x v="0"/>
    <n v="15"/>
    <s v="Madurai"/>
    <s v="2021-03-12"/>
    <x v="0"/>
    <x v="5"/>
    <x v="33"/>
    <x v="35"/>
    <x v="55"/>
    <x v="17"/>
    <n v="290"/>
    <n v="58"/>
    <x v="3"/>
    <x v="1"/>
    <n v="3055"/>
    <s v="Coding Club"/>
    <x v="0"/>
  </r>
  <r>
    <x v="1416"/>
    <x v="101"/>
    <x v="0"/>
    <x v="9"/>
    <x v="0"/>
    <n v="14"/>
    <s v="Madurai"/>
    <s v="2024-12-31"/>
    <x v="11"/>
    <x v="14"/>
    <x v="36"/>
    <x v="60"/>
    <x v="26"/>
    <x v="52"/>
    <n v="386"/>
    <n v="77.2"/>
    <x v="1"/>
    <x v="0"/>
    <n v="4702"/>
    <s v="Sports"/>
    <x v="0"/>
  </r>
  <r>
    <x v="1417"/>
    <x v="95"/>
    <x v="1"/>
    <x v="4"/>
    <x v="1"/>
    <n v="18"/>
    <s v="Pune"/>
    <s v="2022-08-22"/>
    <x v="21"/>
    <x v="49"/>
    <x v="21"/>
    <x v="20"/>
    <x v="40"/>
    <x v="26"/>
    <n v="309"/>
    <n v="61.8"/>
    <x v="0"/>
    <x v="1"/>
    <n v="3878"/>
    <s v="Music"/>
    <x v="0"/>
  </r>
  <r>
    <x v="1418"/>
    <x v="131"/>
    <x v="1"/>
    <x v="6"/>
    <x v="2"/>
    <n v="12"/>
    <s v="Mumbai"/>
    <s v="2021-02-25"/>
    <x v="13"/>
    <x v="47"/>
    <x v="58"/>
    <x v="49"/>
    <x v="6"/>
    <x v="16"/>
    <n v="408"/>
    <n v="81.599999999999994"/>
    <x v="2"/>
    <x v="0"/>
    <n v="2357"/>
    <s v="Art"/>
    <x v="0"/>
  </r>
  <r>
    <x v="1419"/>
    <x v="12"/>
    <x v="0"/>
    <x v="6"/>
    <x v="0"/>
    <n v="12"/>
    <s v="Hyderabad"/>
    <s v="2022-10-06"/>
    <x v="37"/>
    <x v="52"/>
    <x v="33"/>
    <x v="58"/>
    <x v="59"/>
    <x v="0"/>
    <n v="290"/>
    <n v="58"/>
    <x v="3"/>
    <x v="1"/>
    <n v="2271"/>
    <s v="Drama"/>
    <x v="0"/>
  </r>
  <r>
    <x v="1420"/>
    <x v="1"/>
    <x v="0"/>
    <x v="4"/>
    <x v="2"/>
    <n v="18"/>
    <s v="Madurai"/>
    <s v="2021-12-14"/>
    <x v="14"/>
    <x v="16"/>
    <x v="29"/>
    <x v="18"/>
    <x v="39"/>
    <x v="2"/>
    <n v="362"/>
    <n v="72.400000000000006"/>
    <x v="1"/>
    <x v="0"/>
    <n v="4213"/>
    <s v="Sports"/>
    <x v="0"/>
  </r>
  <r>
    <x v="1421"/>
    <x v="4"/>
    <x v="0"/>
    <x v="7"/>
    <x v="0"/>
    <n v="11"/>
    <s v="Coimbatore"/>
    <s v="2023-01-31"/>
    <x v="12"/>
    <x v="35"/>
    <x v="50"/>
    <x v="62"/>
    <x v="39"/>
    <x v="32"/>
    <n v="344"/>
    <n v="68.8"/>
    <x v="0"/>
    <x v="0"/>
    <n v="2274"/>
    <s v="Dance"/>
    <x v="0"/>
  </r>
  <r>
    <x v="1422"/>
    <x v="140"/>
    <x v="0"/>
    <x v="9"/>
    <x v="0"/>
    <n v="14"/>
    <s v="Coimbatore"/>
    <s v="2025-04-02"/>
    <x v="23"/>
    <x v="3"/>
    <x v="19"/>
    <x v="18"/>
    <x v="46"/>
    <x v="0"/>
    <n v="390"/>
    <n v="78"/>
    <x v="1"/>
    <x v="1"/>
    <n v="3719"/>
    <s v="Dance"/>
    <x v="0"/>
  </r>
  <r>
    <x v="1423"/>
    <x v="115"/>
    <x v="0"/>
    <x v="5"/>
    <x v="2"/>
    <n v="6"/>
    <s v="Pune"/>
    <s v="2023-06-30"/>
    <x v="33"/>
    <x v="19"/>
    <x v="60"/>
    <x v="15"/>
    <x v="1"/>
    <x v="41"/>
    <n v="282"/>
    <n v="56.4"/>
    <x v="3"/>
    <x v="1"/>
    <n v="1509"/>
    <s v="Coding Club"/>
    <x v="0"/>
  </r>
  <r>
    <x v="1424"/>
    <x v="85"/>
    <x v="0"/>
    <x v="5"/>
    <x v="3"/>
    <n v="8"/>
    <s v="Hyderabad"/>
    <s v="2025-08-17"/>
    <x v="11"/>
    <x v="36"/>
    <x v="46"/>
    <x v="17"/>
    <x v="33"/>
    <x v="10"/>
    <n v="341"/>
    <n v="68.2"/>
    <x v="0"/>
    <x v="0"/>
    <n v="4299"/>
    <s v="Coding Club"/>
    <x v="0"/>
  </r>
  <r>
    <x v="1425"/>
    <x v="69"/>
    <x v="1"/>
    <x v="1"/>
    <x v="2"/>
    <n v="12"/>
    <s v="Mumbai"/>
    <s v="2021-09-07"/>
    <x v="20"/>
    <x v="52"/>
    <x v="46"/>
    <x v="4"/>
    <x v="61"/>
    <x v="21"/>
    <n v="348"/>
    <n v="69.599999999999994"/>
    <x v="0"/>
    <x v="1"/>
    <n v="1773"/>
    <s v="Coding Club"/>
    <x v="0"/>
  </r>
  <r>
    <x v="1426"/>
    <x v="109"/>
    <x v="0"/>
    <x v="1"/>
    <x v="0"/>
    <n v="14"/>
    <s v="Bangalore"/>
    <s v="2025-06-09"/>
    <x v="33"/>
    <x v="17"/>
    <x v="44"/>
    <x v="65"/>
    <x v="39"/>
    <x v="41"/>
    <n v="340"/>
    <n v="68"/>
    <x v="0"/>
    <x v="0"/>
    <n v="3930"/>
    <s v="Drama"/>
    <x v="0"/>
  </r>
  <r>
    <x v="1427"/>
    <x v="33"/>
    <x v="0"/>
    <x v="0"/>
    <x v="3"/>
    <n v="15"/>
    <s v="Madurai"/>
    <s v="2021-06-12"/>
    <x v="31"/>
    <x v="34"/>
    <x v="62"/>
    <x v="41"/>
    <x v="23"/>
    <x v="50"/>
    <n v="370"/>
    <n v="74"/>
    <x v="1"/>
    <x v="0"/>
    <n v="3145"/>
    <s v="Art"/>
    <x v="0"/>
  </r>
  <r>
    <x v="1428"/>
    <x v="78"/>
    <x v="1"/>
    <x v="10"/>
    <x v="1"/>
    <n v="11"/>
    <s v="Coimbatore"/>
    <s v="2021-03-04"/>
    <x v="15"/>
    <x v="12"/>
    <x v="59"/>
    <x v="65"/>
    <x v="45"/>
    <x v="16"/>
    <n v="392"/>
    <n v="78.400000000000006"/>
    <x v="1"/>
    <x v="1"/>
    <n v="1637"/>
    <s v="Coding Club"/>
    <x v="0"/>
  </r>
  <r>
    <x v="1429"/>
    <x v="137"/>
    <x v="1"/>
    <x v="7"/>
    <x v="3"/>
    <n v="10"/>
    <s v="Hyderabad"/>
    <s v="2024-12-16"/>
    <x v="24"/>
    <x v="33"/>
    <x v="39"/>
    <x v="61"/>
    <x v="58"/>
    <x v="20"/>
    <n v="315"/>
    <n v="63"/>
    <x v="0"/>
    <x v="1"/>
    <n v="2949"/>
    <s v="Sports"/>
    <x v="0"/>
  </r>
  <r>
    <x v="1430"/>
    <x v="82"/>
    <x v="1"/>
    <x v="0"/>
    <x v="3"/>
    <n v="15"/>
    <s v="Coimbatore"/>
    <s v="2023-11-03"/>
    <x v="33"/>
    <x v="42"/>
    <x v="63"/>
    <x v="0"/>
    <x v="2"/>
    <x v="26"/>
    <n v="365"/>
    <n v="73"/>
    <x v="1"/>
    <x v="1"/>
    <n v="3891"/>
    <s v="Drama"/>
    <x v="0"/>
  </r>
  <r>
    <x v="1431"/>
    <x v="98"/>
    <x v="1"/>
    <x v="7"/>
    <x v="1"/>
    <n v="9"/>
    <s v="Chennai"/>
    <s v="2021-06-11"/>
    <x v="2"/>
    <x v="62"/>
    <x v="62"/>
    <x v="2"/>
    <x v="32"/>
    <x v="57"/>
    <n v="310"/>
    <n v="62"/>
    <x v="0"/>
    <x v="0"/>
    <n v="4069"/>
    <s v="Music"/>
    <x v="0"/>
  </r>
  <r>
    <x v="1432"/>
    <x v="47"/>
    <x v="1"/>
    <x v="11"/>
    <x v="0"/>
    <n v="15"/>
    <s v="Chennai"/>
    <s v="2021-09-25"/>
    <x v="14"/>
    <x v="22"/>
    <x v="34"/>
    <x v="14"/>
    <x v="57"/>
    <x v="37"/>
    <n v="418"/>
    <n v="83.6"/>
    <x v="2"/>
    <x v="0"/>
    <n v="4392"/>
    <s v="Music"/>
    <x v="0"/>
  </r>
  <r>
    <x v="1433"/>
    <x v="4"/>
    <x v="1"/>
    <x v="2"/>
    <x v="0"/>
    <n v="9"/>
    <s v="Hyderabad"/>
    <s v="2021-10-14"/>
    <x v="3"/>
    <x v="15"/>
    <x v="15"/>
    <x v="4"/>
    <x v="8"/>
    <x v="15"/>
    <n v="350"/>
    <n v="70"/>
    <x v="1"/>
    <x v="1"/>
    <n v="2818"/>
    <s v="Art"/>
    <x v="0"/>
  </r>
  <r>
    <x v="1434"/>
    <x v="95"/>
    <x v="0"/>
    <x v="0"/>
    <x v="3"/>
    <n v="15"/>
    <s v="Hyderabad"/>
    <s v="2025-04-09"/>
    <x v="35"/>
    <x v="4"/>
    <x v="19"/>
    <x v="31"/>
    <x v="40"/>
    <x v="39"/>
    <n v="335"/>
    <n v="67"/>
    <x v="0"/>
    <x v="1"/>
    <n v="3305"/>
    <s v="Coding Club"/>
    <x v="0"/>
  </r>
  <r>
    <x v="1435"/>
    <x v="135"/>
    <x v="1"/>
    <x v="10"/>
    <x v="2"/>
    <n v="12"/>
    <s v="Mumbai"/>
    <s v="2024-09-02"/>
    <x v="7"/>
    <x v="19"/>
    <x v="26"/>
    <x v="23"/>
    <x v="9"/>
    <x v="36"/>
    <n v="263"/>
    <n v="52.6"/>
    <x v="3"/>
    <x v="1"/>
    <n v="2703"/>
    <s v="Art"/>
    <x v="1"/>
  </r>
  <r>
    <x v="1436"/>
    <x v="135"/>
    <x v="0"/>
    <x v="11"/>
    <x v="0"/>
    <n v="16"/>
    <s v="Mumbai"/>
    <s v="2021-08-16"/>
    <x v="17"/>
    <x v="10"/>
    <x v="8"/>
    <x v="37"/>
    <x v="3"/>
    <x v="24"/>
    <n v="371"/>
    <n v="74.2"/>
    <x v="1"/>
    <x v="0"/>
    <n v="4441"/>
    <s v="Coding Club"/>
    <x v="0"/>
  </r>
  <r>
    <x v="1437"/>
    <x v="57"/>
    <x v="1"/>
    <x v="6"/>
    <x v="2"/>
    <n v="11"/>
    <s v="Chennai"/>
    <s v="2022-09-15"/>
    <x v="5"/>
    <x v="13"/>
    <x v="36"/>
    <x v="47"/>
    <x v="40"/>
    <x v="34"/>
    <n v="307"/>
    <n v="61.4"/>
    <x v="0"/>
    <x v="0"/>
    <n v="4959"/>
    <s v="Music"/>
    <x v="0"/>
  </r>
  <r>
    <x v="1438"/>
    <x v="142"/>
    <x v="0"/>
    <x v="8"/>
    <x v="2"/>
    <n v="9"/>
    <s v="Hyderabad"/>
    <s v="2023-05-12"/>
    <x v="36"/>
    <x v="29"/>
    <x v="62"/>
    <x v="37"/>
    <x v="23"/>
    <x v="33"/>
    <n v="323"/>
    <n v="64.599999999999994"/>
    <x v="0"/>
    <x v="1"/>
    <n v="4979"/>
    <s v="Coding Club"/>
    <x v="0"/>
  </r>
  <r>
    <x v="1439"/>
    <x v="103"/>
    <x v="0"/>
    <x v="1"/>
    <x v="3"/>
    <n v="13"/>
    <s v="Madurai"/>
    <s v="2022-11-22"/>
    <x v="13"/>
    <x v="57"/>
    <x v="36"/>
    <x v="4"/>
    <x v="3"/>
    <x v="41"/>
    <n v="368"/>
    <n v="73.599999999999994"/>
    <x v="1"/>
    <x v="1"/>
    <n v="4612"/>
    <s v="Music"/>
    <x v="0"/>
  </r>
  <r>
    <x v="1440"/>
    <x v="7"/>
    <x v="1"/>
    <x v="9"/>
    <x v="2"/>
    <n v="13"/>
    <s v="Bangalore"/>
    <s v="2023-12-29"/>
    <x v="16"/>
    <x v="15"/>
    <x v="41"/>
    <x v="11"/>
    <x v="15"/>
    <x v="15"/>
    <n v="393"/>
    <n v="78.599999999999994"/>
    <x v="1"/>
    <x v="0"/>
    <n v="1910"/>
    <s v="Music"/>
    <x v="0"/>
  </r>
  <r>
    <x v="1441"/>
    <x v="10"/>
    <x v="0"/>
    <x v="2"/>
    <x v="2"/>
    <n v="8"/>
    <s v="Mumbai"/>
    <s v="2021-12-08"/>
    <x v="24"/>
    <x v="52"/>
    <x v="54"/>
    <x v="62"/>
    <x v="64"/>
    <x v="24"/>
    <n v="315"/>
    <n v="63"/>
    <x v="0"/>
    <x v="0"/>
    <n v="2976"/>
    <s v="Coding Club"/>
    <x v="0"/>
  </r>
  <r>
    <x v="1442"/>
    <x v="86"/>
    <x v="1"/>
    <x v="11"/>
    <x v="1"/>
    <n v="16"/>
    <s v="Coimbatore"/>
    <s v="2025-06-21"/>
    <x v="1"/>
    <x v="36"/>
    <x v="27"/>
    <x v="15"/>
    <x v="64"/>
    <x v="37"/>
    <n v="322"/>
    <n v="64.400000000000006"/>
    <x v="0"/>
    <x v="1"/>
    <n v="1928"/>
    <s v="Coding Club"/>
    <x v="0"/>
  </r>
  <r>
    <x v="1443"/>
    <x v="109"/>
    <x v="0"/>
    <x v="10"/>
    <x v="3"/>
    <n v="12"/>
    <s v="Madurai"/>
    <s v="2024-03-07"/>
    <x v="1"/>
    <x v="13"/>
    <x v="56"/>
    <x v="33"/>
    <x v="41"/>
    <x v="57"/>
    <n v="346"/>
    <n v="69.2"/>
    <x v="0"/>
    <x v="0"/>
    <n v="4780"/>
    <s v="Music"/>
    <x v="0"/>
  </r>
  <r>
    <x v="1444"/>
    <x v="149"/>
    <x v="1"/>
    <x v="0"/>
    <x v="2"/>
    <n v="15"/>
    <s v="Madurai"/>
    <s v="2024-10-16"/>
    <x v="33"/>
    <x v="48"/>
    <x v="39"/>
    <x v="22"/>
    <x v="5"/>
    <x v="51"/>
    <n v="292"/>
    <n v="58.4"/>
    <x v="3"/>
    <x v="0"/>
    <n v="4975"/>
    <s v="Dance"/>
    <x v="0"/>
  </r>
  <r>
    <x v="1445"/>
    <x v="21"/>
    <x v="0"/>
    <x v="5"/>
    <x v="1"/>
    <n v="6"/>
    <s v="Madurai"/>
    <s v="2025-08-12"/>
    <x v="19"/>
    <x v="33"/>
    <x v="3"/>
    <x v="57"/>
    <x v="14"/>
    <x v="44"/>
    <n v="337"/>
    <n v="67.400000000000006"/>
    <x v="0"/>
    <x v="0"/>
    <n v="4886"/>
    <s v="Dance"/>
    <x v="0"/>
  </r>
  <r>
    <x v="1446"/>
    <x v="71"/>
    <x v="0"/>
    <x v="6"/>
    <x v="1"/>
    <n v="10"/>
    <s v="Mumbai"/>
    <s v="2024-11-26"/>
    <x v="21"/>
    <x v="55"/>
    <x v="42"/>
    <x v="27"/>
    <x v="13"/>
    <x v="36"/>
    <n v="300"/>
    <n v="60"/>
    <x v="0"/>
    <x v="0"/>
    <n v="4342"/>
    <s v="Art"/>
    <x v="0"/>
  </r>
  <r>
    <x v="1447"/>
    <x v="144"/>
    <x v="1"/>
    <x v="9"/>
    <x v="2"/>
    <n v="13"/>
    <s v="Coimbatore"/>
    <s v="2022-06-24"/>
    <x v="3"/>
    <x v="30"/>
    <x v="29"/>
    <x v="38"/>
    <x v="48"/>
    <x v="16"/>
    <n v="405"/>
    <n v="81"/>
    <x v="2"/>
    <x v="0"/>
    <n v="3439"/>
    <s v="Art"/>
    <x v="0"/>
  </r>
  <r>
    <x v="1448"/>
    <x v="2"/>
    <x v="1"/>
    <x v="9"/>
    <x v="3"/>
    <n v="13"/>
    <s v="Chennai"/>
    <s v="2021-05-18"/>
    <x v="17"/>
    <x v="34"/>
    <x v="36"/>
    <x v="21"/>
    <x v="24"/>
    <x v="13"/>
    <n v="372"/>
    <n v="74.400000000000006"/>
    <x v="1"/>
    <x v="0"/>
    <n v="4220"/>
    <s v="Art"/>
    <x v="0"/>
  </r>
  <r>
    <x v="1449"/>
    <x v="77"/>
    <x v="0"/>
    <x v="6"/>
    <x v="2"/>
    <n v="11"/>
    <s v="Chennai"/>
    <s v="2024-08-06"/>
    <x v="12"/>
    <x v="40"/>
    <x v="8"/>
    <x v="50"/>
    <x v="10"/>
    <x v="40"/>
    <n v="358"/>
    <n v="71.599999999999994"/>
    <x v="1"/>
    <x v="0"/>
    <n v="2795"/>
    <s v="Drama"/>
    <x v="0"/>
  </r>
  <r>
    <x v="1450"/>
    <x v="116"/>
    <x v="1"/>
    <x v="2"/>
    <x v="0"/>
    <n v="9"/>
    <s v="Chennai"/>
    <s v="2021-12-13"/>
    <x v="32"/>
    <x v="28"/>
    <x v="19"/>
    <x v="36"/>
    <x v="49"/>
    <x v="15"/>
    <n v="305"/>
    <n v="61"/>
    <x v="0"/>
    <x v="1"/>
    <n v="4232"/>
    <s v="Music"/>
    <x v="0"/>
  </r>
  <r>
    <x v="1451"/>
    <x v="62"/>
    <x v="0"/>
    <x v="7"/>
    <x v="2"/>
    <n v="10"/>
    <s v="Bangalore"/>
    <s v="2025-10-14"/>
    <x v="7"/>
    <x v="25"/>
    <x v="46"/>
    <x v="30"/>
    <x v="25"/>
    <x v="58"/>
    <n v="331"/>
    <n v="66.2"/>
    <x v="0"/>
    <x v="1"/>
    <n v="4664"/>
    <s v="Drama"/>
    <x v="0"/>
  </r>
  <r>
    <x v="1452"/>
    <x v="15"/>
    <x v="0"/>
    <x v="5"/>
    <x v="0"/>
    <n v="7"/>
    <s v="Hyderabad"/>
    <s v="2024-08-23"/>
    <x v="20"/>
    <x v="35"/>
    <x v="13"/>
    <x v="23"/>
    <x v="45"/>
    <x v="63"/>
    <n v="289"/>
    <n v="57.8"/>
    <x v="3"/>
    <x v="1"/>
    <n v="4943"/>
    <s v="Art"/>
    <x v="0"/>
  </r>
  <r>
    <x v="1453"/>
    <x v="30"/>
    <x v="1"/>
    <x v="0"/>
    <x v="0"/>
    <n v="16"/>
    <s v="Pune"/>
    <s v="2021-03-14"/>
    <x v="21"/>
    <x v="4"/>
    <x v="61"/>
    <x v="10"/>
    <x v="50"/>
    <x v="31"/>
    <n v="439"/>
    <n v="87.8"/>
    <x v="2"/>
    <x v="0"/>
    <n v="3689"/>
    <s v="Dance"/>
    <x v="0"/>
  </r>
  <r>
    <x v="1454"/>
    <x v="43"/>
    <x v="0"/>
    <x v="1"/>
    <x v="0"/>
    <n v="13"/>
    <s v="Mumbai"/>
    <s v="2023-04-04"/>
    <x v="28"/>
    <x v="8"/>
    <x v="50"/>
    <x v="17"/>
    <x v="63"/>
    <x v="57"/>
    <n v="416"/>
    <n v="83.2"/>
    <x v="2"/>
    <x v="0"/>
    <n v="1639"/>
    <s v="Art"/>
    <x v="0"/>
  </r>
  <r>
    <x v="1455"/>
    <x v="72"/>
    <x v="0"/>
    <x v="5"/>
    <x v="2"/>
    <n v="7"/>
    <s v="Chennai"/>
    <s v="2023-07-18"/>
    <x v="26"/>
    <x v="18"/>
    <x v="59"/>
    <x v="55"/>
    <x v="33"/>
    <x v="14"/>
    <n v="290"/>
    <n v="58"/>
    <x v="3"/>
    <x v="0"/>
    <n v="4418"/>
    <s v="Music"/>
    <x v="0"/>
  </r>
  <r>
    <x v="1456"/>
    <x v="59"/>
    <x v="1"/>
    <x v="5"/>
    <x v="2"/>
    <n v="7"/>
    <s v="Pune"/>
    <s v="2023-01-27"/>
    <x v="36"/>
    <x v="36"/>
    <x v="60"/>
    <x v="37"/>
    <x v="45"/>
    <x v="20"/>
    <n v="270"/>
    <n v="54"/>
    <x v="3"/>
    <x v="0"/>
    <n v="3455"/>
    <s v="Sports"/>
    <x v="1"/>
  </r>
  <r>
    <x v="1457"/>
    <x v="77"/>
    <x v="1"/>
    <x v="6"/>
    <x v="3"/>
    <n v="10"/>
    <s v="Bangalore"/>
    <s v="2022-03-05"/>
    <x v="33"/>
    <x v="13"/>
    <x v="61"/>
    <x v="28"/>
    <x v="53"/>
    <x v="58"/>
    <n v="279"/>
    <n v="55.8"/>
    <x v="3"/>
    <x v="0"/>
    <n v="2292"/>
    <s v="Dance"/>
    <x v="0"/>
  </r>
  <r>
    <x v="1458"/>
    <x v="37"/>
    <x v="0"/>
    <x v="2"/>
    <x v="1"/>
    <n v="10"/>
    <s v="Bangalore"/>
    <s v="2024-11-27"/>
    <x v="13"/>
    <x v="46"/>
    <x v="59"/>
    <x v="65"/>
    <x v="51"/>
    <x v="16"/>
    <n v="391"/>
    <n v="78.2"/>
    <x v="1"/>
    <x v="0"/>
    <n v="3734"/>
    <s v="Art"/>
    <x v="0"/>
  </r>
  <r>
    <x v="1459"/>
    <x v="48"/>
    <x v="0"/>
    <x v="1"/>
    <x v="0"/>
    <n v="14"/>
    <s v="Coimbatore"/>
    <s v="2025-05-18"/>
    <x v="30"/>
    <x v="34"/>
    <x v="40"/>
    <x v="19"/>
    <x v="31"/>
    <x v="48"/>
    <n v="312"/>
    <n v="62.4"/>
    <x v="0"/>
    <x v="0"/>
    <n v="3121"/>
    <s v="Art"/>
    <x v="0"/>
  </r>
  <r>
    <x v="1460"/>
    <x v="52"/>
    <x v="0"/>
    <x v="9"/>
    <x v="3"/>
    <n v="15"/>
    <s v="Hyderabad"/>
    <s v="2023-04-20"/>
    <x v="0"/>
    <x v="18"/>
    <x v="57"/>
    <x v="36"/>
    <x v="64"/>
    <x v="64"/>
    <n v="283"/>
    <n v="56.6"/>
    <x v="3"/>
    <x v="1"/>
    <n v="4686"/>
    <s v="Sports"/>
    <x v="0"/>
  </r>
  <r>
    <x v="1461"/>
    <x v="98"/>
    <x v="1"/>
    <x v="4"/>
    <x v="3"/>
    <n v="16"/>
    <s v="Hyderabad"/>
    <s v="2021-09-14"/>
    <x v="34"/>
    <x v="31"/>
    <x v="27"/>
    <x v="20"/>
    <x v="53"/>
    <x v="34"/>
    <n v="306"/>
    <n v="61.2"/>
    <x v="0"/>
    <x v="0"/>
    <n v="3753"/>
    <s v="Music"/>
    <x v="0"/>
  </r>
  <r>
    <x v="1462"/>
    <x v="12"/>
    <x v="0"/>
    <x v="11"/>
    <x v="0"/>
    <n v="16"/>
    <s v="Hyderabad"/>
    <s v="2023-06-03"/>
    <x v="20"/>
    <x v="22"/>
    <x v="41"/>
    <x v="19"/>
    <x v="0"/>
    <x v="18"/>
    <n v="390"/>
    <n v="78"/>
    <x v="1"/>
    <x v="1"/>
    <n v="3981"/>
    <s v="Art"/>
    <x v="0"/>
  </r>
  <r>
    <x v="1463"/>
    <x v="54"/>
    <x v="0"/>
    <x v="10"/>
    <x v="1"/>
    <n v="11"/>
    <s v="Hyderabad"/>
    <s v="2024-01-10"/>
    <x v="37"/>
    <x v="13"/>
    <x v="37"/>
    <x v="63"/>
    <x v="46"/>
    <x v="8"/>
    <n v="308"/>
    <n v="61.6"/>
    <x v="0"/>
    <x v="1"/>
    <n v="1968"/>
    <s v="Coding Club"/>
    <x v="0"/>
  </r>
  <r>
    <x v="1464"/>
    <x v="3"/>
    <x v="0"/>
    <x v="7"/>
    <x v="0"/>
    <n v="11"/>
    <s v="Chennai"/>
    <s v="2024-07-23"/>
    <x v="12"/>
    <x v="13"/>
    <x v="37"/>
    <x v="21"/>
    <x v="22"/>
    <x v="26"/>
    <n v="316"/>
    <n v="63.2"/>
    <x v="0"/>
    <x v="0"/>
    <n v="2246"/>
    <s v="Drama"/>
    <x v="0"/>
  </r>
  <r>
    <x v="1465"/>
    <x v="30"/>
    <x v="1"/>
    <x v="10"/>
    <x v="3"/>
    <n v="12"/>
    <s v="Madurai"/>
    <s v="2024-06-15"/>
    <x v="7"/>
    <x v="44"/>
    <x v="29"/>
    <x v="29"/>
    <x v="33"/>
    <x v="3"/>
    <n v="339"/>
    <n v="67.8"/>
    <x v="0"/>
    <x v="0"/>
    <n v="2139"/>
    <s v="Music"/>
    <x v="0"/>
  </r>
  <r>
    <x v="1466"/>
    <x v="122"/>
    <x v="0"/>
    <x v="8"/>
    <x v="2"/>
    <n v="9"/>
    <s v="Bangalore"/>
    <s v="2022-02-02"/>
    <x v="15"/>
    <x v="15"/>
    <x v="62"/>
    <x v="32"/>
    <x v="22"/>
    <x v="47"/>
    <n v="402"/>
    <n v="80.400000000000006"/>
    <x v="2"/>
    <x v="1"/>
    <n v="4611"/>
    <s v="Dance"/>
    <x v="0"/>
  </r>
  <r>
    <x v="1467"/>
    <x v="40"/>
    <x v="1"/>
    <x v="3"/>
    <x v="0"/>
    <n v="6"/>
    <s v="Pune"/>
    <s v="2024-09-25"/>
    <x v="40"/>
    <x v="14"/>
    <x v="44"/>
    <x v="40"/>
    <x v="31"/>
    <x v="13"/>
    <n v="389"/>
    <n v="77.8"/>
    <x v="1"/>
    <x v="1"/>
    <n v="2429"/>
    <s v="Art"/>
    <x v="0"/>
  </r>
  <r>
    <x v="1468"/>
    <x v="11"/>
    <x v="1"/>
    <x v="10"/>
    <x v="1"/>
    <n v="13"/>
    <s v="Chennai"/>
    <s v="2024-07-02"/>
    <x v="24"/>
    <x v="59"/>
    <x v="49"/>
    <x v="52"/>
    <x v="32"/>
    <x v="21"/>
    <n v="358"/>
    <n v="71.599999999999994"/>
    <x v="1"/>
    <x v="0"/>
    <n v="4197"/>
    <s v="Music"/>
    <x v="0"/>
  </r>
  <r>
    <x v="1469"/>
    <x v="71"/>
    <x v="0"/>
    <x v="3"/>
    <x v="3"/>
    <n v="6"/>
    <s v="Madurai"/>
    <s v="2022-05-09"/>
    <x v="14"/>
    <x v="34"/>
    <x v="14"/>
    <x v="9"/>
    <x v="24"/>
    <x v="37"/>
    <n v="348"/>
    <n v="69.599999999999994"/>
    <x v="0"/>
    <x v="1"/>
    <n v="2642"/>
    <s v="Sports"/>
    <x v="0"/>
  </r>
  <r>
    <x v="1470"/>
    <x v="86"/>
    <x v="0"/>
    <x v="1"/>
    <x v="0"/>
    <n v="12"/>
    <s v="Hyderabad"/>
    <s v="2025-04-26"/>
    <x v="34"/>
    <x v="32"/>
    <x v="33"/>
    <x v="15"/>
    <x v="38"/>
    <x v="19"/>
    <n v="285"/>
    <n v="57"/>
    <x v="3"/>
    <x v="0"/>
    <n v="3093"/>
    <s v="Sports"/>
    <x v="0"/>
  </r>
  <r>
    <x v="1471"/>
    <x v="2"/>
    <x v="1"/>
    <x v="8"/>
    <x v="1"/>
    <n v="9"/>
    <s v="Hyderabad"/>
    <s v="2025-08-20"/>
    <x v="16"/>
    <x v="2"/>
    <x v="57"/>
    <x v="51"/>
    <x v="39"/>
    <x v="10"/>
    <n v="353"/>
    <n v="70.599999999999994"/>
    <x v="1"/>
    <x v="0"/>
    <n v="1506"/>
    <s v="Drama"/>
    <x v="0"/>
  </r>
  <r>
    <x v="1472"/>
    <x v="119"/>
    <x v="0"/>
    <x v="9"/>
    <x v="3"/>
    <n v="15"/>
    <s v="Madurai"/>
    <s v="2024-03-21"/>
    <x v="37"/>
    <x v="53"/>
    <x v="5"/>
    <x v="51"/>
    <x v="6"/>
    <x v="21"/>
    <n v="295"/>
    <n v="59"/>
    <x v="3"/>
    <x v="1"/>
    <n v="3026"/>
    <s v="Dance"/>
    <x v="0"/>
  </r>
  <r>
    <x v="1473"/>
    <x v="35"/>
    <x v="1"/>
    <x v="9"/>
    <x v="0"/>
    <n v="15"/>
    <s v="Bangalore"/>
    <s v="2024-11-21"/>
    <x v="27"/>
    <x v="58"/>
    <x v="64"/>
    <x v="54"/>
    <x v="3"/>
    <x v="65"/>
    <n v="328"/>
    <n v="65.599999999999994"/>
    <x v="0"/>
    <x v="1"/>
    <n v="4051"/>
    <s v="Drama"/>
    <x v="0"/>
  </r>
  <r>
    <x v="1474"/>
    <x v="40"/>
    <x v="0"/>
    <x v="5"/>
    <x v="3"/>
    <n v="6"/>
    <s v="Hyderabad"/>
    <s v="2021-07-26"/>
    <x v="4"/>
    <x v="45"/>
    <x v="46"/>
    <x v="18"/>
    <x v="36"/>
    <x v="43"/>
    <n v="340"/>
    <n v="68"/>
    <x v="0"/>
    <x v="0"/>
    <n v="4647"/>
    <s v="Art"/>
    <x v="0"/>
  </r>
  <r>
    <x v="1475"/>
    <x v="103"/>
    <x v="0"/>
    <x v="0"/>
    <x v="3"/>
    <n v="15"/>
    <s v="Chennai"/>
    <s v="2025-06-19"/>
    <x v="24"/>
    <x v="22"/>
    <x v="24"/>
    <x v="54"/>
    <x v="21"/>
    <x v="55"/>
    <n v="383"/>
    <n v="76.599999999999994"/>
    <x v="1"/>
    <x v="0"/>
    <n v="4051"/>
    <s v="Drama"/>
    <x v="0"/>
  </r>
  <r>
    <x v="1476"/>
    <x v="37"/>
    <x v="0"/>
    <x v="11"/>
    <x v="1"/>
    <n v="16"/>
    <s v="Hyderabad"/>
    <s v="2021-11-08"/>
    <x v="40"/>
    <x v="53"/>
    <x v="49"/>
    <x v="25"/>
    <x v="30"/>
    <x v="52"/>
    <n v="303"/>
    <n v="60.6"/>
    <x v="0"/>
    <x v="0"/>
    <n v="3157"/>
    <s v="Art"/>
    <x v="0"/>
  </r>
  <r>
    <x v="1477"/>
    <x v="35"/>
    <x v="0"/>
    <x v="5"/>
    <x v="1"/>
    <n v="6"/>
    <s v="Bangalore"/>
    <s v="2021-09-22"/>
    <x v="30"/>
    <x v="45"/>
    <x v="24"/>
    <x v="62"/>
    <x v="32"/>
    <x v="22"/>
    <n v="309"/>
    <n v="61.8"/>
    <x v="0"/>
    <x v="0"/>
    <n v="3950"/>
    <s v="Coding Club"/>
    <x v="0"/>
  </r>
  <r>
    <x v="1478"/>
    <x v="79"/>
    <x v="0"/>
    <x v="2"/>
    <x v="3"/>
    <n v="9"/>
    <s v="Mumbai"/>
    <s v="2025-05-25"/>
    <x v="40"/>
    <x v="62"/>
    <x v="59"/>
    <x v="43"/>
    <x v="31"/>
    <x v="24"/>
    <n v="386"/>
    <n v="77.2"/>
    <x v="1"/>
    <x v="1"/>
    <n v="3851"/>
    <s v="Drama"/>
    <x v="0"/>
  </r>
  <r>
    <x v="1479"/>
    <x v="109"/>
    <x v="0"/>
    <x v="3"/>
    <x v="1"/>
    <n v="6"/>
    <s v="Madurai"/>
    <s v="2025-05-18"/>
    <x v="17"/>
    <x v="15"/>
    <x v="40"/>
    <x v="26"/>
    <x v="30"/>
    <x v="17"/>
    <n v="280"/>
    <n v="56"/>
    <x v="3"/>
    <x v="0"/>
    <n v="1521"/>
    <s v="Drama"/>
    <x v="0"/>
  </r>
  <r>
    <x v="1480"/>
    <x v="139"/>
    <x v="1"/>
    <x v="1"/>
    <x v="1"/>
    <n v="13"/>
    <s v="Hyderabad"/>
    <s v="2021-12-10"/>
    <x v="11"/>
    <x v="28"/>
    <x v="51"/>
    <x v="50"/>
    <x v="48"/>
    <x v="23"/>
    <n v="293"/>
    <n v="58.6"/>
    <x v="3"/>
    <x v="0"/>
    <n v="3753"/>
    <s v="Music"/>
    <x v="0"/>
  </r>
  <r>
    <x v="1481"/>
    <x v="105"/>
    <x v="1"/>
    <x v="10"/>
    <x v="1"/>
    <n v="12"/>
    <s v="Hyderabad"/>
    <s v="2023-02-01"/>
    <x v="8"/>
    <x v="63"/>
    <x v="38"/>
    <x v="62"/>
    <x v="18"/>
    <x v="9"/>
    <n v="385"/>
    <n v="77"/>
    <x v="1"/>
    <x v="0"/>
    <n v="2653"/>
    <s v="Drama"/>
    <x v="0"/>
  </r>
  <r>
    <x v="1482"/>
    <x v="37"/>
    <x v="1"/>
    <x v="6"/>
    <x v="1"/>
    <n v="11"/>
    <s v="Coimbatore"/>
    <s v="2023-09-16"/>
    <x v="26"/>
    <x v="9"/>
    <x v="35"/>
    <x v="53"/>
    <x v="24"/>
    <x v="12"/>
    <n v="365"/>
    <n v="73"/>
    <x v="1"/>
    <x v="1"/>
    <n v="4325"/>
    <s v="Music"/>
    <x v="0"/>
  </r>
  <r>
    <x v="1483"/>
    <x v="40"/>
    <x v="1"/>
    <x v="11"/>
    <x v="3"/>
    <n v="17"/>
    <s v="Bangalore"/>
    <s v="2024-01-13"/>
    <x v="16"/>
    <x v="36"/>
    <x v="12"/>
    <x v="16"/>
    <x v="14"/>
    <x v="49"/>
    <n v="281"/>
    <n v="56.2"/>
    <x v="3"/>
    <x v="0"/>
    <n v="1846"/>
    <s v="Art"/>
    <x v="0"/>
  </r>
  <r>
    <x v="1484"/>
    <x v="6"/>
    <x v="1"/>
    <x v="9"/>
    <x v="2"/>
    <n v="13"/>
    <s v="Madurai"/>
    <s v="2024-03-28"/>
    <x v="8"/>
    <x v="44"/>
    <x v="65"/>
    <x v="7"/>
    <x v="28"/>
    <x v="27"/>
    <n v="376"/>
    <n v="75.2"/>
    <x v="1"/>
    <x v="1"/>
    <n v="4814"/>
    <s v="Music"/>
    <x v="0"/>
  </r>
  <r>
    <x v="1485"/>
    <x v="145"/>
    <x v="1"/>
    <x v="4"/>
    <x v="0"/>
    <n v="17"/>
    <s v="Coimbatore"/>
    <s v="2022-10-02"/>
    <x v="37"/>
    <x v="3"/>
    <x v="6"/>
    <x v="4"/>
    <x v="62"/>
    <x v="48"/>
    <n v="337"/>
    <n v="67.400000000000006"/>
    <x v="0"/>
    <x v="1"/>
    <n v="4127"/>
    <s v="Dance"/>
    <x v="0"/>
  </r>
  <r>
    <x v="1486"/>
    <x v="14"/>
    <x v="1"/>
    <x v="7"/>
    <x v="0"/>
    <n v="9"/>
    <s v="Mumbai"/>
    <s v="2024-08-02"/>
    <x v="39"/>
    <x v="20"/>
    <x v="21"/>
    <x v="39"/>
    <x v="20"/>
    <x v="48"/>
    <n v="352"/>
    <n v="70.400000000000006"/>
    <x v="1"/>
    <x v="0"/>
    <n v="4987"/>
    <s v="Drama"/>
    <x v="0"/>
  </r>
  <r>
    <x v="1487"/>
    <x v="132"/>
    <x v="1"/>
    <x v="0"/>
    <x v="3"/>
    <n v="16"/>
    <s v="Coimbatore"/>
    <s v="2025-08-04"/>
    <x v="21"/>
    <x v="0"/>
    <x v="3"/>
    <x v="46"/>
    <x v="45"/>
    <x v="14"/>
    <n v="324"/>
    <n v="64.8"/>
    <x v="0"/>
    <x v="1"/>
    <n v="3858"/>
    <s v="Drama"/>
    <x v="0"/>
  </r>
  <r>
    <x v="1488"/>
    <x v="148"/>
    <x v="0"/>
    <x v="4"/>
    <x v="1"/>
    <n v="18"/>
    <s v="Bangalore"/>
    <s v="2021-10-27"/>
    <x v="30"/>
    <x v="34"/>
    <x v="48"/>
    <x v="36"/>
    <x v="49"/>
    <x v="0"/>
    <n v="293"/>
    <n v="58.6"/>
    <x v="3"/>
    <x v="1"/>
    <n v="3794"/>
    <s v="Music"/>
    <x v="0"/>
  </r>
  <r>
    <x v="1489"/>
    <x v="68"/>
    <x v="1"/>
    <x v="7"/>
    <x v="3"/>
    <n v="10"/>
    <s v="Coimbatore"/>
    <s v="2023-07-29"/>
    <x v="30"/>
    <x v="13"/>
    <x v="54"/>
    <x v="61"/>
    <x v="24"/>
    <x v="39"/>
    <n v="293"/>
    <n v="58.6"/>
    <x v="3"/>
    <x v="0"/>
    <n v="2698"/>
    <s v="Sports"/>
    <x v="0"/>
  </r>
  <r>
    <x v="1490"/>
    <x v="136"/>
    <x v="1"/>
    <x v="5"/>
    <x v="2"/>
    <n v="6"/>
    <s v="Mumbai"/>
    <s v="2024-12-21"/>
    <x v="24"/>
    <x v="47"/>
    <x v="24"/>
    <x v="41"/>
    <x v="6"/>
    <x v="8"/>
    <n v="371"/>
    <n v="74.2"/>
    <x v="1"/>
    <x v="1"/>
    <n v="2873"/>
    <s v="Coding Club"/>
    <x v="0"/>
  </r>
  <r>
    <x v="1491"/>
    <x v="23"/>
    <x v="0"/>
    <x v="11"/>
    <x v="0"/>
    <n v="15"/>
    <s v="Mumbai"/>
    <s v="2025-01-04"/>
    <x v="18"/>
    <x v="63"/>
    <x v="63"/>
    <x v="53"/>
    <x v="50"/>
    <x v="57"/>
    <n v="401"/>
    <n v="80.2"/>
    <x v="2"/>
    <x v="0"/>
    <n v="4932"/>
    <s v="Sports"/>
    <x v="0"/>
  </r>
  <r>
    <x v="1492"/>
    <x v="136"/>
    <x v="1"/>
    <x v="9"/>
    <x v="3"/>
    <n v="15"/>
    <s v="Coimbatore"/>
    <s v="2021-04-25"/>
    <x v="22"/>
    <x v="53"/>
    <x v="44"/>
    <x v="4"/>
    <x v="49"/>
    <x v="0"/>
    <n v="368"/>
    <n v="73.599999999999994"/>
    <x v="1"/>
    <x v="1"/>
    <n v="2184"/>
    <s v="Dance"/>
    <x v="0"/>
  </r>
  <r>
    <x v="1493"/>
    <x v="82"/>
    <x v="0"/>
    <x v="2"/>
    <x v="2"/>
    <n v="8"/>
    <s v="Mumbai"/>
    <s v="2022-09-01"/>
    <x v="3"/>
    <x v="61"/>
    <x v="11"/>
    <x v="40"/>
    <x v="37"/>
    <x v="29"/>
    <n v="275"/>
    <n v="55"/>
    <x v="3"/>
    <x v="1"/>
    <n v="3795"/>
    <s v="Dance"/>
    <x v="1"/>
  </r>
  <r>
    <x v="1494"/>
    <x v="142"/>
    <x v="0"/>
    <x v="5"/>
    <x v="3"/>
    <n v="6"/>
    <s v="Coimbatore"/>
    <s v="2024-06-20"/>
    <x v="4"/>
    <x v="6"/>
    <x v="55"/>
    <x v="25"/>
    <x v="59"/>
    <x v="10"/>
    <n v="398"/>
    <n v="79.599999999999994"/>
    <x v="1"/>
    <x v="1"/>
    <n v="1900"/>
    <s v="Coding Club"/>
    <x v="0"/>
  </r>
  <r>
    <x v="1495"/>
    <x v="72"/>
    <x v="1"/>
    <x v="5"/>
    <x v="1"/>
    <n v="8"/>
    <s v="Chennai"/>
    <s v="2025-04-04"/>
    <x v="28"/>
    <x v="58"/>
    <x v="42"/>
    <x v="45"/>
    <x v="41"/>
    <x v="6"/>
    <n v="293"/>
    <n v="58.6"/>
    <x v="3"/>
    <x v="1"/>
    <n v="3085"/>
    <s v="Coding Club"/>
    <x v="0"/>
  </r>
  <r>
    <x v="1496"/>
    <x v="85"/>
    <x v="1"/>
    <x v="7"/>
    <x v="1"/>
    <n v="10"/>
    <s v="Coimbatore"/>
    <s v="2021-04-03"/>
    <x v="18"/>
    <x v="13"/>
    <x v="35"/>
    <x v="57"/>
    <x v="20"/>
    <x v="63"/>
    <n v="293"/>
    <n v="58.6"/>
    <x v="3"/>
    <x v="1"/>
    <n v="2093"/>
    <s v="Drama"/>
    <x v="0"/>
  </r>
  <r>
    <x v="1497"/>
    <x v="10"/>
    <x v="1"/>
    <x v="8"/>
    <x v="2"/>
    <n v="7"/>
    <s v="Coimbatore"/>
    <s v="2023-11-21"/>
    <x v="27"/>
    <x v="10"/>
    <x v="12"/>
    <x v="0"/>
    <x v="61"/>
    <x v="7"/>
    <n v="423"/>
    <n v="84.6"/>
    <x v="2"/>
    <x v="0"/>
    <n v="1514"/>
    <s v="Drama"/>
    <x v="0"/>
  </r>
  <r>
    <x v="1498"/>
    <x v="48"/>
    <x v="0"/>
    <x v="5"/>
    <x v="1"/>
    <n v="8"/>
    <s v="Chennai"/>
    <s v="2021-12-04"/>
    <x v="15"/>
    <x v="3"/>
    <x v="7"/>
    <x v="8"/>
    <x v="26"/>
    <x v="29"/>
    <n v="344"/>
    <n v="68.8"/>
    <x v="0"/>
    <x v="0"/>
    <n v="4850"/>
    <s v="Coding Club"/>
    <x v="0"/>
  </r>
  <r>
    <x v="1499"/>
    <x v="75"/>
    <x v="1"/>
    <x v="4"/>
    <x v="2"/>
    <n v="18"/>
    <s v="Hyderabad"/>
    <s v="2025-09-29"/>
    <x v="36"/>
    <x v="51"/>
    <x v="57"/>
    <x v="46"/>
    <x v="55"/>
    <x v="54"/>
    <n v="314"/>
    <n v="62.8"/>
    <x v="0"/>
    <x v="0"/>
    <n v="4014"/>
    <s v="Art"/>
    <x v="0"/>
  </r>
  <r>
    <x v="1500"/>
    <x v="49"/>
    <x v="1"/>
    <x v="11"/>
    <x v="0"/>
    <n v="15"/>
    <s v="Mumbai"/>
    <s v="2021-10-08"/>
    <x v="26"/>
    <x v="18"/>
    <x v="64"/>
    <x v="24"/>
    <x v="64"/>
    <x v="39"/>
    <n v="281"/>
    <n v="56.2"/>
    <x v="3"/>
    <x v="0"/>
    <n v="4430"/>
    <s v="Dance"/>
    <x v="0"/>
  </r>
  <r>
    <x v="1501"/>
    <x v="75"/>
    <x v="0"/>
    <x v="9"/>
    <x v="1"/>
    <n v="15"/>
    <s v="Chennai"/>
    <s v="2021-01-17"/>
    <x v="2"/>
    <x v="9"/>
    <x v="36"/>
    <x v="50"/>
    <x v="32"/>
    <x v="60"/>
    <n v="351"/>
    <n v="70.2"/>
    <x v="1"/>
    <x v="1"/>
    <n v="3966"/>
    <s v="Sports"/>
    <x v="0"/>
  </r>
  <r>
    <x v="1502"/>
    <x v="59"/>
    <x v="1"/>
    <x v="11"/>
    <x v="1"/>
    <n v="16"/>
    <s v="Chennai"/>
    <s v="2021-05-30"/>
    <x v="13"/>
    <x v="17"/>
    <x v="18"/>
    <x v="8"/>
    <x v="48"/>
    <x v="47"/>
    <n v="385"/>
    <n v="77"/>
    <x v="1"/>
    <x v="1"/>
    <n v="3948"/>
    <s v="Dance"/>
    <x v="0"/>
  </r>
  <r>
    <x v="1503"/>
    <x v="62"/>
    <x v="0"/>
    <x v="1"/>
    <x v="3"/>
    <n v="14"/>
    <s v="Coimbatore"/>
    <s v="2023-01-12"/>
    <x v="40"/>
    <x v="23"/>
    <x v="38"/>
    <x v="41"/>
    <x v="2"/>
    <x v="17"/>
    <n v="362"/>
    <n v="72.400000000000006"/>
    <x v="1"/>
    <x v="1"/>
    <n v="4699"/>
    <s v="Drama"/>
    <x v="0"/>
  </r>
  <r>
    <x v="1504"/>
    <x v="97"/>
    <x v="1"/>
    <x v="1"/>
    <x v="2"/>
    <n v="14"/>
    <s v="Bangalore"/>
    <s v="2021-04-04"/>
    <x v="30"/>
    <x v="37"/>
    <x v="44"/>
    <x v="41"/>
    <x v="21"/>
    <x v="42"/>
    <n v="380"/>
    <n v="76"/>
    <x v="1"/>
    <x v="1"/>
    <n v="2345"/>
    <s v="Art"/>
    <x v="0"/>
  </r>
  <r>
    <x v="1505"/>
    <x v="86"/>
    <x v="1"/>
    <x v="10"/>
    <x v="0"/>
    <n v="12"/>
    <s v="Bangalore"/>
    <s v="2021-08-21"/>
    <x v="30"/>
    <x v="22"/>
    <x v="0"/>
    <x v="62"/>
    <x v="25"/>
    <x v="16"/>
    <n v="422"/>
    <n v="84.4"/>
    <x v="2"/>
    <x v="0"/>
    <n v="2409"/>
    <s v="Sports"/>
    <x v="0"/>
  </r>
  <r>
    <x v="1506"/>
    <x v="88"/>
    <x v="1"/>
    <x v="6"/>
    <x v="2"/>
    <n v="12"/>
    <s v="Coimbatore"/>
    <s v="2025-05-29"/>
    <x v="7"/>
    <x v="14"/>
    <x v="47"/>
    <x v="19"/>
    <x v="55"/>
    <x v="4"/>
    <n v="391"/>
    <n v="78.2"/>
    <x v="1"/>
    <x v="0"/>
    <n v="4646"/>
    <s v="Music"/>
    <x v="0"/>
  </r>
  <r>
    <x v="1507"/>
    <x v="101"/>
    <x v="1"/>
    <x v="10"/>
    <x v="3"/>
    <n v="11"/>
    <s v="Chennai"/>
    <s v="2022-12-27"/>
    <x v="29"/>
    <x v="47"/>
    <x v="61"/>
    <x v="24"/>
    <x v="43"/>
    <x v="18"/>
    <n v="386"/>
    <n v="77.2"/>
    <x v="1"/>
    <x v="1"/>
    <n v="2763"/>
    <s v="Dance"/>
    <x v="0"/>
  </r>
  <r>
    <x v="1508"/>
    <x v="22"/>
    <x v="0"/>
    <x v="9"/>
    <x v="0"/>
    <n v="13"/>
    <s v="Hyderabad"/>
    <s v="2022-05-23"/>
    <x v="21"/>
    <x v="22"/>
    <x v="56"/>
    <x v="17"/>
    <x v="5"/>
    <x v="40"/>
    <n v="393"/>
    <n v="78.599999999999994"/>
    <x v="1"/>
    <x v="0"/>
    <n v="3685"/>
    <s v="Coding Club"/>
    <x v="0"/>
  </r>
  <r>
    <x v="1509"/>
    <x v="117"/>
    <x v="0"/>
    <x v="5"/>
    <x v="2"/>
    <n v="7"/>
    <s v="Pune"/>
    <s v="2021-08-23"/>
    <x v="0"/>
    <x v="11"/>
    <x v="62"/>
    <x v="63"/>
    <x v="6"/>
    <x v="14"/>
    <n v="316"/>
    <n v="63.2"/>
    <x v="0"/>
    <x v="0"/>
    <n v="1929"/>
    <s v="Art"/>
    <x v="0"/>
  </r>
  <r>
    <x v="1510"/>
    <x v="84"/>
    <x v="1"/>
    <x v="2"/>
    <x v="2"/>
    <n v="10"/>
    <s v="Hyderabad"/>
    <s v="2021-03-22"/>
    <x v="13"/>
    <x v="9"/>
    <x v="13"/>
    <x v="61"/>
    <x v="3"/>
    <x v="16"/>
    <n v="413"/>
    <n v="82.6"/>
    <x v="2"/>
    <x v="0"/>
    <n v="1857"/>
    <s v="Art"/>
    <x v="0"/>
  </r>
  <r>
    <x v="1511"/>
    <x v="106"/>
    <x v="1"/>
    <x v="5"/>
    <x v="1"/>
    <n v="6"/>
    <s v="Pune"/>
    <s v="2024-01-04"/>
    <x v="36"/>
    <x v="33"/>
    <x v="43"/>
    <x v="57"/>
    <x v="3"/>
    <x v="61"/>
    <n v="399"/>
    <n v="79.8"/>
    <x v="1"/>
    <x v="0"/>
    <n v="3971"/>
    <s v="Art"/>
    <x v="0"/>
  </r>
  <r>
    <x v="1512"/>
    <x v="45"/>
    <x v="1"/>
    <x v="3"/>
    <x v="1"/>
    <n v="6"/>
    <s v="Coimbatore"/>
    <s v="2023-05-24"/>
    <x v="31"/>
    <x v="17"/>
    <x v="42"/>
    <x v="7"/>
    <x v="37"/>
    <x v="49"/>
    <n v="302"/>
    <n v="60.4"/>
    <x v="0"/>
    <x v="1"/>
    <n v="2335"/>
    <s v="Drama"/>
    <x v="0"/>
  </r>
  <r>
    <x v="1513"/>
    <x v="47"/>
    <x v="1"/>
    <x v="5"/>
    <x v="1"/>
    <n v="7"/>
    <s v="Coimbatore"/>
    <s v="2021-11-01"/>
    <x v="34"/>
    <x v="10"/>
    <x v="9"/>
    <x v="20"/>
    <x v="14"/>
    <x v="58"/>
    <n v="294"/>
    <n v="58.8"/>
    <x v="3"/>
    <x v="0"/>
    <n v="2483"/>
    <s v="Music"/>
    <x v="0"/>
  </r>
  <r>
    <x v="1514"/>
    <x v="134"/>
    <x v="0"/>
    <x v="0"/>
    <x v="2"/>
    <n v="14"/>
    <s v="Chennai"/>
    <s v="2021-07-06"/>
    <x v="10"/>
    <x v="43"/>
    <x v="3"/>
    <x v="24"/>
    <x v="48"/>
    <x v="12"/>
    <n v="375"/>
    <n v="75"/>
    <x v="1"/>
    <x v="0"/>
    <n v="3537"/>
    <s v="Art"/>
    <x v="0"/>
  </r>
  <r>
    <x v="1515"/>
    <x v="121"/>
    <x v="1"/>
    <x v="6"/>
    <x v="0"/>
    <n v="11"/>
    <s v="Hyderabad"/>
    <s v="2023-03-21"/>
    <x v="36"/>
    <x v="33"/>
    <x v="26"/>
    <x v="30"/>
    <x v="16"/>
    <x v="41"/>
    <n v="345"/>
    <n v="69"/>
    <x v="0"/>
    <x v="1"/>
    <n v="1890"/>
    <s v="Music"/>
    <x v="0"/>
  </r>
  <r>
    <x v="1516"/>
    <x v="107"/>
    <x v="0"/>
    <x v="10"/>
    <x v="2"/>
    <n v="12"/>
    <s v="Pune"/>
    <s v="2024-09-28"/>
    <x v="34"/>
    <x v="8"/>
    <x v="7"/>
    <x v="62"/>
    <x v="17"/>
    <x v="65"/>
    <n v="349"/>
    <n v="69.8"/>
    <x v="0"/>
    <x v="1"/>
    <n v="4698"/>
    <s v="Drama"/>
    <x v="0"/>
  </r>
  <r>
    <x v="1517"/>
    <x v="127"/>
    <x v="1"/>
    <x v="0"/>
    <x v="1"/>
    <n v="16"/>
    <s v="Mumbai"/>
    <s v="2021-12-05"/>
    <x v="11"/>
    <x v="11"/>
    <x v="47"/>
    <x v="15"/>
    <x v="0"/>
    <x v="64"/>
    <n v="275"/>
    <n v="55"/>
    <x v="3"/>
    <x v="1"/>
    <n v="2455"/>
    <s v="Dance"/>
    <x v="1"/>
  </r>
  <r>
    <x v="1518"/>
    <x v="110"/>
    <x v="0"/>
    <x v="7"/>
    <x v="0"/>
    <n v="10"/>
    <s v="Coimbatore"/>
    <s v="2021-02-15"/>
    <x v="26"/>
    <x v="42"/>
    <x v="6"/>
    <x v="24"/>
    <x v="53"/>
    <x v="33"/>
    <n v="358"/>
    <n v="71.599999999999994"/>
    <x v="1"/>
    <x v="0"/>
    <n v="2665"/>
    <s v="Dance"/>
    <x v="0"/>
  </r>
  <r>
    <x v="1519"/>
    <x v="105"/>
    <x v="1"/>
    <x v="0"/>
    <x v="1"/>
    <n v="16"/>
    <s v="Mumbai"/>
    <s v="2022-04-23"/>
    <x v="4"/>
    <x v="55"/>
    <x v="20"/>
    <x v="52"/>
    <x v="51"/>
    <x v="60"/>
    <n v="329"/>
    <n v="65.8"/>
    <x v="0"/>
    <x v="1"/>
    <n v="3634"/>
    <s v="Dance"/>
    <x v="0"/>
  </r>
  <r>
    <x v="1520"/>
    <x v="84"/>
    <x v="0"/>
    <x v="8"/>
    <x v="3"/>
    <n v="8"/>
    <s v="Hyderabad"/>
    <s v="2024-12-24"/>
    <x v="5"/>
    <x v="32"/>
    <x v="7"/>
    <x v="7"/>
    <x v="14"/>
    <x v="15"/>
    <n v="324"/>
    <n v="64.8"/>
    <x v="0"/>
    <x v="0"/>
    <n v="3574"/>
    <s v="Sports"/>
    <x v="0"/>
  </r>
  <r>
    <x v="1521"/>
    <x v="41"/>
    <x v="1"/>
    <x v="10"/>
    <x v="1"/>
    <n v="13"/>
    <s v="Bangalore"/>
    <s v="2024-03-06"/>
    <x v="6"/>
    <x v="50"/>
    <x v="49"/>
    <x v="44"/>
    <x v="25"/>
    <x v="39"/>
    <n v="319"/>
    <n v="63.8"/>
    <x v="0"/>
    <x v="0"/>
    <n v="3464"/>
    <s v="Art"/>
    <x v="0"/>
  </r>
  <r>
    <x v="1522"/>
    <x v="136"/>
    <x v="1"/>
    <x v="9"/>
    <x v="2"/>
    <n v="14"/>
    <s v="Hyderabad"/>
    <s v="2024-02-05"/>
    <x v="20"/>
    <x v="51"/>
    <x v="3"/>
    <x v="42"/>
    <x v="55"/>
    <x v="56"/>
    <n v="290"/>
    <n v="58"/>
    <x v="3"/>
    <x v="0"/>
    <n v="4960"/>
    <s v="Drama"/>
    <x v="0"/>
  </r>
  <r>
    <x v="1523"/>
    <x v="1"/>
    <x v="1"/>
    <x v="7"/>
    <x v="2"/>
    <n v="9"/>
    <s v="Bangalore"/>
    <s v="2024-11-18"/>
    <x v="25"/>
    <x v="61"/>
    <x v="32"/>
    <x v="37"/>
    <x v="28"/>
    <x v="4"/>
    <n v="351"/>
    <n v="70.2"/>
    <x v="1"/>
    <x v="1"/>
    <n v="4262"/>
    <s v="Sports"/>
    <x v="0"/>
  </r>
  <r>
    <x v="1524"/>
    <x v="57"/>
    <x v="1"/>
    <x v="9"/>
    <x v="0"/>
    <n v="13"/>
    <s v="Hyderabad"/>
    <s v="2022-12-29"/>
    <x v="34"/>
    <x v="57"/>
    <x v="17"/>
    <x v="58"/>
    <x v="30"/>
    <x v="55"/>
    <n v="276"/>
    <n v="55.2"/>
    <x v="3"/>
    <x v="1"/>
    <n v="2698"/>
    <s v="Drama"/>
    <x v="0"/>
  </r>
  <r>
    <x v="1525"/>
    <x v="42"/>
    <x v="0"/>
    <x v="7"/>
    <x v="0"/>
    <n v="11"/>
    <s v="Madurai"/>
    <s v="2021-02-09"/>
    <x v="16"/>
    <x v="30"/>
    <x v="3"/>
    <x v="46"/>
    <x v="63"/>
    <x v="17"/>
    <n v="405"/>
    <n v="81"/>
    <x v="2"/>
    <x v="1"/>
    <n v="2164"/>
    <s v="Art"/>
    <x v="0"/>
  </r>
  <r>
    <x v="1526"/>
    <x v="81"/>
    <x v="1"/>
    <x v="7"/>
    <x v="0"/>
    <n v="10"/>
    <s v="Coimbatore"/>
    <s v="2023-03-12"/>
    <x v="36"/>
    <x v="26"/>
    <x v="16"/>
    <x v="48"/>
    <x v="4"/>
    <x v="50"/>
    <n v="286"/>
    <n v="57.2"/>
    <x v="3"/>
    <x v="0"/>
    <n v="2371"/>
    <s v="Dance"/>
    <x v="0"/>
  </r>
  <r>
    <x v="1527"/>
    <x v="27"/>
    <x v="1"/>
    <x v="0"/>
    <x v="1"/>
    <n v="16"/>
    <s v="Chennai"/>
    <s v="2025-06-28"/>
    <x v="38"/>
    <x v="65"/>
    <x v="46"/>
    <x v="52"/>
    <x v="32"/>
    <x v="29"/>
    <n v="347"/>
    <n v="69.400000000000006"/>
    <x v="0"/>
    <x v="0"/>
    <n v="3835"/>
    <s v="Dance"/>
    <x v="0"/>
  </r>
  <r>
    <x v="1528"/>
    <x v="107"/>
    <x v="1"/>
    <x v="5"/>
    <x v="3"/>
    <n v="7"/>
    <s v="Hyderabad"/>
    <s v="2021-10-06"/>
    <x v="32"/>
    <x v="11"/>
    <x v="42"/>
    <x v="31"/>
    <x v="28"/>
    <x v="38"/>
    <n v="360"/>
    <n v="72"/>
    <x v="1"/>
    <x v="0"/>
    <n v="1953"/>
    <s v="Drama"/>
    <x v="0"/>
  </r>
  <r>
    <x v="1529"/>
    <x v="129"/>
    <x v="1"/>
    <x v="1"/>
    <x v="0"/>
    <n v="13"/>
    <s v="Chennai"/>
    <s v="2021-12-16"/>
    <x v="17"/>
    <x v="21"/>
    <x v="21"/>
    <x v="4"/>
    <x v="61"/>
    <x v="47"/>
    <n v="446"/>
    <n v="89.2"/>
    <x v="2"/>
    <x v="1"/>
    <n v="4911"/>
    <s v="Coding Club"/>
    <x v="0"/>
  </r>
  <r>
    <x v="1530"/>
    <x v="97"/>
    <x v="0"/>
    <x v="11"/>
    <x v="3"/>
    <n v="15"/>
    <s v="Coimbatore"/>
    <s v="2024-02-24"/>
    <x v="27"/>
    <x v="29"/>
    <x v="29"/>
    <x v="28"/>
    <x v="37"/>
    <x v="6"/>
    <n v="332"/>
    <n v="66.400000000000006"/>
    <x v="0"/>
    <x v="1"/>
    <n v="2323"/>
    <s v="Dance"/>
    <x v="0"/>
  </r>
  <r>
    <x v="1531"/>
    <x v="104"/>
    <x v="0"/>
    <x v="5"/>
    <x v="0"/>
    <n v="8"/>
    <s v="Madurai"/>
    <s v="2024-04-21"/>
    <x v="12"/>
    <x v="36"/>
    <x v="10"/>
    <x v="60"/>
    <x v="42"/>
    <x v="34"/>
    <n v="243"/>
    <n v="48.6"/>
    <x v="4"/>
    <x v="0"/>
    <n v="3038"/>
    <s v="Coding Club"/>
    <x v="1"/>
  </r>
  <r>
    <x v="1532"/>
    <x v="102"/>
    <x v="1"/>
    <x v="0"/>
    <x v="2"/>
    <n v="15"/>
    <s v="Madurai"/>
    <s v="2021-01-27"/>
    <x v="24"/>
    <x v="55"/>
    <x v="52"/>
    <x v="35"/>
    <x v="65"/>
    <x v="55"/>
    <n v="352"/>
    <n v="70.400000000000006"/>
    <x v="1"/>
    <x v="1"/>
    <n v="4649"/>
    <s v="Dance"/>
    <x v="0"/>
  </r>
  <r>
    <x v="1533"/>
    <x v="61"/>
    <x v="0"/>
    <x v="11"/>
    <x v="0"/>
    <n v="17"/>
    <s v="Mumbai"/>
    <s v="2021-11-26"/>
    <x v="40"/>
    <x v="56"/>
    <x v="27"/>
    <x v="0"/>
    <x v="62"/>
    <x v="32"/>
    <n v="352"/>
    <n v="70.400000000000006"/>
    <x v="1"/>
    <x v="1"/>
    <n v="1873"/>
    <s v="Dance"/>
    <x v="0"/>
  </r>
  <r>
    <x v="1534"/>
    <x v="63"/>
    <x v="1"/>
    <x v="10"/>
    <x v="2"/>
    <n v="12"/>
    <s v="Mumbai"/>
    <s v="2023-08-09"/>
    <x v="24"/>
    <x v="37"/>
    <x v="11"/>
    <x v="49"/>
    <x v="22"/>
    <x v="9"/>
    <n v="394"/>
    <n v="78.8"/>
    <x v="1"/>
    <x v="1"/>
    <n v="4195"/>
    <s v="Art"/>
    <x v="0"/>
  </r>
  <r>
    <x v="1535"/>
    <x v="16"/>
    <x v="1"/>
    <x v="0"/>
    <x v="0"/>
    <n v="15"/>
    <s v="Madurai"/>
    <s v="2024-06-04"/>
    <x v="40"/>
    <x v="27"/>
    <x v="11"/>
    <x v="54"/>
    <x v="18"/>
    <x v="52"/>
    <n v="365"/>
    <n v="73"/>
    <x v="1"/>
    <x v="1"/>
    <n v="1957"/>
    <s v="Coding Club"/>
    <x v="0"/>
  </r>
  <r>
    <x v="1536"/>
    <x v="61"/>
    <x v="0"/>
    <x v="5"/>
    <x v="1"/>
    <n v="8"/>
    <s v="Pune"/>
    <s v="2021-06-09"/>
    <x v="14"/>
    <x v="10"/>
    <x v="59"/>
    <x v="31"/>
    <x v="57"/>
    <x v="55"/>
    <n v="450"/>
    <n v="90"/>
    <x v="5"/>
    <x v="0"/>
    <n v="4979"/>
    <s v="Art"/>
    <x v="0"/>
  </r>
  <r>
    <x v="1537"/>
    <x v="27"/>
    <x v="0"/>
    <x v="2"/>
    <x v="1"/>
    <n v="8"/>
    <s v="Pune"/>
    <s v="2023-10-04"/>
    <x v="12"/>
    <x v="19"/>
    <x v="63"/>
    <x v="11"/>
    <x v="60"/>
    <x v="6"/>
    <n v="336"/>
    <n v="67.2"/>
    <x v="0"/>
    <x v="0"/>
    <n v="2210"/>
    <s v="Sports"/>
    <x v="0"/>
  </r>
  <r>
    <x v="1538"/>
    <x v="142"/>
    <x v="1"/>
    <x v="11"/>
    <x v="1"/>
    <n v="16"/>
    <s v="Mumbai"/>
    <s v="2023-02-13"/>
    <x v="25"/>
    <x v="58"/>
    <x v="65"/>
    <x v="12"/>
    <x v="21"/>
    <x v="15"/>
    <n v="299"/>
    <n v="59.8"/>
    <x v="3"/>
    <x v="1"/>
    <n v="2928"/>
    <s v="Music"/>
    <x v="0"/>
  </r>
  <r>
    <x v="1539"/>
    <x v="46"/>
    <x v="1"/>
    <x v="11"/>
    <x v="3"/>
    <n v="15"/>
    <s v="Coimbatore"/>
    <s v="2023-12-24"/>
    <x v="16"/>
    <x v="51"/>
    <x v="47"/>
    <x v="49"/>
    <x v="48"/>
    <x v="9"/>
    <n v="313"/>
    <n v="62.6"/>
    <x v="0"/>
    <x v="0"/>
    <n v="3645"/>
    <s v="Sports"/>
    <x v="0"/>
  </r>
  <r>
    <x v="1540"/>
    <x v="112"/>
    <x v="1"/>
    <x v="1"/>
    <x v="2"/>
    <n v="14"/>
    <s v="Madurai"/>
    <s v="2023-01-17"/>
    <x v="10"/>
    <x v="13"/>
    <x v="30"/>
    <x v="20"/>
    <x v="27"/>
    <x v="15"/>
    <n v="334"/>
    <n v="66.8"/>
    <x v="0"/>
    <x v="0"/>
    <n v="4105"/>
    <s v="Art"/>
    <x v="0"/>
  </r>
  <r>
    <x v="1541"/>
    <x v="17"/>
    <x v="1"/>
    <x v="4"/>
    <x v="0"/>
    <n v="18"/>
    <s v="Bangalore"/>
    <s v="2023-01-30"/>
    <x v="22"/>
    <x v="21"/>
    <x v="51"/>
    <x v="48"/>
    <x v="30"/>
    <x v="24"/>
    <n v="289"/>
    <n v="57.8"/>
    <x v="3"/>
    <x v="0"/>
    <n v="3402"/>
    <s v="Dance"/>
    <x v="0"/>
  </r>
  <r>
    <x v="1542"/>
    <x v="89"/>
    <x v="0"/>
    <x v="5"/>
    <x v="3"/>
    <n v="7"/>
    <s v="Mumbai"/>
    <s v="2025-04-17"/>
    <x v="38"/>
    <x v="28"/>
    <x v="24"/>
    <x v="3"/>
    <x v="52"/>
    <x v="33"/>
    <n v="350"/>
    <n v="70"/>
    <x v="1"/>
    <x v="1"/>
    <n v="2003"/>
    <s v="Drama"/>
    <x v="0"/>
  </r>
  <r>
    <x v="1543"/>
    <x v="82"/>
    <x v="0"/>
    <x v="11"/>
    <x v="0"/>
    <n v="17"/>
    <s v="Madurai"/>
    <s v="2021-12-09"/>
    <x v="18"/>
    <x v="11"/>
    <x v="30"/>
    <x v="23"/>
    <x v="48"/>
    <x v="4"/>
    <n v="338"/>
    <n v="67.599999999999994"/>
    <x v="0"/>
    <x v="1"/>
    <n v="2752"/>
    <s v="Coding Club"/>
    <x v="0"/>
  </r>
  <r>
    <x v="1544"/>
    <x v="66"/>
    <x v="0"/>
    <x v="4"/>
    <x v="2"/>
    <n v="17"/>
    <s v="Hyderabad"/>
    <s v="2023-10-05"/>
    <x v="16"/>
    <x v="15"/>
    <x v="51"/>
    <x v="12"/>
    <x v="61"/>
    <x v="25"/>
    <n v="298"/>
    <n v="59.6"/>
    <x v="3"/>
    <x v="1"/>
    <n v="3238"/>
    <s v="Drama"/>
    <x v="0"/>
  </r>
  <r>
    <x v="1545"/>
    <x v="116"/>
    <x v="1"/>
    <x v="8"/>
    <x v="0"/>
    <n v="9"/>
    <s v="Hyderabad"/>
    <s v="2021-09-11"/>
    <x v="11"/>
    <x v="49"/>
    <x v="54"/>
    <x v="34"/>
    <x v="9"/>
    <x v="26"/>
    <n v="238"/>
    <n v="47.6"/>
    <x v="4"/>
    <x v="0"/>
    <n v="2413"/>
    <s v="Music"/>
    <x v="1"/>
  </r>
  <r>
    <x v="1546"/>
    <x v="22"/>
    <x v="0"/>
    <x v="2"/>
    <x v="0"/>
    <n v="10"/>
    <s v="Hyderabad"/>
    <s v="2023-03-31"/>
    <x v="14"/>
    <x v="39"/>
    <x v="59"/>
    <x v="21"/>
    <x v="55"/>
    <x v="22"/>
    <n v="285"/>
    <n v="57"/>
    <x v="3"/>
    <x v="0"/>
    <n v="2085"/>
    <s v="Sports"/>
    <x v="0"/>
  </r>
  <r>
    <x v="1547"/>
    <x v="64"/>
    <x v="0"/>
    <x v="11"/>
    <x v="2"/>
    <n v="15"/>
    <s v="Coimbatore"/>
    <s v="2024-12-18"/>
    <x v="32"/>
    <x v="64"/>
    <x v="57"/>
    <x v="53"/>
    <x v="18"/>
    <x v="7"/>
    <n v="395"/>
    <n v="79"/>
    <x v="1"/>
    <x v="0"/>
    <n v="2426"/>
    <s v="Art"/>
    <x v="0"/>
  </r>
  <r>
    <x v="1548"/>
    <x v="35"/>
    <x v="1"/>
    <x v="8"/>
    <x v="2"/>
    <n v="8"/>
    <s v="Madurai"/>
    <s v="2022-09-18"/>
    <x v="33"/>
    <x v="36"/>
    <x v="46"/>
    <x v="33"/>
    <x v="6"/>
    <x v="11"/>
    <n v="322"/>
    <n v="64.400000000000006"/>
    <x v="0"/>
    <x v="0"/>
    <n v="1714"/>
    <s v="Art"/>
    <x v="0"/>
  </r>
  <r>
    <x v="1549"/>
    <x v="123"/>
    <x v="1"/>
    <x v="11"/>
    <x v="3"/>
    <n v="17"/>
    <s v="Hyderabad"/>
    <s v="2024-02-08"/>
    <x v="14"/>
    <x v="61"/>
    <x v="21"/>
    <x v="13"/>
    <x v="44"/>
    <x v="43"/>
    <n v="361"/>
    <n v="72.2"/>
    <x v="1"/>
    <x v="1"/>
    <n v="3654"/>
    <s v="Sports"/>
    <x v="0"/>
  </r>
  <r>
    <x v="1550"/>
    <x v="128"/>
    <x v="1"/>
    <x v="5"/>
    <x v="0"/>
    <n v="7"/>
    <s v="Pune"/>
    <s v="2024-10-09"/>
    <x v="36"/>
    <x v="16"/>
    <x v="31"/>
    <x v="50"/>
    <x v="39"/>
    <x v="57"/>
    <n v="353"/>
    <n v="70.599999999999994"/>
    <x v="1"/>
    <x v="0"/>
    <n v="2104"/>
    <s v="Dance"/>
    <x v="0"/>
  </r>
  <r>
    <x v="1551"/>
    <x v="131"/>
    <x v="1"/>
    <x v="0"/>
    <x v="2"/>
    <n v="14"/>
    <s v="Pune"/>
    <s v="2023-02-20"/>
    <x v="24"/>
    <x v="23"/>
    <x v="0"/>
    <x v="50"/>
    <x v="14"/>
    <x v="60"/>
    <n v="329"/>
    <n v="65.8"/>
    <x v="0"/>
    <x v="0"/>
    <n v="2892"/>
    <s v="Drama"/>
    <x v="0"/>
  </r>
  <r>
    <x v="1552"/>
    <x v="1"/>
    <x v="0"/>
    <x v="0"/>
    <x v="2"/>
    <n v="14"/>
    <s v="Hyderabad"/>
    <s v="2024-02-28"/>
    <x v="16"/>
    <x v="0"/>
    <x v="26"/>
    <x v="56"/>
    <x v="34"/>
    <x v="31"/>
    <n v="343"/>
    <n v="68.599999999999994"/>
    <x v="0"/>
    <x v="1"/>
    <n v="2461"/>
    <s v="Sports"/>
    <x v="0"/>
  </r>
  <r>
    <x v="1553"/>
    <x v="50"/>
    <x v="1"/>
    <x v="4"/>
    <x v="1"/>
    <n v="17"/>
    <s v="Hyderabad"/>
    <s v="2024-10-28"/>
    <x v="29"/>
    <x v="7"/>
    <x v="54"/>
    <x v="61"/>
    <x v="37"/>
    <x v="11"/>
    <n v="249"/>
    <n v="49.8"/>
    <x v="4"/>
    <x v="1"/>
    <n v="3401"/>
    <s v="Dance"/>
    <x v="1"/>
  </r>
  <r>
    <x v="1554"/>
    <x v="25"/>
    <x v="1"/>
    <x v="9"/>
    <x v="0"/>
    <n v="15"/>
    <s v="Hyderabad"/>
    <s v="2024-04-09"/>
    <x v="1"/>
    <x v="1"/>
    <x v="61"/>
    <x v="27"/>
    <x v="2"/>
    <x v="20"/>
    <n v="411"/>
    <n v="82.2"/>
    <x v="2"/>
    <x v="1"/>
    <n v="4886"/>
    <s v="Coding Club"/>
    <x v="0"/>
  </r>
  <r>
    <x v="1555"/>
    <x v="68"/>
    <x v="0"/>
    <x v="2"/>
    <x v="3"/>
    <n v="10"/>
    <s v="Chennai"/>
    <s v="2023-02-05"/>
    <x v="21"/>
    <x v="22"/>
    <x v="63"/>
    <x v="45"/>
    <x v="65"/>
    <x v="56"/>
    <n v="379"/>
    <n v="75.8"/>
    <x v="1"/>
    <x v="1"/>
    <n v="2011"/>
    <s v="Music"/>
    <x v="0"/>
  </r>
  <r>
    <x v="1556"/>
    <x v="136"/>
    <x v="0"/>
    <x v="6"/>
    <x v="2"/>
    <n v="10"/>
    <s v="Madurai"/>
    <s v="2021-05-19"/>
    <x v="36"/>
    <x v="10"/>
    <x v="54"/>
    <x v="17"/>
    <x v="35"/>
    <x v="59"/>
    <n v="357"/>
    <n v="71.400000000000006"/>
    <x v="1"/>
    <x v="0"/>
    <n v="4158"/>
    <s v="Music"/>
    <x v="0"/>
  </r>
  <r>
    <x v="1557"/>
    <x v="11"/>
    <x v="0"/>
    <x v="4"/>
    <x v="1"/>
    <n v="17"/>
    <s v="Hyderabad"/>
    <s v="2024-12-25"/>
    <x v="9"/>
    <x v="11"/>
    <x v="34"/>
    <x v="39"/>
    <x v="2"/>
    <x v="11"/>
    <n v="293"/>
    <n v="58.6"/>
    <x v="3"/>
    <x v="1"/>
    <n v="2679"/>
    <s v="Sports"/>
    <x v="0"/>
  </r>
  <r>
    <x v="1558"/>
    <x v="15"/>
    <x v="1"/>
    <x v="3"/>
    <x v="3"/>
    <n v="6"/>
    <s v="Pune"/>
    <s v="2021-02-07"/>
    <x v="7"/>
    <x v="14"/>
    <x v="1"/>
    <x v="56"/>
    <x v="55"/>
    <x v="44"/>
    <n v="342"/>
    <n v="68.400000000000006"/>
    <x v="0"/>
    <x v="1"/>
    <n v="1728"/>
    <s v="Coding Club"/>
    <x v="0"/>
  </r>
  <r>
    <x v="1559"/>
    <x v="86"/>
    <x v="1"/>
    <x v="10"/>
    <x v="0"/>
    <n v="11"/>
    <s v="Hyderabad"/>
    <s v="2024-04-01"/>
    <x v="3"/>
    <x v="52"/>
    <x v="7"/>
    <x v="17"/>
    <x v="30"/>
    <x v="53"/>
    <n v="319"/>
    <n v="63.8"/>
    <x v="0"/>
    <x v="1"/>
    <n v="3482"/>
    <s v="Music"/>
    <x v="0"/>
  </r>
  <r>
    <x v="1560"/>
    <x v="96"/>
    <x v="1"/>
    <x v="1"/>
    <x v="2"/>
    <n v="14"/>
    <s v="Hyderabad"/>
    <s v="2024-11-27"/>
    <x v="12"/>
    <x v="0"/>
    <x v="44"/>
    <x v="44"/>
    <x v="23"/>
    <x v="24"/>
    <n v="348"/>
    <n v="69.599999999999994"/>
    <x v="0"/>
    <x v="1"/>
    <n v="2145"/>
    <s v="Music"/>
    <x v="0"/>
  </r>
  <r>
    <x v="1561"/>
    <x v="110"/>
    <x v="0"/>
    <x v="9"/>
    <x v="2"/>
    <n v="14"/>
    <s v="Bangalore"/>
    <s v="2022-07-29"/>
    <x v="36"/>
    <x v="50"/>
    <x v="56"/>
    <x v="40"/>
    <x v="59"/>
    <x v="14"/>
    <n v="324"/>
    <n v="64.8"/>
    <x v="0"/>
    <x v="1"/>
    <n v="1685"/>
    <s v="Music"/>
    <x v="0"/>
  </r>
  <r>
    <x v="1562"/>
    <x v="54"/>
    <x v="1"/>
    <x v="2"/>
    <x v="0"/>
    <n v="10"/>
    <s v="Hyderabad"/>
    <s v="2025-10-24"/>
    <x v="31"/>
    <x v="12"/>
    <x v="18"/>
    <x v="13"/>
    <x v="15"/>
    <x v="4"/>
    <n v="457"/>
    <n v="91.4"/>
    <x v="5"/>
    <x v="0"/>
    <n v="4904"/>
    <s v="Sports"/>
    <x v="0"/>
  </r>
  <r>
    <x v="1563"/>
    <x v="104"/>
    <x v="1"/>
    <x v="3"/>
    <x v="1"/>
    <n v="6"/>
    <s v="Madurai"/>
    <s v="2021-09-27"/>
    <x v="40"/>
    <x v="50"/>
    <x v="25"/>
    <x v="46"/>
    <x v="13"/>
    <x v="2"/>
    <n v="354"/>
    <n v="70.8"/>
    <x v="1"/>
    <x v="0"/>
    <n v="2756"/>
    <s v="Music"/>
    <x v="0"/>
  </r>
  <r>
    <x v="1564"/>
    <x v="44"/>
    <x v="1"/>
    <x v="2"/>
    <x v="3"/>
    <n v="9"/>
    <s v="Coimbatore"/>
    <s v="2021-04-30"/>
    <x v="5"/>
    <x v="63"/>
    <x v="13"/>
    <x v="20"/>
    <x v="52"/>
    <x v="38"/>
    <n v="348"/>
    <n v="69.599999999999994"/>
    <x v="0"/>
    <x v="1"/>
    <n v="3644"/>
    <s v="Dance"/>
    <x v="0"/>
  </r>
  <r>
    <x v="1565"/>
    <x v="63"/>
    <x v="1"/>
    <x v="3"/>
    <x v="1"/>
    <n v="6"/>
    <s v="Pune"/>
    <s v="2023-01-28"/>
    <x v="30"/>
    <x v="59"/>
    <x v="40"/>
    <x v="55"/>
    <x v="45"/>
    <x v="12"/>
    <n v="344"/>
    <n v="68.8"/>
    <x v="0"/>
    <x v="1"/>
    <n v="4072"/>
    <s v="Drama"/>
    <x v="0"/>
  </r>
  <r>
    <x v="1566"/>
    <x v="62"/>
    <x v="1"/>
    <x v="0"/>
    <x v="0"/>
    <n v="15"/>
    <s v="Chennai"/>
    <s v="2022-07-22"/>
    <x v="36"/>
    <x v="9"/>
    <x v="28"/>
    <x v="28"/>
    <x v="0"/>
    <x v="6"/>
    <n v="331"/>
    <n v="66.2"/>
    <x v="0"/>
    <x v="1"/>
    <n v="3029"/>
    <s v="Drama"/>
    <x v="0"/>
  </r>
  <r>
    <x v="1567"/>
    <x v="104"/>
    <x v="0"/>
    <x v="2"/>
    <x v="3"/>
    <n v="10"/>
    <s v="Pune"/>
    <s v="2022-05-13"/>
    <x v="13"/>
    <x v="21"/>
    <x v="24"/>
    <x v="43"/>
    <x v="14"/>
    <x v="12"/>
    <n v="337"/>
    <n v="67.400000000000006"/>
    <x v="0"/>
    <x v="0"/>
    <n v="3754"/>
    <s v="Drama"/>
    <x v="0"/>
  </r>
  <r>
    <x v="1568"/>
    <x v="94"/>
    <x v="0"/>
    <x v="11"/>
    <x v="3"/>
    <n v="16"/>
    <s v="Mumbai"/>
    <s v="2021-01-25"/>
    <x v="1"/>
    <x v="44"/>
    <x v="5"/>
    <x v="41"/>
    <x v="12"/>
    <x v="46"/>
    <n v="384"/>
    <n v="76.8"/>
    <x v="1"/>
    <x v="1"/>
    <n v="2810"/>
    <s v="Sports"/>
    <x v="0"/>
  </r>
  <r>
    <x v="1569"/>
    <x v="105"/>
    <x v="1"/>
    <x v="11"/>
    <x v="0"/>
    <n v="15"/>
    <s v="Mumbai"/>
    <s v="2022-09-08"/>
    <x v="10"/>
    <x v="25"/>
    <x v="4"/>
    <x v="52"/>
    <x v="63"/>
    <x v="52"/>
    <n v="423"/>
    <n v="84.6"/>
    <x v="2"/>
    <x v="1"/>
    <n v="2441"/>
    <s v="Sports"/>
    <x v="0"/>
  </r>
  <r>
    <x v="1570"/>
    <x v="56"/>
    <x v="0"/>
    <x v="1"/>
    <x v="3"/>
    <n v="14"/>
    <s v="Hyderabad"/>
    <s v="2025-07-18"/>
    <x v="12"/>
    <x v="37"/>
    <x v="56"/>
    <x v="30"/>
    <x v="15"/>
    <x v="8"/>
    <n v="335"/>
    <n v="67"/>
    <x v="0"/>
    <x v="0"/>
    <n v="3411"/>
    <s v="Drama"/>
    <x v="0"/>
  </r>
  <r>
    <x v="1571"/>
    <x v="113"/>
    <x v="0"/>
    <x v="9"/>
    <x v="3"/>
    <n v="13"/>
    <s v="Chennai"/>
    <s v="2023-02-20"/>
    <x v="18"/>
    <x v="35"/>
    <x v="25"/>
    <x v="18"/>
    <x v="51"/>
    <x v="27"/>
    <n v="325"/>
    <n v="65"/>
    <x v="0"/>
    <x v="1"/>
    <n v="4146"/>
    <s v="Sports"/>
    <x v="0"/>
  </r>
  <r>
    <x v="1572"/>
    <x v="77"/>
    <x v="1"/>
    <x v="11"/>
    <x v="0"/>
    <n v="17"/>
    <s v="Coimbatore"/>
    <s v="2025-09-27"/>
    <x v="16"/>
    <x v="5"/>
    <x v="12"/>
    <x v="9"/>
    <x v="17"/>
    <x v="31"/>
    <n v="349"/>
    <n v="69.8"/>
    <x v="0"/>
    <x v="1"/>
    <n v="4842"/>
    <s v="Drama"/>
    <x v="0"/>
  </r>
  <r>
    <x v="1573"/>
    <x v="18"/>
    <x v="0"/>
    <x v="11"/>
    <x v="1"/>
    <n v="15"/>
    <s v="Coimbatore"/>
    <s v="2023-03-01"/>
    <x v="37"/>
    <x v="0"/>
    <x v="41"/>
    <x v="56"/>
    <x v="14"/>
    <x v="61"/>
    <n v="363"/>
    <n v="72.599999999999994"/>
    <x v="1"/>
    <x v="1"/>
    <n v="4854"/>
    <s v="Dance"/>
    <x v="0"/>
  </r>
  <r>
    <x v="1574"/>
    <x v="38"/>
    <x v="1"/>
    <x v="5"/>
    <x v="3"/>
    <n v="8"/>
    <s v="Bangalore"/>
    <s v="2024-10-26"/>
    <x v="32"/>
    <x v="64"/>
    <x v="31"/>
    <x v="44"/>
    <x v="60"/>
    <x v="47"/>
    <n v="420"/>
    <n v="84"/>
    <x v="2"/>
    <x v="1"/>
    <n v="4106"/>
    <s v="Drama"/>
    <x v="0"/>
  </r>
  <r>
    <x v="1575"/>
    <x v="10"/>
    <x v="1"/>
    <x v="0"/>
    <x v="1"/>
    <n v="16"/>
    <s v="Pune"/>
    <s v="2022-05-11"/>
    <x v="6"/>
    <x v="55"/>
    <x v="23"/>
    <x v="36"/>
    <x v="57"/>
    <x v="27"/>
    <n v="388"/>
    <n v="77.599999999999994"/>
    <x v="1"/>
    <x v="1"/>
    <n v="3681"/>
    <s v="Music"/>
    <x v="0"/>
  </r>
  <r>
    <x v="1576"/>
    <x v="18"/>
    <x v="0"/>
    <x v="8"/>
    <x v="2"/>
    <n v="7"/>
    <s v="Chennai"/>
    <s v="2024-11-01"/>
    <x v="4"/>
    <x v="11"/>
    <x v="26"/>
    <x v="14"/>
    <x v="48"/>
    <x v="3"/>
    <n v="349"/>
    <n v="69.8"/>
    <x v="0"/>
    <x v="1"/>
    <n v="2797"/>
    <s v="Music"/>
    <x v="0"/>
  </r>
  <r>
    <x v="1577"/>
    <x v="66"/>
    <x v="0"/>
    <x v="8"/>
    <x v="2"/>
    <n v="9"/>
    <s v="Pune"/>
    <s v="2024-03-05"/>
    <x v="23"/>
    <x v="52"/>
    <x v="47"/>
    <x v="32"/>
    <x v="7"/>
    <x v="51"/>
    <n v="328"/>
    <n v="65.599999999999994"/>
    <x v="0"/>
    <x v="1"/>
    <n v="2619"/>
    <s v="Coding Club"/>
    <x v="0"/>
  </r>
  <r>
    <x v="1578"/>
    <x v="129"/>
    <x v="1"/>
    <x v="4"/>
    <x v="2"/>
    <n v="17"/>
    <s v="Madurai"/>
    <s v="2024-11-26"/>
    <x v="22"/>
    <x v="32"/>
    <x v="20"/>
    <x v="32"/>
    <x v="62"/>
    <x v="37"/>
    <n v="334"/>
    <n v="66.8"/>
    <x v="0"/>
    <x v="0"/>
    <n v="3002"/>
    <s v="Music"/>
    <x v="0"/>
  </r>
  <r>
    <x v="1579"/>
    <x v="130"/>
    <x v="1"/>
    <x v="8"/>
    <x v="0"/>
    <n v="7"/>
    <s v="Pune"/>
    <s v="2022-10-28"/>
    <x v="32"/>
    <x v="52"/>
    <x v="59"/>
    <x v="5"/>
    <x v="23"/>
    <x v="10"/>
    <n v="353"/>
    <n v="70.599999999999994"/>
    <x v="1"/>
    <x v="0"/>
    <n v="2133"/>
    <s v="Art"/>
    <x v="0"/>
  </r>
  <r>
    <x v="1580"/>
    <x v="98"/>
    <x v="0"/>
    <x v="10"/>
    <x v="1"/>
    <n v="11"/>
    <s v="Madurai"/>
    <s v="2024-07-26"/>
    <x v="27"/>
    <x v="40"/>
    <x v="25"/>
    <x v="34"/>
    <x v="50"/>
    <x v="7"/>
    <n v="327"/>
    <n v="65.400000000000006"/>
    <x v="0"/>
    <x v="1"/>
    <n v="1791"/>
    <s v="Art"/>
    <x v="0"/>
  </r>
  <r>
    <x v="1581"/>
    <x v="65"/>
    <x v="1"/>
    <x v="7"/>
    <x v="1"/>
    <n v="10"/>
    <s v="Pune"/>
    <s v="2024-07-09"/>
    <x v="34"/>
    <x v="7"/>
    <x v="23"/>
    <x v="12"/>
    <x v="4"/>
    <x v="43"/>
    <n v="314"/>
    <n v="62.8"/>
    <x v="0"/>
    <x v="0"/>
    <n v="3829"/>
    <s v="Coding Club"/>
    <x v="0"/>
  </r>
  <r>
    <x v="1582"/>
    <x v="27"/>
    <x v="1"/>
    <x v="9"/>
    <x v="0"/>
    <n v="14"/>
    <s v="Hyderabad"/>
    <s v="2024-06-04"/>
    <x v="12"/>
    <x v="7"/>
    <x v="56"/>
    <x v="48"/>
    <x v="15"/>
    <x v="16"/>
    <n v="410"/>
    <n v="82"/>
    <x v="2"/>
    <x v="0"/>
    <n v="3912"/>
    <s v="Sports"/>
    <x v="0"/>
  </r>
  <r>
    <x v="1583"/>
    <x v="73"/>
    <x v="0"/>
    <x v="0"/>
    <x v="1"/>
    <n v="14"/>
    <s v="Bangalore"/>
    <s v="2021-01-17"/>
    <x v="26"/>
    <x v="7"/>
    <x v="39"/>
    <x v="34"/>
    <x v="27"/>
    <x v="54"/>
    <n v="300"/>
    <n v="60"/>
    <x v="0"/>
    <x v="1"/>
    <n v="2329"/>
    <s v="Drama"/>
    <x v="0"/>
  </r>
  <r>
    <x v="1584"/>
    <x v="35"/>
    <x v="1"/>
    <x v="2"/>
    <x v="3"/>
    <n v="8"/>
    <s v="Mumbai"/>
    <s v="2022-12-19"/>
    <x v="19"/>
    <x v="24"/>
    <x v="20"/>
    <x v="44"/>
    <x v="6"/>
    <x v="52"/>
    <n v="350"/>
    <n v="70"/>
    <x v="1"/>
    <x v="0"/>
    <n v="2700"/>
    <s v="Dance"/>
    <x v="0"/>
  </r>
  <r>
    <x v="1585"/>
    <x v="27"/>
    <x v="1"/>
    <x v="4"/>
    <x v="1"/>
    <n v="17"/>
    <s v="Bangalore"/>
    <s v="2025-11-14"/>
    <x v="40"/>
    <x v="10"/>
    <x v="25"/>
    <x v="35"/>
    <x v="9"/>
    <x v="16"/>
    <n v="344"/>
    <n v="68.8"/>
    <x v="0"/>
    <x v="1"/>
    <n v="4149"/>
    <s v="Drama"/>
    <x v="0"/>
  </r>
  <r>
    <x v="1586"/>
    <x v="60"/>
    <x v="1"/>
    <x v="11"/>
    <x v="3"/>
    <n v="17"/>
    <s v="Madurai"/>
    <s v="2025-11-24"/>
    <x v="35"/>
    <x v="61"/>
    <x v="46"/>
    <x v="54"/>
    <x v="0"/>
    <x v="41"/>
    <n v="292"/>
    <n v="58.4"/>
    <x v="3"/>
    <x v="0"/>
    <n v="3097"/>
    <s v="Sports"/>
    <x v="0"/>
  </r>
  <r>
    <x v="1587"/>
    <x v="41"/>
    <x v="1"/>
    <x v="7"/>
    <x v="3"/>
    <n v="9"/>
    <s v="Coimbatore"/>
    <s v="2022-12-01"/>
    <x v="8"/>
    <x v="33"/>
    <x v="11"/>
    <x v="56"/>
    <x v="55"/>
    <x v="17"/>
    <n v="346"/>
    <n v="69.2"/>
    <x v="0"/>
    <x v="1"/>
    <n v="4354"/>
    <s v="Drama"/>
    <x v="0"/>
  </r>
  <r>
    <x v="1588"/>
    <x v="80"/>
    <x v="1"/>
    <x v="8"/>
    <x v="1"/>
    <n v="9"/>
    <s v="Chennai"/>
    <s v="2022-03-10"/>
    <x v="10"/>
    <x v="54"/>
    <x v="4"/>
    <x v="10"/>
    <x v="22"/>
    <x v="3"/>
    <n v="431"/>
    <n v="86.2"/>
    <x v="2"/>
    <x v="1"/>
    <n v="2650"/>
    <s v="Sports"/>
    <x v="0"/>
  </r>
  <r>
    <x v="1589"/>
    <x v="36"/>
    <x v="0"/>
    <x v="10"/>
    <x v="2"/>
    <n v="13"/>
    <s v="Bangalore"/>
    <s v="2021-11-20"/>
    <x v="31"/>
    <x v="52"/>
    <x v="46"/>
    <x v="65"/>
    <x v="22"/>
    <x v="32"/>
    <n v="360"/>
    <n v="72"/>
    <x v="1"/>
    <x v="1"/>
    <n v="1708"/>
    <s v="Coding Club"/>
    <x v="0"/>
  </r>
  <r>
    <x v="1590"/>
    <x v="88"/>
    <x v="1"/>
    <x v="8"/>
    <x v="2"/>
    <n v="7"/>
    <s v="Hyderabad"/>
    <s v="2021-05-05"/>
    <x v="18"/>
    <x v="32"/>
    <x v="16"/>
    <x v="0"/>
    <x v="55"/>
    <x v="30"/>
    <n v="300"/>
    <n v="60"/>
    <x v="0"/>
    <x v="0"/>
    <n v="4666"/>
    <s v="Sports"/>
    <x v="0"/>
  </r>
  <r>
    <x v="1591"/>
    <x v="18"/>
    <x v="0"/>
    <x v="3"/>
    <x v="0"/>
    <n v="6"/>
    <s v="Chennai"/>
    <s v="2021-09-02"/>
    <x v="6"/>
    <x v="28"/>
    <x v="33"/>
    <x v="45"/>
    <x v="7"/>
    <x v="34"/>
    <n v="318"/>
    <n v="63.6"/>
    <x v="0"/>
    <x v="1"/>
    <n v="3556"/>
    <s v="Music"/>
    <x v="0"/>
  </r>
  <r>
    <x v="1592"/>
    <x v="105"/>
    <x v="1"/>
    <x v="7"/>
    <x v="2"/>
    <n v="10"/>
    <s v="Hyderabad"/>
    <s v="2025-06-16"/>
    <x v="7"/>
    <x v="62"/>
    <x v="6"/>
    <x v="36"/>
    <x v="48"/>
    <x v="18"/>
    <n v="304"/>
    <n v="60.8"/>
    <x v="0"/>
    <x v="0"/>
    <n v="3207"/>
    <s v="Coding Club"/>
    <x v="0"/>
  </r>
  <r>
    <x v="1593"/>
    <x v="18"/>
    <x v="0"/>
    <x v="9"/>
    <x v="3"/>
    <n v="14"/>
    <s v="Mumbai"/>
    <s v="2025-03-14"/>
    <x v="14"/>
    <x v="3"/>
    <x v="11"/>
    <x v="65"/>
    <x v="27"/>
    <x v="48"/>
    <n v="367"/>
    <n v="73.400000000000006"/>
    <x v="1"/>
    <x v="0"/>
    <n v="4219"/>
    <s v="Dance"/>
    <x v="0"/>
  </r>
  <r>
    <x v="1594"/>
    <x v="43"/>
    <x v="1"/>
    <x v="5"/>
    <x v="3"/>
    <n v="8"/>
    <s v="Pune"/>
    <s v="2025-04-04"/>
    <x v="1"/>
    <x v="13"/>
    <x v="25"/>
    <x v="21"/>
    <x v="46"/>
    <x v="23"/>
    <n v="279"/>
    <n v="55.8"/>
    <x v="3"/>
    <x v="1"/>
    <n v="2177"/>
    <s v="Dance"/>
    <x v="0"/>
  </r>
  <r>
    <x v="1595"/>
    <x v="82"/>
    <x v="1"/>
    <x v="10"/>
    <x v="0"/>
    <n v="11"/>
    <s v="Bangalore"/>
    <s v="2024-07-09"/>
    <x v="24"/>
    <x v="17"/>
    <x v="28"/>
    <x v="50"/>
    <x v="44"/>
    <x v="52"/>
    <n v="374"/>
    <n v="74.8"/>
    <x v="1"/>
    <x v="0"/>
    <n v="2458"/>
    <s v="Music"/>
    <x v="0"/>
  </r>
  <r>
    <x v="1596"/>
    <x v="136"/>
    <x v="1"/>
    <x v="0"/>
    <x v="3"/>
    <n v="16"/>
    <s v="Chennai"/>
    <s v="2021-02-09"/>
    <x v="14"/>
    <x v="54"/>
    <x v="39"/>
    <x v="30"/>
    <x v="24"/>
    <x v="39"/>
    <n v="360"/>
    <n v="72"/>
    <x v="1"/>
    <x v="0"/>
    <n v="4823"/>
    <s v="Sports"/>
    <x v="0"/>
  </r>
  <r>
    <x v="1597"/>
    <x v="89"/>
    <x v="0"/>
    <x v="1"/>
    <x v="2"/>
    <n v="12"/>
    <s v="Hyderabad"/>
    <s v="2023-01-20"/>
    <x v="20"/>
    <x v="11"/>
    <x v="0"/>
    <x v="7"/>
    <x v="48"/>
    <x v="29"/>
    <n v="332"/>
    <n v="66.400000000000006"/>
    <x v="0"/>
    <x v="1"/>
    <n v="4918"/>
    <s v="Sports"/>
    <x v="0"/>
  </r>
  <r>
    <x v="1598"/>
    <x v="89"/>
    <x v="1"/>
    <x v="1"/>
    <x v="2"/>
    <n v="13"/>
    <s v="Madurai"/>
    <s v="2021-01-22"/>
    <x v="30"/>
    <x v="63"/>
    <x v="56"/>
    <x v="34"/>
    <x v="33"/>
    <x v="49"/>
    <n v="265"/>
    <n v="53"/>
    <x v="3"/>
    <x v="1"/>
    <n v="3708"/>
    <s v="Dance"/>
    <x v="1"/>
  </r>
  <r>
    <x v="1599"/>
    <x v="81"/>
    <x v="0"/>
    <x v="1"/>
    <x v="2"/>
    <n v="13"/>
    <s v="Bangalore"/>
    <s v="2022-12-05"/>
    <x v="9"/>
    <x v="59"/>
    <x v="22"/>
    <x v="44"/>
    <x v="56"/>
    <x v="15"/>
    <n v="391"/>
    <n v="78.2"/>
    <x v="1"/>
    <x v="1"/>
    <n v="3199"/>
    <s v="Drama"/>
    <x v="0"/>
  </r>
  <r>
    <x v="1600"/>
    <x v="57"/>
    <x v="1"/>
    <x v="8"/>
    <x v="2"/>
    <n v="9"/>
    <s v="Coimbatore"/>
    <s v="2023-09-24"/>
    <x v="9"/>
    <x v="14"/>
    <x v="59"/>
    <x v="62"/>
    <x v="34"/>
    <x v="44"/>
    <n v="378"/>
    <n v="75.599999999999994"/>
    <x v="1"/>
    <x v="1"/>
    <n v="3140"/>
    <s v="Drama"/>
    <x v="0"/>
  </r>
  <r>
    <x v="1601"/>
    <x v="106"/>
    <x v="1"/>
    <x v="8"/>
    <x v="3"/>
    <n v="9"/>
    <s v="Pune"/>
    <s v="2024-07-11"/>
    <x v="21"/>
    <x v="23"/>
    <x v="61"/>
    <x v="46"/>
    <x v="61"/>
    <x v="15"/>
    <n v="416"/>
    <n v="83.2"/>
    <x v="2"/>
    <x v="0"/>
    <n v="3448"/>
    <s v="Art"/>
    <x v="0"/>
  </r>
  <r>
    <x v="1602"/>
    <x v="24"/>
    <x v="1"/>
    <x v="2"/>
    <x v="0"/>
    <n v="10"/>
    <s v="Pune"/>
    <s v="2021-12-26"/>
    <x v="39"/>
    <x v="63"/>
    <x v="47"/>
    <x v="65"/>
    <x v="5"/>
    <x v="34"/>
    <n v="322"/>
    <n v="64.400000000000006"/>
    <x v="0"/>
    <x v="1"/>
    <n v="3062"/>
    <s v="Coding Club"/>
    <x v="0"/>
  </r>
  <r>
    <x v="1603"/>
    <x v="142"/>
    <x v="1"/>
    <x v="2"/>
    <x v="0"/>
    <n v="10"/>
    <s v="Bangalore"/>
    <s v="2021-08-10"/>
    <x v="21"/>
    <x v="16"/>
    <x v="42"/>
    <x v="11"/>
    <x v="22"/>
    <x v="15"/>
    <n v="354"/>
    <n v="70.8"/>
    <x v="1"/>
    <x v="0"/>
    <n v="4549"/>
    <s v="Dance"/>
    <x v="0"/>
  </r>
  <r>
    <x v="1604"/>
    <x v="148"/>
    <x v="0"/>
    <x v="2"/>
    <x v="2"/>
    <n v="9"/>
    <s v="Chennai"/>
    <s v="2023-06-22"/>
    <x v="23"/>
    <x v="1"/>
    <x v="55"/>
    <x v="40"/>
    <x v="53"/>
    <x v="21"/>
    <n v="256"/>
    <n v="51.2"/>
    <x v="3"/>
    <x v="0"/>
    <n v="3323"/>
    <s v="Art"/>
    <x v="1"/>
  </r>
  <r>
    <x v="1605"/>
    <x v="13"/>
    <x v="1"/>
    <x v="11"/>
    <x v="0"/>
    <n v="15"/>
    <s v="Chennai"/>
    <s v="2021-08-15"/>
    <x v="19"/>
    <x v="52"/>
    <x v="45"/>
    <x v="49"/>
    <x v="3"/>
    <x v="1"/>
    <n v="328"/>
    <n v="65.599999999999994"/>
    <x v="0"/>
    <x v="0"/>
    <n v="4453"/>
    <s v="Art"/>
    <x v="0"/>
  </r>
  <r>
    <x v="1606"/>
    <x v="105"/>
    <x v="1"/>
    <x v="3"/>
    <x v="3"/>
    <n v="6"/>
    <s v="Madurai"/>
    <s v="2023-08-26"/>
    <x v="16"/>
    <x v="22"/>
    <x v="26"/>
    <x v="16"/>
    <x v="48"/>
    <x v="33"/>
    <n v="390"/>
    <n v="78"/>
    <x v="1"/>
    <x v="0"/>
    <n v="4742"/>
    <s v="Music"/>
    <x v="0"/>
  </r>
  <r>
    <x v="1607"/>
    <x v="59"/>
    <x v="1"/>
    <x v="5"/>
    <x v="3"/>
    <n v="7"/>
    <s v="Hyderabad"/>
    <s v="2024-09-16"/>
    <x v="34"/>
    <x v="0"/>
    <x v="3"/>
    <x v="21"/>
    <x v="21"/>
    <x v="35"/>
    <n v="290"/>
    <n v="58"/>
    <x v="3"/>
    <x v="1"/>
    <n v="1642"/>
    <s v="Art"/>
    <x v="0"/>
  </r>
  <r>
    <x v="1608"/>
    <x v="29"/>
    <x v="0"/>
    <x v="1"/>
    <x v="3"/>
    <n v="14"/>
    <s v="Bangalore"/>
    <s v="2021-05-28"/>
    <x v="8"/>
    <x v="0"/>
    <x v="48"/>
    <x v="25"/>
    <x v="38"/>
    <x v="53"/>
    <n v="334"/>
    <n v="66.8"/>
    <x v="0"/>
    <x v="0"/>
    <n v="3814"/>
    <s v="Music"/>
    <x v="0"/>
  </r>
  <r>
    <x v="1609"/>
    <x v="19"/>
    <x v="0"/>
    <x v="2"/>
    <x v="3"/>
    <n v="8"/>
    <s v="Coimbatore"/>
    <s v="2021-10-22"/>
    <x v="10"/>
    <x v="48"/>
    <x v="19"/>
    <x v="44"/>
    <x v="34"/>
    <x v="11"/>
    <n v="283"/>
    <n v="56.6"/>
    <x v="3"/>
    <x v="0"/>
    <n v="1616"/>
    <s v="Drama"/>
    <x v="0"/>
  </r>
  <r>
    <x v="1610"/>
    <x v="95"/>
    <x v="1"/>
    <x v="8"/>
    <x v="2"/>
    <n v="8"/>
    <s v="Chennai"/>
    <s v="2021-06-26"/>
    <x v="11"/>
    <x v="22"/>
    <x v="41"/>
    <x v="34"/>
    <x v="30"/>
    <x v="48"/>
    <n v="319"/>
    <n v="63.8"/>
    <x v="0"/>
    <x v="0"/>
    <n v="3151"/>
    <s v="Music"/>
    <x v="0"/>
  </r>
  <r>
    <x v="1611"/>
    <x v="97"/>
    <x v="1"/>
    <x v="4"/>
    <x v="1"/>
    <n v="18"/>
    <s v="Mumbai"/>
    <s v="2022-05-16"/>
    <x v="24"/>
    <x v="45"/>
    <x v="47"/>
    <x v="42"/>
    <x v="10"/>
    <x v="30"/>
    <n v="303"/>
    <n v="60.6"/>
    <x v="0"/>
    <x v="0"/>
    <n v="3622"/>
    <s v="Music"/>
    <x v="0"/>
  </r>
  <r>
    <x v="1612"/>
    <x v="111"/>
    <x v="0"/>
    <x v="6"/>
    <x v="0"/>
    <n v="10"/>
    <s v="Bangalore"/>
    <s v="2022-01-28"/>
    <x v="25"/>
    <x v="8"/>
    <x v="55"/>
    <x v="46"/>
    <x v="46"/>
    <x v="25"/>
    <n v="334"/>
    <n v="66.8"/>
    <x v="0"/>
    <x v="0"/>
    <n v="2613"/>
    <s v="Art"/>
    <x v="0"/>
  </r>
  <r>
    <x v="1613"/>
    <x v="118"/>
    <x v="1"/>
    <x v="0"/>
    <x v="3"/>
    <n v="15"/>
    <s v="Pune"/>
    <s v="2023-05-25"/>
    <x v="17"/>
    <x v="26"/>
    <x v="28"/>
    <x v="50"/>
    <x v="34"/>
    <x v="51"/>
    <n v="298"/>
    <n v="59.6"/>
    <x v="3"/>
    <x v="0"/>
    <n v="2518"/>
    <s v="Drama"/>
    <x v="0"/>
  </r>
  <r>
    <x v="1614"/>
    <x v="36"/>
    <x v="0"/>
    <x v="8"/>
    <x v="2"/>
    <n v="9"/>
    <s v="Madurai"/>
    <s v="2022-05-08"/>
    <x v="11"/>
    <x v="42"/>
    <x v="30"/>
    <x v="6"/>
    <x v="59"/>
    <x v="1"/>
    <n v="379"/>
    <n v="75.8"/>
    <x v="1"/>
    <x v="1"/>
    <n v="3933"/>
    <s v="Art"/>
    <x v="0"/>
  </r>
  <r>
    <x v="1615"/>
    <x v="117"/>
    <x v="1"/>
    <x v="1"/>
    <x v="1"/>
    <n v="14"/>
    <s v="Bangalore"/>
    <s v="2024-08-27"/>
    <x v="37"/>
    <x v="49"/>
    <x v="6"/>
    <x v="27"/>
    <x v="51"/>
    <x v="45"/>
    <n v="306"/>
    <n v="61.2"/>
    <x v="0"/>
    <x v="1"/>
    <n v="3688"/>
    <s v="Music"/>
    <x v="0"/>
  </r>
  <r>
    <x v="1616"/>
    <x v="146"/>
    <x v="1"/>
    <x v="4"/>
    <x v="3"/>
    <n v="17"/>
    <s v="Mumbai"/>
    <s v="2023-05-28"/>
    <x v="31"/>
    <x v="59"/>
    <x v="4"/>
    <x v="59"/>
    <x v="34"/>
    <x v="60"/>
    <n v="329"/>
    <n v="65.8"/>
    <x v="0"/>
    <x v="1"/>
    <n v="2158"/>
    <s v="Music"/>
    <x v="0"/>
  </r>
  <r>
    <x v="1617"/>
    <x v="108"/>
    <x v="1"/>
    <x v="5"/>
    <x v="0"/>
    <n v="7"/>
    <s v="Madurai"/>
    <s v="2024-04-19"/>
    <x v="28"/>
    <x v="18"/>
    <x v="30"/>
    <x v="14"/>
    <x v="51"/>
    <x v="46"/>
    <n v="298"/>
    <n v="59.6"/>
    <x v="3"/>
    <x v="0"/>
    <n v="3829"/>
    <s v="Coding Club"/>
    <x v="0"/>
  </r>
  <r>
    <x v="1618"/>
    <x v="149"/>
    <x v="1"/>
    <x v="9"/>
    <x v="3"/>
    <n v="15"/>
    <s v="Madurai"/>
    <s v="2023-01-11"/>
    <x v="3"/>
    <x v="59"/>
    <x v="41"/>
    <x v="11"/>
    <x v="59"/>
    <x v="34"/>
    <n v="396"/>
    <n v="79.2"/>
    <x v="1"/>
    <x v="1"/>
    <n v="2607"/>
    <s v="Sports"/>
    <x v="0"/>
  </r>
  <r>
    <x v="1619"/>
    <x v="116"/>
    <x v="1"/>
    <x v="9"/>
    <x v="1"/>
    <n v="14"/>
    <s v="Madurai"/>
    <s v="2022-05-04"/>
    <x v="2"/>
    <x v="12"/>
    <x v="38"/>
    <x v="61"/>
    <x v="25"/>
    <x v="15"/>
    <n v="339"/>
    <n v="67.8"/>
    <x v="0"/>
    <x v="1"/>
    <n v="3103"/>
    <s v="Music"/>
    <x v="0"/>
  </r>
  <r>
    <x v="1620"/>
    <x v="40"/>
    <x v="1"/>
    <x v="4"/>
    <x v="0"/>
    <n v="16"/>
    <s v="Chennai"/>
    <s v="2021-12-28"/>
    <x v="4"/>
    <x v="50"/>
    <x v="22"/>
    <x v="50"/>
    <x v="7"/>
    <x v="53"/>
    <n v="424"/>
    <n v="84.8"/>
    <x v="2"/>
    <x v="1"/>
    <n v="1718"/>
    <s v="Sports"/>
    <x v="0"/>
  </r>
  <r>
    <x v="1621"/>
    <x v="126"/>
    <x v="0"/>
    <x v="2"/>
    <x v="0"/>
    <n v="8"/>
    <s v="Bangalore"/>
    <s v="2024-05-18"/>
    <x v="3"/>
    <x v="36"/>
    <x v="56"/>
    <x v="30"/>
    <x v="45"/>
    <x v="42"/>
    <n v="312"/>
    <n v="62.4"/>
    <x v="0"/>
    <x v="0"/>
    <n v="4840"/>
    <s v="Coding Club"/>
    <x v="0"/>
  </r>
  <r>
    <x v="1622"/>
    <x v="78"/>
    <x v="1"/>
    <x v="10"/>
    <x v="2"/>
    <n v="11"/>
    <s v="Hyderabad"/>
    <s v="2022-03-26"/>
    <x v="39"/>
    <x v="30"/>
    <x v="50"/>
    <x v="23"/>
    <x v="31"/>
    <x v="59"/>
    <n v="320"/>
    <n v="64"/>
    <x v="0"/>
    <x v="1"/>
    <n v="1505"/>
    <s v="Coding Club"/>
    <x v="0"/>
  </r>
  <r>
    <x v="1623"/>
    <x v="77"/>
    <x v="1"/>
    <x v="3"/>
    <x v="3"/>
    <n v="6"/>
    <s v="Coimbatore"/>
    <s v="2025-03-27"/>
    <x v="31"/>
    <x v="35"/>
    <x v="0"/>
    <x v="23"/>
    <x v="8"/>
    <x v="56"/>
    <n v="316"/>
    <n v="63.2"/>
    <x v="0"/>
    <x v="1"/>
    <n v="3135"/>
    <s v="Music"/>
    <x v="0"/>
  </r>
  <r>
    <x v="1624"/>
    <x v="23"/>
    <x v="1"/>
    <x v="10"/>
    <x v="0"/>
    <n v="12"/>
    <s v="Madurai"/>
    <s v="2023-04-05"/>
    <x v="12"/>
    <x v="14"/>
    <x v="40"/>
    <x v="62"/>
    <x v="49"/>
    <x v="48"/>
    <n v="342"/>
    <n v="68.400000000000006"/>
    <x v="0"/>
    <x v="1"/>
    <n v="2378"/>
    <s v="Music"/>
    <x v="0"/>
  </r>
  <r>
    <x v="1625"/>
    <x v="54"/>
    <x v="0"/>
    <x v="9"/>
    <x v="2"/>
    <n v="14"/>
    <s v="Bangalore"/>
    <s v="2025-08-31"/>
    <x v="8"/>
    <x v="0"/>
    <x v="9"/>
    <x v="65"/>
    <x v="7"/>
    <x v="23"/>
    <n v="316"/>
    <n v="63.2"/>
    <x v="0"/>
    <x v="0"/>
    <n v="3740"/>
    <s v="Dance"/>
    <x v="0"/>
  </r>
  <r>
    <x v="1626"/>
    <x v="133"/>
    <x v="1"/>
    <x v="8"/>
    <x v="3"/>
    <n v="7"/>
    <s v="Mumbai"/>
    <s v="2021-09-11"/>
    <x v="15"/>
    <x v="36"/>
    <x v="31"/>
    <x v="47"/>
    <x v="53"/>
    <x v="18"/>
    <n v="324"/>
    <n v="64.8"/>
    <x v="0"/>
    <x v="1"/>
    <n v="3068"/>
    <s v="Drama"/>
    <x v="0"/>
  </r>
  <r>
    <x v="1627"/>
    <x v="45"/>
    <x v="1"/>
    <x v="8"/>
    <x v="1"/>
    <n v="9"/>
    <s v="Mumbai"/>
    <s v="2022-01-05"/>
    <x v="29"/>
    <x v="24"/>
    <x v="37"/>
    <x v="50"/>
    <x v="5"/>
    <x v="28"/>
    <n v="385"/>
    <n v="77"/>
    <x v="1"/>
    <x v="1"/>
    <n v="2143"/>
    <s v="Dance"/>
    <x v="0"/>
  </r>
  <r>
    <x v="1628"/>
    <x v="15"/>
    <x v="1"/>
    <x v="3"/>
    <x v="1"/>
    <n v="7"/>
    <s v="Bangalore"/>
    <s v="2022-04-10"/>
    <x v="27"/>
    <x v="34"/>
    <x v="25"/>
    <x v="58"/>
    <x v="25"/>
    <x v="19"/>
    <n v="270"/>
    <n v="54"/>
    <x v="3"/>
    <x v="1"/>
    <n v="4190"/>
    <s v="Music"/>
    <x v="1"/>
  </r>
  <r>
    <x v="1629"/>
    <x v="37"/>
    <x v="0"/>
    <x v="8"/>
    <x v="1"/>
    <n v="9"/>
    <s v="Madurai"/>
    <s v="2022-03-08"/>
    <x v="14"/>
    <x v="27"/>
    <x v="12"/>
    <x v="6"/>
    <x v="43"/>
    <x v="56"/>
    <n v="338"/>
    <n v="67.599999999999994"/>
    <x v="0"/>
    <x v="1"/>
    <n v="4219"/>
    <s v="Dance"/>
    <x v="0"/>
  </r>
  <r>
    <x v="1630"/>
    <x v="103"/>
    <x v="0"/>
    <x v="6"/>
    <x v="0"/>
    <n v="12"/>
    <s v="Bangalore"/>
    <s v="2022-06-29"/>
    <x v="22"/>
    <x v="31"/>
    <x v="14"/>
    <x v="52"/>
    <x v="25"/>
    <x v="34"/>
    <n v="318"/>
    <n v="63.6"/>
    <x v="0"/>
    <x v="0"/>
    <n v="3559"/>
    <s v="Drama"/>
    <x v="0"/>
  </r>
  <r>
    <x v="1631"/>
    <x v="127"/>
    <x v="1"/>
    <x v="2"/>
    <x v="0"/>
    <n v="10"/>
    <s v="Chennai"/>
    <s v="2022-02-06"/>
    <x v="1"/>
    <x v="11"/>
    <x v="64"/>
    <x v="19"/>
    <x v="47"/>
    <x v="47"/>
    <n v="389"/>
    <n v="77.8"/>
    <x v="1"/>
    <x v="0"/>
    <n v="4149"/>
    <s v="Art"/>
    <x v="0"/>
  </r>
  <r>
    <x v="1632"/>
    <x v="49"/>
    <x v="0"/>
    <x v="2"/>
    <x v="3"/>
    <n v="9"/>
    <s v="Coimbatore"/>
    <s v="2024-04-20"/>
    <x v="39"/>
    <x v="39"/>
    <x v="42"/>
    <x v="63"/>
    <x v="37"/>
    <x v="17"/>
    <n v="295"/>
    <n v="59"/>
    <x v="3"/>
    <x v="0"/>
    <n v="4225"/>
    <s v="Coding Club"/>
    <x v="0"/>
  </r>
  <r>
    <x v="1633"/>
    <x v="14"/>
    <x v="0"/>
    <x v="6"/>
    <x v="1"/>
    <n v="10"/>
    <s v="Bangalore"/>
    <s v="2025-04-04"/>
    <x v="34"/>
    <x v="26"/>
    <x v="24"/>
    <x v="42"/>
    <x v="65"/>
    <x v="55"/>
    <n v="307"/>
    <n v="61.4"/>
    <x v="0"/>
    <x v="1"/>
    <n v="1653"/>
    <s v="Drama"/>
    <x v="0"/>
  </r>
  <r>
    <x v="1634"/>
    <x v="2"/>
    <x v="0"/>
    <x v="8"/>
    <x v="0"/>
    <n v="7"/>
    <s v="Bangalore"/>
    <s v="2021-08-31"/>
    <x v="9"/>
    <x v="61"/>
    <x v="32"/>
    <x v="58"/>
    <x v="19"/>
    <x v="18"/>
    <n v="287"/>
    <n v="57.4"/>
    <x v="3"/>
    <x v="1"/>
    <n v="4261"/>
    <s v="Coding Club"/>
    <x v="0"/>
  </r>
  <r>
    <x v="1635"/>
    <x v="85"/>
    <x v="0"/>
    <x v="1"/>
    <x v="0"/>
    <n v="13"/>
    <s v="Bangalore"/>
    <s v="2025-04-10"/>
    <x v="21"/>
    <x v="55"/>
    <x v="54"/>
    <x v="22"/>
    <x v="0"/>
    <x v="45"/>
    <n v="253"/>
    <n v="50.6"/>
    <x v="3"/>
    <x v="1"/>
    <n v="1806"/>
    <s v="Sports"/>
    <x v="1"/>
  </r>
  <r>
    <x v="1636"/>
    <x v="84"/>
    <x v="0"/>
    <x v="3"/>
    <x v="0"/>
    <n v="7"/>
    <s v="Mumbai"/>
    <s v="2023-09-04"/>
    <x v="31"/>
    <x v="59"/>
    <x v="36"/>
    <x v="37"/>
    <x v="49"/>
    <x v="30"/>
    <n v="330"/>
    <n v="66"/>
    <x v="0"/>
    <x v="1"/>
    <n v="2384"/>
    <s v="Coding Club"/>
    <x v="0"/>
  </r>
  <r>
    <x v="1637"/>
    <x v="85"/>
    <x v="1"/>
    <x v="1"/>
    <x v="2"/>
    <n v="14"/>
    <s v="Mumbai"/>
    <s v="2023-06-23"/>
    <x v="21"/>
    <x v="36"/>
    <x v="22"/>
    <x v="61"/>
    <x v="23"/>
    <x v="13"/>
    <n v="341"/>
    <n v="68.2"/>
    <x v="0"/>
    <x v="1"/>
    <n v="4653"/>
    <s v="Art"/>
    <x v="0"/>
  </r>
  <r>
    <x v="1638"/>
    <x v="40"/>
    <x v="0"/>
    <x v="7"/>
    <x v="0"/>
    <n v="10"/>
    <s v="Bangalore"/>
    <s v="2023-12-09"/>
    <x v="19"/>
    <x v="22"/>
    <x v="46"/>
    <x v="28"/>
    <x v="50"/>
    <x v="39"/>
    <n v="337"/>
    <n v="67.400000000000006"/>
    <x v="0"/>
    <x v="0"/>
    <n v="3421"/>
    <s v="Music"/>
    <x v="0"/>
  </r>
  <r>
    <x v="1639"/>
    <x v="3"/>
    <x v="0"/>
    <x v="9"/>
    <x v="0"/>
    <n v="13"/>
    <s v="Coimbatore"/>
    <s v="2022-10-10"/>
    <x v="13"/>
    <x v="61"/>
    <x v="1"/>
    <x v="23"/>
    <x v="39"/>
    <x v="33"/>
    <n v="303"/>
    <n v="60.6"/>
    <x v="0"/>
    <x v="0"/>
    <n v="1840"/>
    <s v="Dance"/>
    <x v="0"/>
  </r>
  <r>
    <x v="1640"/>
    <x v="13"/>
    <x v="0"/>
    <x v="8"/>
    <x v="2"/>
    <n v="9"/>
    <s v="Madurai"/>
    <s v="2022-02-12"/>
    <x v="8"/>
    <x v="65"/>
    <x v="47"/>
    <x v="10"/>
    <x v="64"/>
    <x v="6"/>
    <n v="360"/>
    <n v="72"/>
    <x v="1"/>
    <x v="1"/>
    <n v="2494"/>
    <s v="Art"/>
    <x v="0"/>
  </r>
  <r>
    <x v="1641"/>
    <x v="132"/>
    <x v="1"/>
    <x v="6"/>
    <x v="0"/>
    <n v="10"/>
    <s v="Madurai"/>
    <s v="2023-05-04"/>
    <x v="24"/>
    <x v="57"/>
    <x v="59"/>
    <x v="49"/>
    <x v="48"/>
    <x v="40"/>
    <n v="331"/>
    <n v="66.2"/>
    <x v="0"/>
    <x v="1"/>
    <n v="3266"/>
    <s v="Music"/>
    <x v="0"/>
  </r>
  <r>
    <x v="1642"/>
    <x v="116"/>
    <x v="0"/>
    <x v="5"/>
    <x v="3"/>
    <n v="7"/>
    <s v="Pune"/>
    <s v="2021-12-31"/>
    <x v="2"/>
    <x v="3"/>
    <x v="44"/>
    <x v="50"/>
    <x v="18"/>
    <x v="23"/>
    <n v="413"/>
    <n v="82.6"/>
    <x v="2"/>
    <x v="1"/>
    <n v="3694"/>
    <s v="Dance"/>
    <x v="0"/>
  </r>
  <r>
    <x v="1643"/>
    <x v="55"/>
    <x v="0"/>
    <x v="10"/>
    <x v="1"/>
    <n v="13"/>
    <s v="Hyderabad"/>
    <s v="2021-04-16"/>
    <x v="14"/>
    <x v="23"/>
    <x v="63"/>
    <x v="58"/>
    <x v="25"/>
    <x v="14"/>
    <n v="290"/>
    <n v="58"/>
    <x v="3"/>
    <x v="0"/>
    <n v="4875"/>
    <s v="Dance"/>
    <x v="0"/>
  </r>
  <r>
    <x v="1644"/>
    <x v="48"/>
    <x v="0"/>
    <x v="6"/>
    <x v="1"/>
    <n v="12"/>
    <s v="Mumbai"/>
    <s v="2023-01-09"/>
    <x v="11"/>
    <x v="43"/>
    <x v="45"/>
    <x v="14"/>
    <x v="14"/>
    <x v="26"/>
    <n v="328"/>
    <n v="65.599999999999994"/>
    <x v="0"/>
    <x v="1"/>
    <n v="2446"/>
    <s v="Drama"/>
    <x v="0"/>
  </r>
  <r>
    <x v="1645"/>
    <x v="84"/>
    <x v="0"/>
    <x v="10"/>
    <x v="1"/>
    <n v="12"/>
    <s v="Pune"/>
    <s v="2025-02-04"/>
    <x v="28"/>
    <x v="10"/>
    <x v="15"/>
    <x v="36"/>
    <x v="22"/>
    <x v="53"/>
    <n v="367"/>
    <n v="73.400000000000006"/>
    <x v="1"/>
    <x v="1"/>
    <n v="2315"/>
    <s v="Art"/>
    <x v="0"/>
  </r>
  <r>
    <x v="1646"/>
    <x v="126"/>
    <x v="1"/>
    <x v="9"/>
    <x v="3"/>
    <n v="14"/>
    <s v="Pune"/>
    <s v="2021-04-10"/>
    <x v="40"/>
    <x v="10"/>
    <x v="11"/>
    <x v="2"/>
    <x v="33"/>
    <x v="35"/>
    <n v="298"/>
    <n v="59.6"/>
    <x v="3"/>
    <x v="0"/>
    <n v="3936"/>
    <s v="Art"/>
    <x v="0"/>
  </r>
  <r>
    <x v="1647"/>
    <x v="54"/>
    <x v="0"/>
    <x v="3"/>
    <x v="0"/>
    <n v="7"/>
    <s v="Madurai"/>
    <s v="2025-10-09"/>
    <x v="39"/>
    <x v="39"/>
    <x v="38"/>
    <x v="35"/>
    <x v="36"/>
    <x v="45"/>
    <n v="242"/>
    <n v="48.4"/>
    <x v="4"/>
    <x v="0"/>
    <n v="3606"/>
    <s v="Music"/>
    <x v="1"/>
  </r>
  <r>
    <x v="1648"/>
    <x v="29"/>
    <x v="0"/>
    <x v="8"/>
    <x v="2"/>
    <n v="8"/>
    <s v="Pune"/>
    <s v="2024-02-22"/>
    <x v="39"/>
    <x v="64"/>
    <x v="1"/>
    <x v="12"/>
    <x v="45"/>
    <x v="10"/>
    <n v="341"/>
    <n v="68.2"/>
    <x v="0"/>
    <x v="1"/>
    <n v="4616"/>
    <s v="Drama"/>
    <x v="0"/>
  </r>
  <r>
    <x v="1649"/>
    <x v="121"/>
    <x v="1"/>
    <x v="11"/>
    <x v="1"/>
    <n v="16"/>
    <s v="Coimbatore"/>
    <s v="2022-05-25"/>
    <x v="23"/>
    <x v="33"/>
    <x v="11"/>
    <x v="14"/>
    <x v="30"/>
    <x v="40"/>
    <n v="325"/>
    <n v="65"/>
    <x v="0"/>
    <x v="1"/>
    <n v="4834"/>
    <s v="Dance"/>
    <x v="0"/>
  </r>
  <r>
    <x v="1650"/>
    <x v="27"/>
    <x v="1"/>
    <x v="1"/>
    <x v="1"/>
    <n v="14"/>
    <s v="Hyderabad"/>
    <s v="2024-10-19"/>
    <x v="3"/>
    <x v="27"/>
    <x v="36"/>
    <x v="63"/>
    <x v="51"/>
    <x v="46"/>
    <n v="309"/>
    <n v="61.8"/>
    <x v="0"/>
    <x v="1"/>
    <n v="4764"/>
    <s v="Coding Club"/>
    <x v="0"/>
  </r>
  <r>
    <x v="1651"/>
    <x v="26"/>
    <x v="0"/>
    <x v="2"/>
    <x v="0"/>
    <n v="10"/>
    <s v="Madurai"/>
    <s v="2025-08-23"/>
    <x v="19"/>
    <x v="55"/>
    <x v="64"/>
    <x v="52"/>
    <x v="41"/>
    <x v="21"/>
    <n v="315"/>
    <n v="63"/>
    <x v="0"/>
    <x v="1"/>
    <n v="3133"/>
    <s v="Art"/>
    <x v="0"/>
  </r>
  <r>
    <x v="1652"/>
    <x v="132"/>
    <x v="1"/>
    <x v="5"/>
    <x v="0"/>
    <n v="8"/>
    <s v="Coimbatore"/>
    <s v="2025-09-25"/>
    <x v="33"/>
    <x v="42"/>
    <x v="22"/>
    <x v="34"/>
    <x v="8"/>
    <x v="49"/>
    <n v="326"/>
    <n v="65.2"/>
    <x v="0"/>
    <x v="1"/>
    <n v="3202"/>
    <s v="Sports"/>
    <x v="0"/>
  </r>
  <r>
    <x v="1653"/>
    <x v="47"/>
    <x v="1"/>
    <x v="0"/>
    <x v="0"/>
    <n v="15"/>
    <s v="Mumbai"/>
    <s v="2021-12-25"/>
    <x v="15"/>
    <x v="23"/>
    <x v="47"/>
    <x v="16"/>
    <x v="13"/>
    <x v="64"/>
    <n v="285"/>
    <n v="57"/>
    <x v="3"/>
    <x v="1"/>
    <n v="3611"/>
    <s v="Music"/>
    <x v="0"/>
  </r>
  <r>
    <x v="1654"/>
    <x v="143"/>
    <x v="1"/>
    <x v="0"/>
    <x v="2"/>
    <n v="14"/>
    <s v="Chennai"/>
    <s v="2021-02-23"/>
    <x v="33"/>
    <x v="52"/>
    <x v="1"/>
    <x v="40"/>
    <x v="11"/>
    <x v="44"/>
    <n v="272"/>
    <n v="54.4"/>
    <x v="3"/>
    <x v="0"/>
    <n v="2585"/>
    <s v="Drama"/>
    <x v="1"/>
  </r>
  <r>
    <x v="1655"/>
    <x v="83"/>
    <x v="1"/>
    <x v="7"/>
    <x v="3"/>
    <n v="9"/>
    <s v="Pune"/>
    <s v="2022-10-10"/>
    <x v="33"/>
    <x v="24"/>
    <x v="55"/>
    <x v="51"/>
    <x v="1"/>
    <x v="0"/>
    <n v="350"/>
    <n v="70"/>
    <x v="1"/>
    <x v="0"/>
    <n v="4160"/>
    <s v="Music"/>
    <x v="0"/>
  </r>
  <r>
    <x v="1656"/>
    <x v="149"/>
    <x v="1"/>
    <x v="7"/>
    <x v="3"/>
    <n v="9"/>
    <s v="Mumbai"/>
    <s v="2023-06-06"/>
    <x v="37"/>
    <x v="26"/>
    <x v="1"/>
    <x v="12"/>
    <x v="54"/>
    <x v="24"/>
    <n v="301"/>
    <n v="60.2"/>
    <x v="0"/>
    <x v="1"/>
    <n v="3645"/>
    <s v="Dance"/>
    <x v="0"/>
  </r>
  <r>
    <x v="1657"/>
    <x v="37"/>
    <x v="0"/>
    <x v="4"/>
    <x v="0"/>
    <n v="17"/>
    <s v="Chennai"/>
    <s v="2022-09-06"/>
    <x v="11"/>
    <x v="17"/>
    <x v="53"/>
    <x v="48"/>
    <x v="24"/>
    <x v="9"/>
    <n v="397"/>
    <n v="79.400000000000006"/>
    <x v="1"/>
    <x v="0"/>
    <n v="4477"/>
    <s v="Music"/>
    <x v="0"/>
  </r>
  <r>
    <x v="1658"/>
    <x v="12"/>
    <x v="0"/>
    <x v="10"/>
    <x v="1"/>
    <n v="12"/>
    <s v="Hyderabad"/>
    <s v="2025-11-01"/>
    <x v="0"/>
    <x v="4"/>
    <x v="42"/>
    <x v="46"/>
    <x v="15"/>
    <x v="18"/>
    <n v="430"/>
    <n v="86"/>
    <x v="2"/>
    <x v="0"/>
    <n v="3010"/>
    <s v="Coding Club"/>
    <x v="0"/>
  </r>
  <r>
    <x v="1659"/>
    <x v="114"/>
    <x v="1"/>
    <x v="4"/>
    <x v="3"/>
    <n v="18"/>
    <s v="Bangalore"/>
    <s v="2025-12-06"/>
    <x v="2"/>
    <x v="4"/>
    <x v="56"/>
    <x v="52"/>
    <x v="51"/>
    <x v="21"/>
    <n v="362"/>
    <n v="72.400000000000006"/>
    <x v="1"/>
    <x v="1"/>
    <n v="4243"/>
    <s v="Dance"/>
    <x v="0"/>
  </r>
  <r>
    <x v="1660"/>
    <x v="40"/>
    <x v="0"/>
    <x v="8"/>
    <x v="1"/>
    <n v="8"/>
    <s v="Hyderabad"/>
    <s v="2024-11-26"/>
    <x v="19"/>
    <x v="11"/>
    <x v="65"/>
    <x v="37"/>
    <x v="6"/>
    <x v="38"/>
    <n v="317"/>
    <n v="63.4"/>
    <x v="0"/>
    <x v="1"/>
    <n v="1621"/>
    <s v="Art"/>
    <x v="0"/>
  </r>
  <r>
    <x v="1661"/>
    <x v="39"/>
    <x v="0"/>
    <x v="5"/>
    <x v="1"/>
    <n v="8"/>
    <s v="Coimbatore"/>
    <s v="2024-03-02"/>
    <x v="33"/>
    <x v="36"/>
    <x v="58"/>
    <x v="17"/>
    <x v="42"/>
    <x v="48"/>
    <n v="295"/>
    <n v="59"/>
    <x v="3"/>
    <x v="0"/>
    <n v="4853"/>
    <s v="Music"/>
    <x v="0"/>
  </r>
  <r>
    <x v="1662"/>
    <x v="3"/>
    <x v="0"/>
    <x v="4"/>
    <x v="3"/>
    <n v="16"/>
    <s v="Madurai"/>
    <s v="2022-11-02"/>
    <x v="12"/>
    <x v="9"/>
    <x v="31"/>
    <x v="4"/>
    <x v="38"/>
    <x v="52"/>
    <n v="389"/>
    <n v="77.8"/>
    <x v="1"/>
    <x v="0"/>
    <n v="2235"/>
    <s v="Sports"/>
    <x v="0"/>
  </r>
  <r>
    <x v="1663"/>
    <x v="147"/>
    <x v="1"/>
    <x v="8"/>
    <x v="1"/>
    <n v="8"/>
    <s v="Bangalore"/>
    <s v="2022-11-24"/>
    <x v="14"/>
    <x v="30"/>
    <x v="29"/>
    <x v="43"/>
    <x v="0"/>
    <x v="42"/>
    <n v="369"/>
    <n v="73.8"/>
    <x v="1"/>
    <x v="1"/>
    <n v="3961"/>
    <s v="Sports"/>
    <x v="0"/>
  </r>
  <r>
    <x v="1664"/>
    <x v="2"/>
    <x v="0"/>
    <x v="9"/>
    <x v="0"/>
    <n v="15"/>
    <s v="Pune"/>
    <s v="2024-07-02"/>
    <x v="21"/>
    <x v="12"/>
    <x v="38"/>
    <x v="11"/>
    <x v="24"/>
    <x v="39"/>
    <n v="346"/>
    <n v="69.2"/>
    <x v="0"/>
    <x v="1"/>
    <n v="1918"/>
    <s v="Music"/>
    <x v="0"/>
  </r>
  <r>
    <x v="1665"/>
    <x v="130"/>
    <x v="0"/>
    <x v="8"/>
    <x v="0"/>
    <n v="9"/>
    <s v="Pune"/>
    <s v="2022-02-13"/>
    <x v="16"/>
    <x v="25"/>
    <x v="64"/>
    <x v="50"/>
    <x v="64"/>
    <x v="29"/>
    <n v="343"/>
    <n v="68.599999999999994"/>
    <x v="0"/>
    <x v="0"/>
    <n v="3800"/>
    <s v="Art"/>
    <x v="0"/>
  </r>
  <r>
    <x v="1666"/>
    <x v="120"/>
    <x v="1"/>
    <x v="11"/>
    <x v="0"/>
    <n v="15"/>
    <s v="Bangalore"/>
    <s v="2024-10-16"/>
    <x v="0"/>
    <x v="57"/>
    <x v="32"/>
    <x v="1"/>
    <x v="51"/>
    <x v="24"/>
    <n v="299"/>
    <n v="59.8"/>
    <x v="3"/>
    <x v="1"/>
    <n v="4451"/>
    <s v="Dance"/>
    <x v="0"/>
  </r>
  <r>
    <x v="1667"/>
    <x v="149"/>
    <x v="1"/>
    <x v="5"/>
    <x v="1"/>
    <n v="7"/>
    <s v="Bangalore"/>
    <s v="2022-05-14"/>
    <x v="35"/>
    <x v="50"/>
    <x v="31"/>
    <x v="33"/>
    <x v="39"/>
    <x v="33"/>
    <n v="419"/>
    <n v="83.8"/>
    <x v="2"/>
    <x v="1"/>
    <n v="4112"/>
    <s v="Coding Club"/>
    <x v="0"/>
  </r>
  <r>
    <x v="1668"/>
    <x v="28"/>
    <x v="1"/>
    <x v="9"/>
    <x v="2"/>
    <n v="13"/>
    <s v="Madurai"/>
    <s v="2023-02-20"/>
    <x v="21"/>
    <x v="51"/>
    <x v="25"/>
    <x v="20"/>
    <x v="23"/>
    <x v="52"/>
    <n v="298"/>
    <n v="59.6"/>
    <x v="3"/>
    <x v="1"/>
    <n v="4851"/>
    <s v="Coding Club"/>
    <x v="0"/>
  </r>
  <r>
    <x v="1669"/>
    <x v="66"/>
    <x v="0"/>
    <x v="9"/>
    <x v="1"/>
    <n v="15"/>
    <s v="Chennai"/>
    <s v="2022-05-21"/>
    <x v="3"/>
    <x v="63"/>
    <x v="34"/>
    <x v="39"/>
    <x v="35"/>
    <x v="14"/>
    <n v="267"/>
    <n v="53.4"/>
    <x v="3"/>
    <x v="1"/>
    <n v="1546"/>
    <s v="Art"/>
    <x v="1"/>
  </r>
  <r>
    <x v="1670"/>
    <x v="107"/>
    <x v="1"/>
    <x v="1"/>
    <x v="2"/>
    <n v="13"/>
    <s v="Pune"/>
    <s v="2021-12-10"/>
    <x v="29"/>
    <x v="42"/>
    <x v="32"/>
    <x v="24"/>
    <x v="28"/>
    <x v="38"/>
    <n v="372"/>
    <n v="74.400000000000006"/>
    <x v="1"/>
    <x v="1"/>
    <n v="4347"/>
    <s v="Music"/>
    <x v="0"/>
  </r>
  <r>
    <x v="1671"/>
    <x v="64"/>
    <x v="1"/>
    <x v="11"/>
    <x v="0"/>
    <n v="15"/>
    <s v="Coimbatore"/>
    <s v="2024-12-11"/>
    <x v="17"/>
    <x v="64"/>
    <x v="51"/>
    <x v="13"/>
    <x v="44"/>
    <x v="61"/>
    <n v="392"/>
    <n v="78.400000000000006"/>
    <x v="1"/>
    <x v="0"/>
    <n v="4322"/>
    <s v="Dance"/>
    <x v="0"/>
  </r>
  <r>
    <x v="1672"/>
    <x v="105"/>
    <x v="0"/>
    <x v="1"/>
    <x v="0"/>
    <n v="13"/>
    <s v="Chennai"/>
    <s v="2023-10-27"/>
    <x v="3"/>
    <x v="11"/>
    <x v="41"/>
    <x v="45"/>
    <x v="56"/>
    <x v="19"/>
    <n v="341"/>
    <n v="68.2"/>
    <x v="0"/>
    <x v="1"/>
    <n v="1987"/>
    <s v="Coding Club"/>
    <x v="0"/>
  </r>
  <r>
    <x v="1673"/>
    <x v="129"/>
    <x v="1"/>
    <x v="4"/>
    <x v="0"/>
    <n v="17"/>
    <s v="Bangalore"/>
    <s v="2023-03-29"/>
    <x v="12"/>
    <x v="26"/>
    <x v="25"/>
    <x v="51"/>
    <x v="37"/>
    <x v="25"/>
    <n v="250"/>
    <n v="50"/>
    <x v="3"/>
    <x v="0"/>
    <n v="1778"/>
    <s v="Music"/>
    <x v="1"/>
  </r>
  <r>
    <x v="1674"/>
    <x v="83"/>
    <x v="1"/>
    <x v="11"/>
    <x v="0"/>
    <n v="17"/>
    <s v="Chennai"/>
    <s v="2024-07-23"/>
    <x v="11"/>
    <x v="30"/>
    <x v="5"/>
    <x v="35"/>
    <x v="3"/>
    <x v="53"/>
    <n v="343"/>
    <n v="68.599999999999994"/>
    <x v="0"/>
    <x v="0"/>
    <n v="2592"/>
    <s v="Dance"/>
    <x v="0"/>
  </r>
  <r>
    <x v="1675"/>
    <x v="130"/>
    <x v="0"/>
    <x v="3"/>
    <x v="1"/>
    <n v="7"/>
    <s v="Pune"/>
    <s v="2021-04-15"/>
    <x v="31"/>
    <x v="18"/>
    <x v="36"/>
    <x v="53"/>
    <x v="55"/>
    <x v="39"/>
    <n v="299"/>
    <n v="59.8"/>
    <x v="3"/>
    <x v="0"/>
    <n v="3922"/>
    <s v="Art"/>
    <x v="0"/>
  </r>
  <r>
    <x v="1676"/>
    <x v="48"/>
    <x v="0"/>
    <x v="3"/>
    <x v="3"/>
    <n v="6"/>
    <s v="Pune"/>
    <s v="2024-02-03"/>
    <x v="18"/>
    <x v="41"/>
    <x v="13"/>
    <x v="64"/>
    <x v="50"/>
    <x v="47"/>
    <n v="421"/>
    <n v="84.2"/>
    <x v="2"/>
    <x v="0"/>
    <n v="3083"/>
    <s v="Music"/>
    <x v="0"/>
  </r>
  <r>
    <x v="1677"/>
    <x v="142"/>
    <x v="0"/>
    <x v="9"/>
    <x v="0"/>
    <n v="15"/>
    <s v="Hyderabad"/>
    <s v="2025-07-26"/>
    <x v="2"/>
    <x v="37"/>
    <x v="64"/>
    <x v="15"/>
    <x v="2"/>
    <x v="26"/>
    <n v="279"/>
    <n v="55.8"/>
    <x v="3"/>
    <x v="0"/>
    <n v="2955"/>
    <s v="Sports"/>
    <x v="0"/>
  </r>
  <r>
    <x v="1678"/>
    <x v="29"/>
    <x v="0"/>
    <x v="8"/>
    <x v="0"/>
    <n v="7"/>
    <s v="Coimbatore"/>
    <s v="2023-01-26"/>
    <x v="16"/>
    <x v="39"/>
    <x v="30"/>
    <x v="5"/>
    <x v="32"/>
    <x v="2"/>
    <n v="308"/>
    <n v="61.6"/>
    <x v="0"/>
    <x v="0"/>
    <n v="3127"/>
    <s v="Sports"/>
    <x v="0"/>
  </r>
  <r>
    <x v="1679"/>
    <x v="110"/>
    <x v="1"/>
    <x v="7"/>
    <x v="1"/>
    <n v="10"/>
    <s v="Pune"/>
    <s v="2023-07-08"/>
    <x v="1"/>
    <x v="11"/>
    <x v="30"/>
    <x v="25"/>
    <x v="14"/>
    <x v="56"/>
    <n v="320"/>
    <n v="64"/>
    <x v="0"/>
    <x v="1"/>
    <n v="1897"/>
    <s v="Sports"/>
    <x v="0"/>
  </r>
  <r>
    <x v="1680"/>
    <x v="86"/>
    <x v="0"/>
    <x v="1"/>
    <x v="0"/>
    <n v="13"/>
    <s v="Madurai"/>
    <s v="2024-04-09"/>
    <x v="29"/>
    <x v="56"/>
    <x v="23"/>
    <x v="13"/>
    <x v="61"/>
    <x v="3"/>
    <n v="417"/>
    <n v="83.4"/>
    <x v="2"/>
    <x v="0"/>
    <n v="4123"/>
    <s v="Dance"/>
    <x v="0"/>
  </r>
  <r>
    <x v="1681"/>
    <x v="98"/>
    <x v="0"/>
    <x v="3"/>
    <x v="0"/>
    <n v="7"/>
    <s v="Coimbatore"/>
    <s v="2025-01-14"/>
    <x v="12"/>
    <x v="31"/>
    <x v="53"/>
    <x v="39"/>
    <x v="53"/>
    <x v="64"/>
    <n v="279"/>
    <n v="55.8"/>
    <x v="3"/>
    <x v="1"/>
    <n v="3461"/>
    <s v="Coding Club"/>
    <x v="0"/>
  </r>
  <r>
    <x v="1682"/>
    <x v="7"/>
    <x v="1"/>
    <x v="10"/>
    <x v="0"/>
    <n v="11"/>
    <s v="Bangalore"/>
    <s v="2021-12-05"/>
    <x v="36"/>
    <x v="0"/>
    <x v="40"/>
    <x v="49"/>
    <x v="49"/>
    <x v="46"/>
    <n v="292"/>
    <n v="58.4"/>
    <x v="3"/>
    <x v="0"/>
    <n v="3350"/>
    <s v="Music"/>
    <x v="0"/>
  </r>
  <r>
    <x v="1683"/>
    <x v="113"/>
    <x v="1"/>
    <x v="7"/>
    <x v="0"/>
    <n v="9"/>
    <s v="Mumbai"/>
    <s v="2024-02-15"/>
    <x v="38"/>
    <x v="61"/>
    <x v="9"/>
    <x v="28"/>
    <x v="3"/>
    <x v="37"/>
    <n v="299"/>
    <n v="59.8"/>
    <x v="3"/>
    <x v="0"/>
    <n v="4899"/>
    <s v="Drama"/>
    <x v="0"/>
  </r>
  <r>
    <x v="1684"/>
    <x v="33"/>
    <x v="0"/>
    <x v="4"/>
    <x v="0"/>
    <n v="18"/>
    <s v="Bangalore"/>
    <s v="2021-01-02"/>
    <x v="34"/>
    <x v="26"/>
    <x v="13"/>
    <x v="47"/>
    <x v="2"/>
    <x v="25"/>
    <n v="352"/>
    <n v="70.400000000000006"/>
    <x v="1"/>
    <x v="0"/>
    <n v="1841"/>
    <s v="Sports"/>
    <x v="0"/>
  </r>
  <r>
    <x v="1685"/>
    <x v="53"/>
    <x v="0"/>
    <x v="8"/>
    <x v="1"/>
    <n v="8"/>
    <s v="Coimbatore"/>
    <s v="2021-05-03"/>
    <x v="2"/>
    <x v="32"/>
    <x v="10"/>
    <x v="7"/>
    <x v="17"/>
    <x v="43"/>
    <n v="307"/>
    <n v="61.4"/>
    <x v="0"/>
    <x v="0"/>
    <n v="2138"/>
    <s v="Coding Club"/>
    <x v="0"/>
  </r>
  <r>
    <x v="1686"/>
    <x v="73"/>
    <x v="0"/>
    <x v="1"/>
    <x v="0"/>
    <n v="13"/>
    <s v="Coimbatore"/>
    <s v="2023-09-21"/>
    <x v="3"/>
    <x v="60"/>
    <x v="16"/>
    <x v="48"/>
    <x v="45"/>
    <x v="9"/>
    <n v="299"/>
    <n v="59.8"/>
    <x v="3"/>
    <x v="0"/>
    <n v="3786"/>
    <s v="Art"/>
    <x v="0"/>
  </r>
  <r>
    <x v="1687"/>
    <x v="118"/>
    <x v="0"/>
    <x v="3"/>
    <x v="2"/>
    <n v="6"/>
    <s v="Chennai"/>
    <s v="2022-07-15"/>
    <x v="0"/>
    <x v="15"/>
    <x v="37"/>
    <x v="24"/>
    <x v="6"/>
    <x v="44"/>
    <n v="354"/>
    <n v="70.8"/>
    <x v="1"/>
    <x v="0"/>
    <n v="3030"/>
    <s v="Music"/>
    <x v="0"/>
  </r>
  <r>
    <x v="1688"/>
    <x v="100"/>
    <x v="0"/>
    <x v="0"/>
    <x v="1"/>
    <n v="16"/>
    <s v="Hyderabad"/>
    <s v="2023-07-07"/>
    <x v="35"/>
    <x v="27"/>
    <x v="26"/>
    <x v="2"/>
    <x v="6"/>
    <x v="26"/>
    <n v="295"/>
    <n v="59"/>
    <x v="3"/>
    <x v="1"/>
    <n v="1780"/>
    <s v="Drama"/>
    <x v="0"/>
  </r>
  <r>
    <x v="1689"/>
    <x v="20"/>
    <x v="0"/>
    <x v="5"/>
    <x v="3"/>
    <n v="8"/>
    <s v="Coimbatore"/>
    <s v="2021-01-15"/>
    <x v="36"/>
    <x v="12"/>
    <x v="52"/>
    <x v="23"/>
    <x v="14"/>
    <x v="25"/>
    <n v="328"/>
    <n v="65.599999999999994"/>
    <x v="0"/>
    <x v="1"/>
    <n v="2762"/>
    <s v="Drama"/>
    <x v="0"/>
  </r>
  <r>
    <x v="1690"/>
    <x v="112"/>
    <x v="0"/>
    <x v="5"/>
    <x v="0"/>
    <n v="7"/>
    <s v="Madurai"/>
    <s v="2025-05-24"/>
    <x v="15"/>
    <x v="40"/>
    <x v="8"/>
    <x v="13"/>
    <x v="62"/>
    <x v="1"/>
    <n v="339"/>
    <n v="67.8"/>
    <x v="0"/>
    <x v="1"/>
    <n v="2902"/>
    <s v="Drama"/>
    <x v="0"/>
  </r>
  <r>
    <x v="1691"/>
    <x v="86"/>
    <x v="0"/>
    <x v="9"/>
    <x v="3"/>
    <n v="15"/>
    <s v="Bangalore"/>
    <s v="2025-09-21"/>
    <x v="35"/>
    <x v="37"/>
    <x v="10"/>
    <x v="36"/>
    <x v="50"/>
    <x v="39"/>
    <n v="240"/>
    <n v="48"/>
    <x v="4"/>
    <x v="1"/>
    <n v="3671"/>
    <s v="Sports"/>
    <x v="1"/>
  </r>
  <r>
    <x v="1692"/>
    <x v="104"/>
    <x v="1"/>
    <x v="8"/>
    <x v="3"/>
    <n v="7"/>
    <s v="Madurai"/>
    <s v="2021-05-19"/>
    <x v="1"/>
    <x v="6"/>
    <x v="65"/>
    <x v="23"/>
    <x v="24"/>
    <x v="30"/>
    <n v="376"/>
    <n v="75.2"/>
    <x v="1"/>
    <x v="1"/>
    <n v="4495"/>
    <s v="Sports"/>
    <x v="0"/>
  </r>
  <r>
    <x v="1693"/>
    <x v="0"/>
    <x v="1"/>
    <x v="11"/>
    <x v="2"/>
    <n v="15"/>
    <s v="Madurai"/>
    <s v="2022-01-22"/>
    <x v="29"/>
    <x v="39"/>
    <x v="6"/>
    <x v="60"/>
    <x v="4"/>
    <x v="49"/>
    <n v="256"/>
    <n v="51.2"/>
    <x v="3"/>
    <x v="0"/>
    <n v="2889"/>
    <s v="Sports"/>
    <x v="1"/>
  </r>
  <r>
    <x v="1694"/>
    <x v="30"/>
    <x v="1"/>
    <x v="6"/>
    <x v="0"/>
    <n v="12"/>
    <s v="Bangalore"/>
    <s v="2023-07-15"/>
    <x v="20"/>
    <x v="41"/>
    <x v="12"/>
    <x v="57"/>
    <x v="4"/>
    <x v="34"/>
    <n v="342"/>
    <n v="68.400000000000006"/>
    <x v="0"/>
    <x v="0"/>
    <n v="3383"/>
    <s v="Coding Club"/>
    <x v="0"/>
  </r>
  <r>
    <x v="1695"/>
    <x v="52"/>
    <x v="0"/>
    <x v="5"/>
    <x v="2"/>
    <n v="7"/>
    <s v="Hyderabad"/>
    <s v="2025-09-01"/>
    <x v="36"/>
    <x v="44"/>
    <x v="25"/>
    <x v="26"/>
    <x v="38"/>
    <x v="19"/>
    <n v="287"/>
    <n v="57.4"/>
    <x v="3"/>
    <x v="1"/>
    <n v="1882"/>
    <s v="Drama"/>
    <x v="0"/>
  </r>
  <r>
    <x v="1696"/>
    <x v="117"/>
    <x v="1"/>
    <x v="3"/>
    <x v="0"/>
    <n v="6"/>
    <s v="Hyderabad"/>
    <s v="2021-01-28"/>
    <x v="33"/>
    <x v="26"/>
    <x v="35"/>
    <x v="52"/>
    <x v="2"/>
    <x v="58"/>
    <n v="314"/>
    <n v="62.8"/>
    <x v="0"/>
    <x v="1"/>
    <n v="4576"/>
    <s v="Music"/>
    <x v="0"/>
  </r>
  <r>
    <x v="1697"/>
    <x v="80"/>
    <x v="1"/>
    <x v="10"/>
    <x v="2"/>
    <n v="12"/>
    <s v="Bangalore"/>
    <s v="2024-07-02"/>
    <x v="35"/>
    <x v="50"/>
    <x v="65"/>
    <x v="19"/>
    <x v="10"/>
    <x v="10"/>
    <n v="419"/>
    <n v="83.8"/>
    <x v="2"/>
    <x v="1"/>
    <n v="4472"/>
    <s v="Sports"/>
    <x v="0"/>
  </r>
  <r>
    <x v="1698"/>
    <x v="8"/>
    <x v="1"/>
    <x v="6"/>
    <x v="0"/>
    <n v="10"/>
    <s v="Pune"/>
    <s v="2023-05-26"/>
    <x v="35"/>
    <x v="37"/>
    <x v="13"/>
    <x v="40"/>
    <x v="33"/>
    <x v="0"/>
    <n v="306"/>
    <n v="61.2"/>
    <x v="0"/>
    <x v="1"/>
    <n v="4408"/>
    <s v="Art"/>
    <x v="0"/>
  </r>
  <r>
    <x v="1699"/>
    <x v="139"/>
    <x v="1"/>
    <x v="8"/>
    <x v="2"/>
    <n v="7"/>
    <s v="Chennai"/>
    <s v="2021-04-02"/>
    <x v="33"/>
    <x v="26"/>
    <x v="48"/>
    <x v="53"/>
    <x v="8"/>
    <x v="38"/>
    <n v="281"/>
    <n v="56.2"/>
    <x v="3"/>
    <x v="1"/>
    <n v="1897"/>
    <s v="Sports"/>
    <x v="0"/>
  </r>
  <r>
    <x v="1700"/>
    <x v="125"/>
    <x v="0"/>
    <x v="3"/>
    <x v="0"/>
    <n v="7"/>
    <s v="Coimbatore"/>
    <s v="2022-01-04"/>
    <x v="27"/>
    <x v="23"/>
    <x v="9"/>
    <x v="45"/>
    <x v="45"/>
    <x v="1"/>
    <n v="277"/>
    <n v="55.4"/>
    <x v="3"/>
    <x v="1"/>
    <n v="4004"/>
    <s v="Coding Club"/>
    <x v="0"/>
  </r>
  <r>
    <x v="1701"/>
    <x v="110"/>
    <x v="1"/>
    <x v="10"/>
    <x v="2"/>
    <n v="12"/>
    <s v="Mumbai"/>
    <s v="2022-01-09"/>
    <x v="7"/>
    <x v="2"/>
    <x v="44"/>
    <x v="45"/>
    <x v="8"/>
    <x v="55"/>
    <n v="395"/>
    <n v="79"/>
    <x v="1"/>
    <x v="0"/>
    <n v="2062"/>
    <s v="Coding Club"/>
    <x v="0"/>
  </r>
  <r>
    <x v="1702"/>
    <x v="61"/>
    <x v="0"/>
    <x v="3"/>
    <x v="0"/>
    <n v="7"/>
    <s v="Mumbai"/>
    <s v="2022-03-18"/>
    <x v="36"/>
    <x v="8"/>
    <x v="41"/>
    <x v="43"/>
    <x v="51"/>
    <x v="13"/>
    <n v="415"/>
    <n v="83"/>
    <x v="2"/>
    <x v="1"/>
    <n v="4950"/>
    <s v="Coding Club"/>
    <x v="0"/>
  </r>
  <r>
    <x v="1703"/>
    <x v="119"/>
    <x v="0"/>
    <x v="1"/>
    <x v="0"/>
    <n v="13"/>
    <s v="Hyderabad"/>
    <s v="2025-09-28"/>
    <x v="29"/>
    <x v="46"/>
    <x v="5"/>
    <x v="36"/>
    <x v="35"/>
    <x v="11"/>
    <n v="294"/>
    <n v="58.8"/>
    <x v="3"/>
    <x v="0"/>
    <n v="4068"/>
    <s v="Art"/>
    <x v="0"/>
  </r>
  <r>
    <x v="1704"/>
    <x v="38"/>
    <x v="0"/>
    <x v="2"/>
    <x v="1"/>
    <n v="9"/>
    <s v="Bangalore"/>
    <s v="2025-02-05"/>
    <x v="25"/>
    <x v="23"/>
    <x v="65"/>
    <x v="2"/>
    <x v="54"/>
    <x v="33"/>
    <n v="343"/>
    <n v="68.599999999999994"/>
    <x v="0"/>
    <x v="0"/>
    <n v="2026"/>
    <s v="Music"/>
    <x v="0"/>
  </r>
  <r>
    <x v="1705"/>
    <x v="92"/>
    <x v="1"/>
    <x v="6"/>
    <x v="3"/>
    <n v="12"/>
    <s v="Chennai"/>
    <s v="2024-04-06"/>
    <x v="37"/>
    <x v="60"/>
    <x v="34"/>
    <x v="10"/>
    <x v="54"/>
    <x v="24"/>
    <n v="338"/>
    <n v="67.599999999999994"/>
    <x v="0"/>
    <x v="0"/>
    <n v="3363"/>
    <s v="Drama"/>
    <x v="0"/>
  </r>
  <r>
    <x v="1706"/>
    <x v="85"/>
    <x v="1"/>
    <x v="7"/>
    <x v="2"/>
    <n v="11"/>
    <s v="Pune"/>
    <s v="2022-07-27"/>
    <x v="10"/>
    <x v="30"/>
    <x v="65"/>
    <x v="55"/>
    <x v="47"/>
    <x v="50"/>
    <n v="391"/>
    <n v="78.2"/>
    <x v="1"/>
    <x v="1"/>
    <n v="2561"/>
    <s v="Dance"/>
    <x v="0"/>
  </r>
  <r>
    <x v="1707"/>
    <x v="26"/>
    <x v="1"/>
    <x v="1"/>
    <x v="1"/>
    <n v="12"/>
    <s v="Chennai"/>
    <s v="2024-01-23"/>
    <x v="6"/>
    <x v="4"/>
    <x v="48"/>
    <x v="62"/>
    <x v="21"/>
    <x v="30"/>
    <n v="349"/>
    <n v="69.8"/>
    <x v="0"/>
    <x v="0"/>
    <n v="4758"/>
    <s v="Sports"/>
    <x v="0"/>
  </r>
  <r>
    <x v="1708"/>
    <x v="138"/>
    <x v="1"/>
    <x v="11"/>
    <x v="0"/>
    <n v="16"/>
    <s v="Mumbai"/>
    <s v="2024-03-18"/>
    <x v="19"/>
    <x v="25"/>
    <x v="15"/>
    <x v="43"/>
    <x v="25"/>
    <x v="61"/>
    <n v="365"/>
    <n v="73"/>
    <x v="1"/>
    <x v="1"/>
    <n v="1848"/>
    <s v="Sports"/>
    <x v="0"/>
  </r>
  <r>
    <x v="1709"/>
    <x v="10"/>
    <x v="1"/>
    <x v="10"/>
    <x v="1"/>
    <n v="12"/>
    <s v="Madurai"/>
    <s v="2025-06-26"/>
    <x v="5"/>
    <x v="62"/>
    <x v="41"/>
    <x v="49"/>
    <x v="55"/>
    <x v="33"/>
    <n v="384"/>
    <n v="76.8"/>
    <x v="1"/>
    <x v="0"/>
    <n v="1693"/>
    <s v="Coding Club"/>
    <x v="0"/>
  </r>
  <r>
    <x v="1710"/>
    <x v="133"/>
    <x v="1"/>
    <x v="9"/>
    <x v="1"/>
    <n v="14"/>
    <s v="Coimbatore"/>
    <s v="2023-12-14"/>
    <x v="33"/>
    <x v="62"/>
    <x v="28"/>
    <x v="14"/>
    <x v="3"/>
    <x v="15"/>
    <n v="374"/>
    <n v="74.8"/>
    <x v="1"/>
    <x v="0"/>
    <n v="1562"/>
    <s v="Music"/>
    <x v="0"/>
  </r>
  <r>
    <x v="1711"/>
    <x v="35"/>
    <x v="0"/>
    <x v="2"/>
    <x v="1"/>
    <n v="10"/>
    <s v="Mumbai"/>
    <s v="2025-08-24"/>
    <x v="13"/>
    <x v="54"/>
    <x v="44"/>
    <x v="36"/>
    <x v="9"/>
    <x v="57"/>
    <n v="352"/>
    <n v="70.400000000000006"/>
    <x v="1"/>
    <x v="1"/>
    <n v="3796"/>
    <s v="Art"/>
    <x v="0"/>
  </r>
  <r>
    <x v="1712"/>
    <x v="83"/>
    <x v="0"/>
    <x v="10"/>
    <x v="0"/>
    <n v="12"/>
    <s v="Coimbatore"/>
    <s v="2025-06-22"/>
    <x v="39"/>
    <x v="39"/>
    <x v="7"/>
    <x v="55"/>
    <x v="23"/>
    <x v="40"/>
    <n v="304"/>
    <n v="60.8"/>
    <x v="0"/>
    <x v="1"/>
    <n v="3529"/>
    <s v="Sports"/>
    <x v="0"/>
  </r>
  <r>
    <x v="1713"/>
    <x v="50"/>
    <x v="0"/>
    <x v="5"/>
    <x v="3"/>
    <n v="8"/>
    <s v="Chennai"/>
    <s v="2021-12-18"/>
    <x v="34"/>
    <x v="65"/>
    <x v="17"/>
    <x v="7"/>
    <x v="21"/>
    <x v="64"/>
    <n v="318"/>
    <n v="63.6"/>
    <x v="0"/>
    <x v="0"/>
    <n v="4929"/>
    <s v="Dance"/>
    <x v="0"/>
  </r>
  <r>
    <x v="1714"/>
    <x v="69"/>
    <x v="1"/>
    <x v="5"/>
    <x v="0"/>
    <n v="7"/>
    <s v="Bangalore"/>
    <s v="2023-11-29"/>
    <x v="24"/>
    <x v="36"/>
    <x v="8"/>
    <x v="34"/>
    <x v="35"/>
    <x v="58"/>
    <n v="243"/>
    <n v="48.6"/>
    <x v="4"/>
    <x v="0"/>
    <n v="2009"/>
    <s v="Music"/>
    <x v="1"/>
  </r>
  <r>
    <x v="1715"/>
    <x v="134"/>
    <x v="1"/>
    <x v="8"/>
    <x v="0"/>
    <n v="8"/>
    <s v="Mumbai"/>
    <s v="2022-09-04"/>
    <x v="17"/>
    <x v="64"/>
    <x v="0"/>
    <x v="52"/>
    <x v="57"/>
    <x v="8"/>
    <n v="420"/>
    <n v="84"/>
    <x v="2"/>
    <x v="0"/>
    <n v="1714"/>
    <s v="Drama"/>
    <x v="0"/>
  </r>
  <r>
    <x v="1716"/>
    <x v="118"/>
    <x v="1"/>
    <x v="2"/>
    <x v="1"/>
    <n v="9"/>
    <s v="Coimbatore"/>
    <s v="2024-05-01"/>
    <x v="5"/>
    <x v="24"/>
    <x v="12"/>
    <x v="63"/>
    <x v="3"/>
    <x v="63"/>
    <n v="363"/>
    <n v="72.599999999999994"/>
    <x v="1"/>
    <x v="0"/>
    <n v="2004"/>
    <s v="Drama"/>
    <x v="0"/>
  </r>
  <r>
    <x v="1717"/>
    <x v="145"/>
    <x v="1"/>
    <x v="10"/>
    <x v="3"/>
    <n v="12"/>
    <s v="Chennai"/>
    <s v="2024-09-04"/>
    <x v="35"/>
    <x v="56"/>
    <x v="53"/>
    <x v="61"/>
    <x v="44"/>
    <x v="34"/>
    <n v="372"/>
    <n v="74.400000000000006"/>
    <x v="1"/>
    <x v="1"/>
    <n v="3586"/>
    <s v="Coding Club"/>
    <x v="0"/>
  </r>
  <r>
    <x v="1718"/>
    <x v="75"/>
    <x v="0"/>
    <x v="8"/>
    <x v="0"/>
    <n v="8"/>
    <s v="Chennai"/>
    <s v="2024-05-15"/>
    <x v="8"/>
    <x v="28"/>
    <x v="22"/>
    <x v="60"/>
    <x v="61"/>
    <x v="62"/>
    <n v="356"/>
    <n v="71.2"/>
    <x v="1"/>
    <x v="1"/>
    <n v="4535"/>
    <s v="Drama"/>
    <x v="0"/>
  </r>
  <r>
    <x v="1719"/>
    <x v="120"/>
    <x v="0"/>
    <x v="10"/>
    <x v="2"/>
    <n v="12"/>
    <s v="Chennai"/>
    <s v="2023-06-27"/>
    <x v="37"/>
    <x v="26"/>
    <x v="36"/>
    <x v="52"/>
    <x v="39"/>
    <x v="30"/>
    <n v="346"/>
    <n v="69.2"/>
    <x v="0"/>
    <x v="0"/>
    <n v="4141"/>
    <s v="Dance"/>
    <x v="0"/>
  </r>
  <r>
    <x v="1720"/>
    <x v="79"/>
    <x v="1"/>
    <x v="4"/>
    <x v="3"/>
    <n v="16"/>
    <s v="Pune"/>
    <s v="2021-07-04"/>
    <x v="12"/>
    <x v="2"/>
    <x v="55"/>
    <x v="36"/>
    <x v="30"/>
    <x v="6"/>
    <n v="299"/>
    <n v="59.8"/>
    <x v="3"/>
    <x v="1"/>
    <n v="3310"/>
    <s v="Art"/>
    <x v="0"/>
  </r>
  <r>
    <x v="1721"/>
    <x v="58"/>
    <x v="0"/>
    <x v="7"/>
    <x v="0"/>
    <n v="11"/>
    <s v="Madurai"/>
    <s v="2021-06-19"/>
    <x v="17"/>
    <x v="5"/>
    <x v="19"/>
    <x v="24"/>
    <x v="44"/>
    <x v="62"/>
    <n v="362"/>
    <n v="72.400000000000006"/>
    <x v="1"/>
    <x v="0"/>
    <n v="2607"/>
    <s v="Coding Club"/>
    <x v="0"/>
  </r>
  <r>
    <x v="1722"/>
    <x v="28"/>
    <x v="1"/>
    <x v="7"/>
    <x v="2"/>
    <n v="11"/>
    <s v="Madurai"/>
    <s v="2023-02-20"/>
    <x v="16"/>
    <x v="30"/>
    <x v="63"/>
    <x v="31"/>
    <x v="24"/>
    <x v="15"/>
    <n v="411"/>
    <n v="82.2"/>
    <x v="2"/>
    <x v="1"/>
    <n v="3472"/>
    <s v="Art"/>
    <x v="0"/>
  </r>
  <r>
    <x v="1723"/>
    <x v="92"/>
    <x v="0"/>
    <x v="8"/>
    <x v="3"/>
    <n v="9"/>
    <s v="Pune"/>
    <s v="2022-01-05"/>
    <x v="39"/>
    <x v="49"/>
    <x v="63"/>
    <x v="30"/>
    <x v="30"/>
    <x v="24"/>
    <n v="341"/>
    <n v="68.2"/>
    <x v="0"/>
    <x v="0"/>
    <n v="2010"/>
    <s v="Music"/>
    <x v="0"/>
  </r>
  <r>
    <x v="1724"/>
    <x v="65"/>
    <x v="0"/>
    <x v="1"/>
    <x v="2"/>
    <n v="13"/>
    <s v="Pune"/>
    <s v="2023-03-08"/>
    <x v="22"/>
    <x v="22"/>
    <x v="51"/>
    <x v="36"/>
    <x v="48"/>
    <x v="46"/>
    <n v="308"/>
    <n v="61.6"/>
    <x v="0"/>
    <x v="1"/>
    <n v="3593"/>
    <s v="Dance"/>
    <x v="0"/>
  </r>
  <r>
    <x v="1725"/>
    <x v="2"/>
    <x v="1"/>
    <x v="9"/>
    <x v="0"/>
    <n v="15"/>
    <s v="Madurai"/>
    <s v="2023-10-05"/>
    <x v="24"/>
    <x v="0"/>
    <x v="25"/>
    <x v="51"/>
    <x v="19"/>
    <x v="38"/>
    <n v="264"/>
    <n v="52.8"/>
    <x v="3"/>
    <x v="1"/>
    <n v="4927"/>
    <s v="Drama"/>
    <x v="1"/>
  </r>
  <r>
    <x v="1726"/>
    <x v="109"/>
    <x v="1"/>
    <x v="8"/>
    <x v="0"/>
    <n v="8"/>
    <s v="Pune"/>
    <s v="2022-05-14"/>
    <x v="27"/>
    <x v="30"/>
    <x v="10"/>
    <x v="9"/>
    <x v="31"/>
    <x v="6"/>
    <n v="286"/>
    <n v="57.2"/>
    <x v="3"/>
    <x v="1"/>
    <n v="3861"/>
    <s v="Coding Club"/>
    <x v="0"/>
  </r>
  <r>
    <x v="1727"/>
    <x v="99"/>
    <x v="0"/>
    <x v="2"/>
    <x v="2"/>
    <n v="10"/>
    <s v="Pune"/>
    <s v="2023-11-20"/>
    <x v="9"/>
    <x v="38"/>
    <x v="21"/>
    <x v="48"/>
    <x v="20"/>
    <x v="30"/>
    <n v="395"/>
    <n v="79"/>
    <x v="1"/>
    <x v="1"/>
    <n v="1700"/>
    <s v="Drama"/>
    <x v="0"/>
  </r>
  <r>
    <x v="1728"/>
    <x v="25"/>
    <x v="0"/>
    <x v="10"/>
    <x v="3"/>
    <n v="13"/>
    <s v="Chennai"/>
    <s v="2021-04-12"/>
    <x v="14"/>
    <x v="50"/>
    <x v="40"/>
    <x v="12"/>
    <x v="13"/>
    <x v="49"/>
    <n v="253"/>
    <n v="50.6"/>
    <x v="3"/>
    <x v="1"/>
    <n v="2979"/>
    <s v="Dance"/>
    <x v="1"/>
  </r>
  <r>
    <x v="1729"/>
    <x v="25"/>
    <x v="1"/>
    <x v="8"/>
    <x v="0"/>
    <n v="9"/>
    <s v="Mumbai"/>
    <s v="2025-04-22"/>
    <x v="4"/>
    <x v="31"/>
    <x v="12"/>
    <x v="9"/>
    <x v="53"/>
    <x v="4"/>
    <n v="324"/>
    <n v="64.8"/>
    <x v="0"/>
    <x v="0"/>
    <n v="2508"/>
    <s v="Art"/>
    <x v="0"/>
  </r>
  <r>
    <x v="1730"/>
    <x v="127"/>
    <x v="0"/>
    <x v="5"/>
    <x v="3"/>
    <n v="6"/>
    <s v="Mumbai"/>
    <s v="2023-08-20"/>
    <x v="20"/>
    <x v="44"/>
    <x v="53"/>
    <x v="50"/>
    <x v="0"/>
    <x v="20"/>
    <n v="315"/>
    <n v="63"/>
    <x v="0"/>
    <x v="1"/>
    <n v="4804"/>
    <s v="Sports"/>
    <x v="0"/>
  </r>
  <r>
    <x v="1731"/>
    <x v="39"/>
    <x v="1"/>
    <x v="0"/>
    <x v="3"/>
    <n v="14"/>
    <s v="Chennai"/>
    <s v="2021-04-14"/>
    <x v="6"/>
    <x v="29"/>
    <x v="60"/>
    <x v="58"/>
    <x v="39"/>
    <x v="4"/>
    <n v="301"/>
    <n v="60.2"/>
    <x v="0"/>
    <x v="0"/>
    <n v="3337"/>
    <s v="Art"/>
    <x v="0"/>
  </r>
  <r>
    <x v="1732"/>
    <x v="90"/>
    <x v="1"/>
    <x v="2"/>
    <x v="3"/>
    <n v="9"/>
    <s v="Coimbatore"/>
    <s v="2022-11-02"/>
    <x v="10"/>
    <x v="48"/>
    <x v="34"/>
    <x v="15"/>
    <x v="43"/>
    <x v="19"/>
    <n v="287"/>
    <n v="57.4"/>
    <x v="3"/>
    <x v="1"/>
    <n v="2221"/>
    <s v="Dance"/>
    <x v="0"/>
  </r>
  <r>
    <x v="1733"/>
    <x v="59"/>
    <x v="1"/>
    <x v="4"/>
    <x v="0"/>
    <n v="17"/>
    <s v="Bangalore"/>
    <s v="2021-07-23"/>
    <x v="36"/>
    <x v="21"/>
    <x v="2"/>
    <x v="9"/>
    <x v="59"/>
    <x v="34"/>
    <n v="320"/>
    <n v="64"/>
    <x v="0"/>
    <x v="1"/>
    <n v="3141"/>
    <s v="Sports"/>
    <x v="0"/>
  </r>
  <r>
    <x v="1734"/>
    <x v="71"/>
    <x v="1"/>
    <x v="4"/>
    <x v="2"/>
    <n v="17"/>
    <s v="Bangalore"/>
    <s v="2023-04-17"/>
    <x v="12"/>
    <x v="31"/>
    <x v="17"/>
    <x v="0"/>
    <x v="27"/>
    <x v="2"/>
    <n v="314"/>
    <n v="62.8"/>
    <x v="0"/>
    <x v="1"/>
    <n v="4749"/>
    <s v="Dance"/>
    <x v="0"/>
  </r>
  <r>
    <x v="1735"/>
    <x v="131"/>
    <x v="0"/>
    <x v="2"/>
    <x v="0"/>
    <n v="10"/>
    <s v="Pune"/>
    <s v="2021-12-15"/>
    <x v="20"/>
    <x v="34"/>
    <x v="10"/>
    <x v="32"/>
    <x v="6"/>
    <x v="33"/>
    <n v="359"/>
    <n v="71.8"/>
    <x v="1"/>
    <x v="0"/>
    <n v="4793"/>
    <s v="Art"/>
    <x v="0"/>
  </r>
  <r>
    <x v="1736"/>
    <x v="138"/>
    <x v="1"/>
    <x v="7"/>
    <x v="1"/>
    <n v="11"/>
    <s v="Madurai"/>
    <s v="2024-06-14"/>
    <x v="4"/>
    <x v="20"/>
    <x v="0"/>
    <x v="50"/>
    <x v="22"/>
    <x v="12"/>
    <n v="405"/>
    <n v="81"/>
    <x v="2"/>
    <x v="1"/>
    <n v="1900"/>
    <s v="Coding Club"/>
    <x v="0"/>
  </r>
  <r>
    <x v="1737"/>
    <x v="144"/>
    <x v="0"/>
    <x v="2"/>
    <x v="0"/>
    <n v="9"/>
    <s v="Mumbai"/>
    <s v="2024-12-23"/>
    <x v="20"/>
    <x v="19"/>
    <x v="42"/>
    <x v="28"/>
    <x v="19"/>
    <x v="22"/>
    <n v="271"/>
    <n v="54.2"/>
    <x v="3"/>
    <x v="0"/>
    <n v="2271"/>
    <s v="Art"/>
    <x v="1"/>
  </r>
  <r>
    <x v="1738"/>
    <x v="71"/>
    <x v="0"/>
    <x v="10"/>
    <x v="0"/>
    <n v="13"/>
    <s v="Madurai"/>
    <s v="2024-02-11"/>
    <x v="30"/>
    <x v="45"/>
    <x v="40"/>
    <x v="45"/>
    <x v="49"/>
    <x v="26"/>
    <n v="276"/>
    <n v="55.2"/>
    <x v="3"/>
    <x v="0"/>
    <n v="2659"/>
    <s v="Sports"/>
    <x v="0"/>
  </r>
  <r>
    <x v="1739"/>
    <x v="39"/>
    <x v="0"/>
    <x v="2"/>
    <x v="3"/>
    <n v="9"/>
    <s v="Hyderabad"/>
    <s v="2021-11-30"/>
    <x v="6"/>
    <x v="65"/>
    <x v="24"/>
    <x v="65"/>
    <x v="40"/>
    <x v="62"/>
    <n v="252"/>
    <n v="50.4"/>
    <x v="3"/>
    <x v="0"/>
    <n v="3764"/>
    <s v="Sports"/>
    <x v="1"/>
  </r>
  <r>
    <x v="1740"/>
    <x v="31"/>
    <x v="1"/>
    <x v="6"/>
    <x v="0"/>
    <n v="11"/>
    <s v="Bangalore"/>
    <s v="2021-11-12"/>
    <x v="8"/>
    <x v="57"/>
    <x v="53"/>
    <x v="24"/>
    <x v="13"/>
    <x v="65"/>
    <n v="295"/>
    <n v="59"/>
    <x v="3"/>
    <x v="0"/>
    <n v="2727"/>
    <s v="Sports"/>
    <x v="0"/>
  </r>
  <r>
    <x v="1741"/>
    <x v="114"/>
    <x v="0"/>
    <x v="6"/>
    <x v="0"/>
    <n v="11"/>
    <s v="Coimbatore"/>
    <s v="2025-10-10"/>
    <x v="6"/>
    <x v="13"/>
    <x v="48"/>
    <x v="5"/>
    <x v="13"/>
    <x v="50"/>
    <n v="247"/>
    <n v="49.4"/>
    <x v="4"/>
    <x v="1"/>
    <n v="1524"/>
    <s v="Art"/>
    <x v="1"/>
  </r>
  <r>
    <x v="1742"/>
    <x v="116"/>
    <x v="1"/>
    <x v="1"/>
    <x v="2"/>
    <n v="12"/>
    <s v="Bangalore"/>
    <s v="2023-11-23"/>
    <x v="19"/>
    <x v="33"/>
    <x v="64"/>
    <x v="24"/>
    <x v="32"/>
    <x v="39"/>
    <n v="291"/>
    <n v="58.2"/>
    <x v="3"/>
    <x v="0"/>
    <n v="4289"/>
    <s v="Art"/>
    <x v="0"/>
  </r>
  <r>
    <x v="1743"/>
    <x v="91"/>
    <x v="1"/>
    <x v="7"/>
    <x v="1"/>
    <n v="10"/>
    <s v="Chennai"/>
    <s v="2023-04-03"/>
    <x v="8"/>
    <x v="61"/>
    <x v="18"/>
    <x v="1"/>
    <x v="60"/>
    <x v="32"/>
    <n v="324"/>
    <n v="64.8"/>
    <x v="0"/>
    <x v="1"/>
    <n v="3446"/>
    <s v="Drama"/>
    <x v="0"/>
  </r>
  <r>
    <x v="1744"/>
    <x v="122"/>
    <x v="1"/>
    <x v="1"/>
    <x v="1"/>
    <n v="14"/>
    <s v="Pune"/>
    <s v="2025-05-25"/>
    <x v="11"/>
    <x v="43"/>
    <x v="18"/>
    <x v="12"/>
    <x v="31"/>
    <x v="23"/>
    <n v="354"/>
    <n v="70.8"/>
    <x v="1"/>
    <x v="0"/>
    <n v="4359"/>
    <s v="Sports"/>
    <x v="0"/>
  </r>
  <r>
    <x v="1745"/>
    <x v="91"/>
    <x v="0"/>
    <x v="5"/>
    <x v="0"/>
    <n v="8"/>
    <s v="Pune"/>
    <s v="2021-07-09"/>
    <x v="29"/>
    <x v="2"/>
    <x v="21"/>
    <x v="52"/>
    <x v="40"/>
    <x v="44"/>
    <n v="364"/>
    <n v="72.8"/>
    <x v="1"/>
    <x v="1"/>
    <n v="1720"/>
    <s v="Sports"/>
    <x v="0"/>
  </r>
  <r>
    <x v="1746"/>
    <x v="1"/>
    <x v="0"/>
    <x v="8"/>
    <x v="1"/>
    <n v="8"/>
    <s v="Chennai"/>
    <s v="2024-05-18"/>
    <x v="17"/>
    <x v="31"/>
    <x v="12"/>
    <x v="35"/>
    <x v="56"/>
    <x v="51"/>
    <n v="315"/>
    <n v="63"/>
    <x v="0"/>
    <x v="0"/>
    <n v="1667"/>
    <s v="Coding Club"/>
    <x v="0"/>
  </r>
  <r>
    <x v="1747"/>
    <x v="103"/>
    <x v="1"/>
    <x v="2"/>
    <x v="3"/>
    <n v="8"/>
    <s v="Madurai"/>
    <s v="2022-10-03"/>
    <x v="15"/>
    <x v="61"/>
    <x v="22"/>
    <x v="22"/>
    <x v="57"/>
    <x v="17"/>
    <n v="328"/>
    <n v="65.599999999999994"/>
    <x v="0"/>
    <x v="0"/>
    <n v="3916"/>
    <s v="Sports"/>
    <x v="0"/>
  </r>
  <r>
    <x v="1748"/>
    <x v="34"/>
    <x v="0"/>
    <x v="1"/>
    <x v="1"/>
    <n v="14"/>
    <s v="Hyderabad"/>
    <s v="2022-11-08"/>
    <x v="20"/>
    <x v="5"/>
    <x v="57"/>
    <x v="26"/>
    <x v="19"/>
    <x v="50"/>
    <n v="324"/>
    <n v="64.8"/>
    <x v="0"/>
    <x v="1"/>
    <n v="2282"/>
    <s v="Coding Club"/>
    <x v="0"/>
  </r>
  <r>
    <x v="1749"/>
    <x v="116"/>
    <x v="1"/>
    <x v="1"/>
    <x v="1"/>
    <n v="12"/>
    <s v="Bangalore"/>
    <s v="2025-05-10"/>
    <x v="27"/>
    <x v="46"/>
    <x v="50"/>
    <x v="29"/>
    <x v="19"/>
    <x v="37"/>
    <n v="384"/>
    <n v="76.8"/>
    <x v="1"/>
    <x v="1"/>
    <n v="3341"/>
    <s v="Dance"/>
    <x v="0"/>
  </r>
  <r>
    <x v="1750"/>
    <x v="34"/>
    <x v="0"/>
    <x v="1"/>
    <x v="2"/>
    <n v="13"/>
    <s v="Hyderabad"/>
    <s v="2023-07-28"/>
    <x v="11"/>
    <x v="40"/>
    <x v="57"/>
    <x v="50"/>
    <x v="61"/>
    <x v="35"/>
    <n v="330"/>
    <n v="66"/>
    <x v="0"/>
    <x v="1"/>
    <n v="2625"/>
    <s v="Dance"/>
    <x v="0"/>
  </r>
  <r>
    <x v="1751"/>
    <x v="108"/>
    <x v="0"/>
    <x v="5"/>
    <x v="1"/>
    <n v="6"/>
    <s v="Coimbatore"/>
    <s v="2024-10-21"/>
    <x v="25"/>
    <x v="56"/>
    <x v="31"/>
    <x v="45"/>
    <x v="63"/>
    <x v="0"/>
    <n v="420"/>
    <n v="84"/>
    <x v="2"/>
    <x v="1"/>
    <n v="2637"/>
    <s v="Drama"/>
    <x v="0"/>
  </r>
  <r>
    <x v="1752"/>
    <x v="53"/>
    <x v="1"/>
    <x v="7"/>
    <x v="0"/>
    <n v="11"/>
    <s v="Chennai"/>
    <s v="2025-02-20"/>
    <x v="27"/>
    <x v="53"/>
    <x v="51"/>
    <x v="26"/>
    <x v="56"/>
    <x v="43"/>
    <n v="289"/>
    <n v="57.8"/>
    <x v="3"/>
    <x v="1"/>
    <n v="4752"/>
    <s v="Art"/>
    <x v="0"/>
  </r>
  <r>
    <x v="1753"/>
    <x v="30"/>
    <x v="0"/>
    <x v="9"/>
    <x v="2"/>
    <n v="13"/>
    <s v="Madurai"/>
    <s v="2022-12-12"/>
    <x v="18"/>
    <x v="34"/>
    <x v="44"/>
    <x v="46"/>
    <x v="1"/>
    <x v="61"/>
    <n v="440"/>
    <n v="88"/>
    <x v="2"/>
    <x v="1"/>
    <n v="4152"/>
    <s v="Coding Club"/>
    <x v="0"/>
  </r>
  <r>
    <x v="1754"/>
    <x v="42"/>
    <x v="1"/>
    <x v="6"/>
    <x v="1"/>
    <n v="10"/>
    <s v="Bangalore"/>
    <s v="2021-03-17"/>
    <x v="36"/>
    <x v="36"/>
    <x v="3"/>
    <x v="1"/>
    <x v="28"/>
    <x v="14"/>
    <n v="300"/>
    <n v="60"/>
    <x v="0"/>
    <x v="1"/>
    <n v="2501"/>
    <s v="Dance"/>
    <x v="0"/>
  </r>
  <r>
    <x v="1755"/>
    <x v="106"/>
    <x v="0"/>
    <x v="10"/>
    <x v="0"/>
    <n v="13"/>
    <s v="Mumbai"/>
    <s v="2022-03-26"/>
    <x v="26"/>
    <x v="0"/>
    <x v="36"/>
    <x v="53"/>
    <x v="16"/>
    <x v="17"/>
    <n v="341"/>
    <n v="68.2"/>
    <x v="0"/>
    <x v="1"/>
    <n v="3601"/>
    <s v="Coding Club"/>
    <x v="0"/>
  </r>
  <r>
    <x v="1756"/>
    <x v="32"/>
    <x v="1"/>
    <x v="0"/>
    <x v="1"/>
    <n v="15"/>
    <s v="Madurai"/>
    <s v="2021-07-01"/>
    <x v="6"/>
    <x v="20"/>
    <x v="46"/>
    <x v="42"/>
    <x v="11"/>
    <x v="30"/>
    <n v="325"/>
    <n v="65"/>
    <x v="0"/>
    <x v="1"/>
    <n v="3622"/>
    <s v="Coding Club"/>
    <x v="0"/>
  </r>
  <r>
    <x v="1757"/>
    <x v="77"/>
    <x v="1"/>
    <x v="1"/>
    <x v="3"/>
    <n v="14"/>
    <s v="Chennai"/>
    <s v="2021-09-19"/>
    <x v="25"/>
    <x v="31"/>
    <x v="14"/>
    <x v="14"/>
    <x v="4"/>
    <x v="58"/>
    <n v="264"/>
    <n v="52.8"/>
    <x v="3"/>
    <x v="0"/>
    <n v="3704"/>
    <s v="Dance"/>
    <x v="1"/>
  </r>
  <r>
    <x v="1758"/>
    <x v="125"/>
    <x v="0"/>
    <x v="7"/>
    <x v="2"/>
    <n v="9"/>
    <s v="Hyderabad"/>
    <s v="2021-09-21"/>
    <x v="35"/>
    <x v="48"/>
    <x v="46"/>
    <x v="23"/>
    <x v="24"/>
    <x v="47"/>
    <n v="383"/>
    <n v="76.599999999999994"/>
    <x v="1"/>
    <x v="1"/>
    <n v="2840"/>
    <s v="Dance"/>
    <x v="0"/>
  </r>
  <r>
    <x v="1759"/>
    <x v="57"/>
    <x v="0"/>
    <x v="0"/>
    <x v="2"/>
    <n v="14"/>
    <s v="Bangalore"/>
    <s v="2023-03-18"/>
    <x v="3"/>
    <x v="1"/>
    <x v="56"/>
    <x v="51"/>
    <x v="33"/>
    <x v="27"/>
    <n v="315"/>
    <n v="63"/>
    <x v="0"/>
    <x v="1"/>
    <n v="3503"/>
    <s v="Sports"/>
    <x v="0"/>
  </r>
  <r>
    <x v="1760"/>
    <x v="136"/>
    <x v="1"/>
    <x v="3"/>
    <x v="3"/>
    <n v="7"/>
    <s v="Chennai"/>
    <s v="2022-01-29"/>
    <x v="33"/>
    <x v="16"/>
    <x v="59"/>
    <x v="49"/>
    <x v="3"/>
    <x v="58"/>
    <n v="323"/>
    <n v="64.599999999999994"/>
    <x v="0"/>
    <x v="0"/>
    <n v="3926"/>
    <s v="Music"/>
    <x v="0"/>
  </r>
  <r>
    <x v="1761"/>
    <x v="85"/>
    <x v="0"/>
    <x v="4"/>
    <x v="0"/>
    <n v="18"/>
    <s v="Hyderabad"/>
    <s v="2023-12-19"/>
    <x v="18"/>
    <x v="10"/>
    <x v="17"/>
    <x v="5"/>
    <x v="4"/>
    <x v="23"/>
    <n v="325"/>
    <n v="65"/>
    <x v="0"/>
    <x v="0"/>
    <n v="2642"/>
    <s v="Drama"/>
    <x v="0"/>
  </r>
  <r>
    <x v="1762"/>
    <x v="40"/>
    <x v="0"/>
    <x v="4"/>
    <x v="2"/>
    <n v="17"/>
    <s v="Coimbatore"/>
    <s v="2024-07-25"/>
    <x v="12"/>
    <x v="25"/>
    <x v="1"/>
    <x v="26"/>
    <x v="11"/>
    <x v="51"/>
    <n v="339"/>
    <n v="67.8"/>
    <x v="0"/>
    <x v="1"/>
    <n v="3636"/>
    <s v="Dance"/>
    <x v="0"/>
  </r>
  <r>
    <x v="1763"/>
    <x v="23"/>
    <x v="0"/>
    <x v="8"/>
    <x v="0"/>
    <n v="8"/>
    <s v="Mumbai"/>
    <s v="2025-11-11"/>
    <x v="36"/>
    <x v="20"/>
    <x v="64"/>
    <x v="14"/>
    <x v="23"/>
    <x v="44"/>
    <n v="333"/>
    <n v="66.599999999999994"/>
    <x v="0"/>
    <x v="1"/>
    <n v="4176"/>
    <s v="Dance"/>
    <x v="0"/>
  </r>
  <r>
    <x v="1764"/>
    <x v="99"/>
    <x v="0"/>
    <x v="10"/>
    <x v="0"/>
    <n v="11"/>
    <s v="Mumbai"/>
    <s v="2022-01-30"/>
    <x v="39"/>
    <x v="53"/>
    <x v="14"/>
    <x v="44"/>
    <x v="37"/>
    <x v="63"/>
    <n v="239"/>
    <n v="47.8"/>
    <x v="4"/>
    <x v="1"/>
    <n v="3503"/>
    <s v="Sports"/>
    <x v="1"/>
  </r>
  <r>
    <x v="1765"/>
    <x v="120"/>
    <x v="0"/>
    <x v="7"/>
    <x v="0"/>
    <n v="10"/>
    <s v="Mumbai"/>
    <s v="2022-12-22"/>
    <x v="32"/>
    <x v="37"/>
    <x v="1"/>
    <x v="45"/>
    <x v="62"/>
    <x v="54"/>
    <n v="254"/>
    <n v="50.8"/>
    <x v="3"/>
    <x v="0"/>
    <n v="2560"/>
    <s v="Coding Club"/>
    <x v="1"/>
  </r>
  <r>
    <x v="1766"/>
    <x v="39"/>
    <x v="0"/>
    <x v="7"/>
    <x v="1"/>
    <n v="10"/>
    <s v="Chennai"/>
    <s v="2021-09-01"/>
    <x v="17"/>
    <x v="32"/>
    <x v="65"/>
    <x v="3"/>
    <x v="15"/>
    <x v="30"/>
    <n v="403"/>
    <n v="80.599999999999994"/>
    <x v="2"/>
    <x v="0"/>
    <n v="3175"/>
    <s v="Music"/>
    <x v="0"/>
  </r>
  <r>
    <x v="1767"/>
    <x v="124"/>
    <x v="1"/>
    <x v="2"/>
    <x v="3"/>
    <n v="10"/>
    <s v="Pune"/>
    <s v="2021-03-02"/>
    <x v="26"/>
    <x v="30"/>
    <x v="33"/>
    <x v="1"/>
    <x v="15"/>
    <x v="64"/>
    <n v="300"/>
    <n v="60"/>
    <x v="0"/>
    <x v="1"/>
    <n v="2191"/>
    <s v="Dance"/>
    <x v="0"/>
  </r>
  <r>
    <x v="1768"/>
    <x v="141"/>
    <x v="0"/>
    <x v="4"/>
    <x v="3"/>
    <n v="17"/>
    <s v="Pune"/>
    <s v="2021-08-25"/>
    <x v="24"/>
    <x v="28"/>
    <x v="46"/>
    <x v="52"/>
    <x v="58"/>
    <x v="50"/>
    <n v="332"/>
    <n v="66.400000000000006"/>
    <x v="0"/>
    <x v="0"/>
    <n v="2432"/>
    <s v="Art"/>
    <x v="0"/>
  </r>
  <r>
    <x v="1769"/>
    <x v="67"/>
    <x v="0"/>
    <x v="4"/>
    <x v="1"/>
    <n v="17"/>
    <s v="Bangalore"/>
    <s v="2021-02-16"/>
    <x v="13"/>
    <x v="54"/>
    <x v="64"/>
    <x v="30"/>
    <x v="21"/>
    <x v="54"/>
    <n v="332"/>
    <n v="66.400000000000006"/>
    <x v="0"/>
    <x v="1"/>
    <n v="3635"/>
    <s v="Coding Club"/>
    <x v="0"/>
  </r>
  <r>
    <x v="1770"/>
    <x v="2"/>
    <x v="0"/>
    <x v="1"/>
    <x v="0"/>
    <n v="13"/>
    <s v="Bangalore"/>
    <s v="2023-10-05"/>
    <x v="40"/>
    <x v="36"/>
    <x v="33"/>
    <x v="18"/>
    <x v="64"/>
    <x v="58"/>
    <n v="280"/>
    <n v="56"/>
    <x v="3"/>
    <x v="1"/>
    <n v="3475"/>
    <s v="Art"/>
    <x v="0"/>
  </r>
  <r>
    <x v="1771"/>
    <x v="125"/>
    <x v="0"/>
    <x v="1"/>
    <x v="1"/>
    <n v="13"/>
    <s v="Hyderabad"/>
    <s v="2021-06-18"/>
    <x v="34"/>
    <x v="44"/>
    <x v="10"/>
    <x v="47"/>
    <x v="37"/>
    <x v="14"/>
    <n v="231"/>
    <n v="46.2"/>
    <x v="4"/>
    <x v="1"/>
    <n v="3005"/>
    <s v="Sports"/>
    <x v="1"/>
  </r>
  <r>
    <x v="1772"/>
    <x v="75"/>
    <x v="1"/>
    <x v="9"/>
    <x v="0"/>
    <n v="13"/>
    <s v="Bangalore"/>
    <s v="2024-03-03"/>
    <x v="2"/>
    <x v="38"/>
    <x v="22"/>
    <x v="27"/>
    <x v="54"/>
    <x v="26"/>
    <n v="387"/>
    <n v="77.400000000000006"/>
    <x v="1"/>
    <x v="0"/>
    <n v="4489"/>
    <s v="Art"/>
    <x v="0"/>
  </r>
  <r>
    <x v="1773"/>
    <x v="120"/>
    <x v="1"/>
    <x v="10"/>
    <x v="3"/>
    <n v="12"/>
    <s v="Hyderabad"/>
    <s v="2023-10-20"/>
    <x v="15"/>
    <x v="4"/>
    <x v="15"/>
    <x v="38"/>
    <x v="14"/>
    <x v="50"/>
    <n v="351"/>
    <n v="70.2"/>
    <x v="1"/>
    <x v="1"/>
    <n v="3324"/>
    <s v="Drama"/>
    <x v="0"/>
  </r>
  <r>
    <x v="1774"/>
    <x v="145"/>
    <x v="1"/>
    <x v="10"/>
    <x v="0"/>
    <n v="11"/>
    <s v="Mumbai"/>
    <s v="2025-10-12"/>
    <x v="32"/>
    <x v="9"/>
    <x v="38"/>
    <x v="18"/>
    <x v="42"/>
    <x v="48"/>
    <n v="293"/>
    <n v="58.6"/>
    <x v="3"/>
    <x v="0"/>
    <n v="4038"/>
    <s v="Art"/>
    <x v="0"/>
  </r>
  <r>
    <x v="1775"/>
    <x v="71"/>
    <x v="1"/>
    <x v="9"/>
    <x v="2"/>
    <n v="14"/>
    <s v="Mumbai"/>
    <s v="2021-09-27"/>
    <x v="5"/>
    <x v="3"/>
    <x v="30"/>
    <x v="31"/>
    <x v="44"/>
    <x v="41"/>
    <n v="398"/>
    <n v="79.599999999999994"/>
    <x v="1"/>
    <x v="0"/>
    <n v="3421"/>
    <s v="Dance"/>
    <x v="0"/>
  </r>
  <r>
    <x v="1776"/>
    <x v="107"/>
    <x v="0"/>
    <x v="0"/>
    <x v="2"/>
    <n v="15"/>
    <s v="Hyderabad"/>
    <s v="2023-05-29"/>
    <x v="3"/>
    <x v="22"/>
    <x v="37"/>
    <x v="60"/>
    <x v="27"/>
    <x v="34"/>
    <n v="379"/>
    <n v="75.8"/>
    <x v="1"/>
    <x v="0"/>
    <n v="2592"/>
    <s v="Dance"/>
    <x v="0"/>
  </r>
  <r>
    <x v="1777"/>
    <x v="113"/>
    <x v="1"/>
    <x v="6"/>
    <x v="2"/>
    <n v="10"/>
    <s v="Mumbai"/>
    <s v="2022-08-14"/>
    <x v="10"/>
    <x v="13"/>
    <x v="54"/>
    <x v="62"/>
    <x v="25"/>
    <x v="22"/>
    <n v="279"/>
    <n v="55.8"/>
    <x v="3"/>
    <x v="0"/>
    <n v="3248"/>
    <s v="Drama"/>
    <x v="0"/>
  </r>
  <r>
    <x v="1778"/>
    <x v="75"/>
    <x v="1"/>
    <x v="5"/>
    <x v="1"/>
    <n v="8"/>
    <s v="Pune"/>
    <s v="2022-06-16"/>
    <x v="14"/>
    <x v="2"/>
    <x v="5"/>
    <x v="33"/>
    <x v="62"/>
    <x v="13"/>
    <n v="375"/>
    <n v="75"/>
    <x v="1"/>
    <x v="0"/>
    <n v="4063"/>
    <s v="Dance"/>
    <x v="0"/>
  </r>
  <r>
    <x v="1779"/>
    <x v="74"/>
    <x v="1"/>
    <x v="6"/>
    <x v="1"/>
    <n v="11"/>
    <s v="Madurai"/>
    <s v="2021-09-05"/>
    <x v="17"/>
    <x v="2"/>
    <x v="0"/>
    <x v="36"/>
    <x v="56"/>
    <x v="42"/>
    <n v="374"/>
    <n v="74.8"/>
    <x v="1"/>
    <x v="0"/>
    <n v="4626"/>
    <s v="Sports"/>
    <x v="0"/>
  </r>
  <r>
    <x v="1780"/>
    <x v="83"/>
    <x v="0"/>
    <x v="3"/>
    <x v="2"/>
    <n v="6"/>
    <s v="Hyderabad"/>
    <s v="2024-06-19"/>
    <x v="31"/>
    <x v="42"/>
    <x v="16"/>
    <x v="15"/>
    <x v="63"/>
    <x v="55"/>
    <n v="345"/>
    <n v="69"/>
    <x v="0"/>
    <x v="1"/>
    <n v="4887"/>
    <s v="Sports"/>
    <x v="0"/>
  </r>
  <r>
    <x v="1781"/>
    <x v="38"/>
    <x v="1"/>
    <x v="0"/>
    <x v="3"/>
    <n v="16"/>
    <s v="Mumbai"/>
    <s v="2024-05-11"/>
    <x v="3"/>
    <x v="8"/>
    <x v="64"/>
    <x v="24"/>
    <x v="46"/>
    <x v="49"/>
    <n v="309"/>
    <n v="61.8"/>
    <x v="0"/>
    <x v="0"/>
    <n v="4017"/>
    <s v="Coding Club"/>
    <x v="0"/>
  </r>
  <r>
    <x v="1782"/>
    <x v="148"/>
    <x v="0"/>
    <x v="8"/>
    <x v="1"/>
    <n v="7"/>
    <s v="Bangalore"/>
    <s v="2024-10-07"/>
    <x v="32"/>
    <x v="30"/>
    <x v="8"/>
    <x v="49"/>
    <x v="47"/>
    <x v="9"/>
    <n v="398"/>
    <n v="79.599999999999994"/>
    <x v="1"/>
    <x v="1"/>
    <n v="1798"/>
    <s v="Music"/>
    <x v="0"/>
  </r>
  <r>
    <x v="1783"/>
    <x v="9"/>
    <x v="0"/>
    <x v="2"/>
    <x v="3"/>
    <n v="8"/>
    <s v="Hyderabad"/>
    <s v="2021-11-18"/>
    <x v="13"/>
    <x v="14"/>
    <x v="40"/>
    <x v="36"/>
    <x v="5"/>
    <x v="1"/>
    <n v="334"/>
    <n v="66.8"/>
    <x v="0"/>
    <x v="1"/>
    <n v="2736"/>
    <s v="Sports"/>
    <x v="0"/>
  </r>
  <r>
    <x v="1784"/>
    <x v="44"/>
    <x v="0"/>
    <x v="0"/>
    <x v="0"/>
    <n v="14"/>
    <s v="Hyderabad"/>
    <s v="2022-03-04"/>
    <x v="36"/>
    <x v="65"/>
    <x v="47"/>
    <x v="1"/>
    <x v="45"/>
    <x v="64"/>
    <n v="259"/>
    <n v="51.8"/>
    <x v="3"/>
    <x v="0"/>
    <n v="4683"/>
    <s v="Sports"/>
    <x v="1"/>
  </r>
  <r>
    <x v="1785"/>
    <x v="146"/>
    <x v="1"/>
    <x v="2"/>
    <x v="1"/>
    <n v="8"/>
    <s v="Chennai"/>
    <s v="2021-09-30"/>
    <x v="19"/>
    <x v="5"/>
    <x v="0"/>
    <x v="17"/>
    <x v="46"/>
    <x v="31"/>
    <n v="404"/>
    <n v="80.8"/>
    <x v="2"/>
    <x v="1"/>
    <n v="4532"/>
    <s v="Sports"/>
    <x v="0"/>
  </r>
  <r>
    <x v="1786"/>
    <x v="131"/>
    <x v="1"/>
    <x v="2"/>
    <x v="3"/>
    <n v="9"/>
    <s v="Mumbai"/>
    <s v="2021-01-14"/>
    <x v="13"/>
    <x v="4"/>
    <x v="42"/>
    <x v="44"/>
    <x v="19"/>
    <x v="47"/>
    <n v="401"/>
    <n v="80.2"/>
    <x v="2"/>
    <x v="0"/>
    <n v="2106"/>
    <s v="Drama"/>
    <x v="0"/>
  </r>
  <r>
    <x v="1787"/>
    <x v="42"/>
    <x v="1"/>
    <x v="5"/>
    <x v="3"/>
    <n v="6"/>
    <s v="Pune"/>
    <s v="2025-08-29"/>
    <x v="27"/>
    <x v="2"/>
    <x v="61"/>
    <x v="35"/>
    <x v="29"/>
    <x v="12"/>
    <n v="355"/>
    <n v="71"/>
    <x v="1"/>
    <x v="0"/>
    <n v="3911"/>
    <s v="Drama"/>
    <x v="0"/>
  </r>
  <r>
    <x v="1788"/>
    <x v="18"/>
    <x v="1"/>
    <x v="9"/>
    <x v="1"/>
    <n v="13"/>
    <s v="Madurai"/>
    <s v="2022-02-19"/>
    <x v="2"/>
    <x v="61"/>
    <x v="35"/>
    <x v="18"/>
    <x v="39"/>
    <x v="6"/>
    <n v="304"/>
    <n v="60.8"/>
    <x v="0"/>
    <x v="0"/>
    <n v="3022"/>
    <s v="Sports"/>
    <x v="0"/>
  </r>
  <r>
    <x v="1789"/>
    <x v="128"/>
    <x v="1"/>
    <x v="0"/>
    <x v="3"/>
    <n v="16"/>
    <s v="Madurai"/>
    <s v="2025-04-27"/>
    <x v="30"/>
    <x v="27"/>
    <x v="25"/>
    <x v="43"/>
    <x v="29"/>
    <x v="26"/>
    <n v="301"/>
    <n v="60.2"/>
    <x v="0"/>
    <x v="1"/>
    <n v="4453"/>
    <s v="Art"/>
    <x v="0"/>
  </r>
  <r>
    <x v="1790"/>
    <x v="101"/>
    <x v="0"/>
    <x v="2"/>
    <x v="0"/>
    <n v="8"/>
    <s v="Coimbatore"/>
    <s v="2025-05-04"/>
    <x v="18"/>
    <x v="30"/>
    <x v="51"/>
    <x v="41"/>
    <x v="15"/>
    <x v="48"/>
    <n v="335"/>
    <n v="67"/>
    <x v="0"/>
    <x v="0"/>
    <n v="4189"/>
    <s v="Coding Club"/>
    <x v="0"/>
  </r>
  <r>
    <x v="1791"/>
    <x v="134"/>
    <x v="0"/>
    <x v="1"/>
    <x v="0"/>
    <n v="14"/>
    <s v="Chennai"/>
    <s v="2023-06-19"/>
    <x v="34"/>
    <x v="23"/>
    <x v="3"/>
    <x v="43"/>
    <x v="7"/>
    <x v="63"/>
    <n v="382"/>
    <n v="76.400000000000006"/>
    <x v="1"/>
    <x v="1"/>
    <n v="4448"/>
    <s v="Coding Club"/>
    <x v="0"/>
  </r>
  <r>
    <x v="1792"/>
    <x v="69"/>
    <x v="1"/>
    <x v="7"/>
    <x v="1"/>
    <n v="9"/>
    <s v="Mumbai"/>
    <s v="2023-06-25"/>
    <x v="9"/>
    <x v="39"/>
    <x v="15"/>
    <x v="57"/>
    <x v="27"/>
    <x v="52"/>
    <n v="301"/>
    <n v="60.2"/>
    <x v="0"/>
    <x v="1"/>
    <n v="4856"/>
    <s v="Coding Club"/>
    <x v="0"/>
  </r>
  <r>
    <x v="1793"/>
    <x v="8"/>
    <x v="1"/>
    <x v="9"/>
    <x v="3"/>
    <n v="14"/>
    <s v="Pune"/>
    <s v="2023-08-20"/>
    <x v="18"/>
    <x v="57"/>
    <x v="65"/>
    <x v="3"/>
    <x v="8"/>
    <x v="6"/>
    <n v="396"/>
    <n v="79.2"/>
    <x v="1"/>
    <x v="1"/>
    <n v="4620"/>
    <s v="Dance"/>
    <x v="0"/>
  </r>
  <r>
    <x v="1794"/>
    <x v="91"/>
    <x v="0"/>
    <x v="7"/>
    <x v="1"/>
    <n v="10"/>
    <s v="Mumbai"/>
    <s v="2024-05-06"/>
    <x v="33"/>
    <x v="5"/>
    <x v="30"/>
    <x v="62"/>
    <x v="7"/>
    <x v="15"/>
    <n v="395"/>
    <n v="79"/>
    <x v="1"/>
    <x v="0"/>
    <n v="2640"/>
    <s v="Music"/>
    <x v="0"/>
  </r>
  <r>
    <x v="1795"/>
    <x v="61"/>
    <x v="0"/>
    <x v="4"/>
    <x v="1"/>
    <n v="18"/>
    <s v="Pune"/>
    <s v="2023-01-20"/>
    <x v="30"/>
    <x v="9"/>
    <x v="19"/>
    <x v="11"/>
    <x v="63"/>
    <x v="4"/>
    <n v="392"/>
    <n v="78.400000000000006"/>
    <x v="1"/>
    <x v="0"/>
    <n v="2203"/>
    <s v="Drama"/>
    <x v="0"/>
  </r>
  <r>
    <x v="1796"/>
    <x v="53"/>
    <x v="1"/>
    <x v="8"/>
    <x v="1"/>
    <n v="7"/>
    <s v="Madurai"/>
    <s v="2022-12-26"/>
    <x v="40"/>
    <x v="8"/>
    <x v="25"/>
    <x v="3"/>
    <x v="58"/>
    <x v="58"/>
    <n v="322"/>
    <n v="64.400000000000006"/>
    <x v="0"/>
    <x v="1"/>
    <n v="3717"/>
    <s v="Art"/>
    <x v="0"/>
  </r>
  <r>
    <x v="1797"/>
    <x v="89"/>
    <x v="0"/>
    <x v="6"/>
    <x v="0"/>
    <n v="11"/>
    <s v="Coimbatore"/>
    <s v="2021-02-26"/>
    <x v="14"/>
    <x v="19"/>
    <x v="39"/>
    <x v="51"/>
    <x v="57"/>
    <x v="46"/>
    <n v="319"/>
    <n v="63.8"/>
    <x v="0"/>
    <x v="1"/>
    <n v="2349"/>
    <s v="Coding Club"/>
    <x v="0"/>
  </r>
  <r>
    <x v="1798"/>
    <x v="55"/>
    <x v="1"/>
    <x v="8"/>
    <x v="3"/>
    <n v="9"/>
    <s v="Pune"/>
    <s v="2022-04-11"/>
    <x v="1"/>
    <x v="45"/>
    <x v="23"/>
    <x v="64"/>
    <x v="17"/>
    <x v="42"/>
    <n v="373"/>
    <n v="74.599999999999994"/>
    <x v="1"/>
    <x v="0"/>
    <n v="2836"/>
    <s v="Sports"/>
    <x v="0"/>
  </r>
  <r>
    <x v="1799"/>
    <x v="146"/>
    <x v="1"/>
    <x v="4"/>
    <x v="0"/>
    <n v="16"/>
    <s v="Hyderabad"/>
    <s v="2023-01-10"/>
    <x v="32"/>
    <x v="24"/>
    <x v="53"/>
    <x v="14"/>
    <x v="14"/>
    <x v="15"/>
    <n v="352"/>
    <n v="70.400000000000006"/>
    <x v="1"/>
    <x v="1"/>
    <n v="2774"/>
    <s v="Coding Club"/>
    <x v="0"/>
  </r>
  <r>
    <x v="1800"/>
    <x v="48"/>
    <x v="1"/>
    <x v="9"/>
    <x v="2"/>
    <n v="14"/>
    <s v="Madurai"/>
    <s v="2025-09-07"/>
    <x v="1"/>
    <x v="63"/>
    <x v="29"/>
    <x v="48"/>
    <x v="55"/>
    <x v="18"/>
    <n v="384"/>
    <n v="76.8"/>
    <x v="1"/>
    <x v="0"/>
    <n v="2097"/>
    <s v="Art"/>
    <x v="0"/>
  </r>
  <r>
    <x v="1801"/>
    <x v="79"/>
    <x v="0"/>
    <x v="0"/>
    <x v="3"/>
    <n v="14"/>
    <s v="Bangalore"/>
    <s v="2024-02-16"/>
    <x v="4"/>
    <x v="65"/>
    <x v="31"/>
    <x v="31"/>
    <x v="60"/>
    <x v="50"/>
    <n v="373"/>
    <n v="74.599999999999994"/>
    <x v="1"/>
    <x v="1"/>
    <n v="1640"/>
    <s v="Dance"/>
    <x v="0"/>
  </r>
  <r>
    <x v="1802"/>
    <x v="70"/>
    <x v="1"/>
    <x v="5"/>
    <x v="0"/>
    <n v="7"/>
    <s v="Hyderabad"/>
    <s v="2021-07-28"/>
    <x v="23"/>
    <x v="42"/>
    <x v="46"/>
    <x v="34"/>
    <x v="2"/>
    <x v="22"/>
    <n v="318"/>
    <n v="63.6"/>
    <x v="0"/>
    <x v="1"/>
    <n v="3356"/>
    <s v="Music"/>
    <x v="0"/>
  </r>
  <r>
    <x v="1803"/>
    <x v="125"/>
    <x v="0"/>
    <x v="0"/>
    <x v="0"/>
    <n v="15"/>
    <s v="Hyderabad"/>
    <s v="2025-11-08"/>
    <x v="6"/>
    <x v="4"/>
    <x v="56"/>
    <x v="9"/>
    <x v="32"/>
    <x v="63"/>
    <n v="312"/>
    <n v="62.4"/>
    <x v="0"/>
    <x v="1"/>
    <n v="4458"/>
    <s v="Music"/>
    <x v="0"/>
  </r>
  <r>
    <x v="1804"/>
    <x v="22"/>
    <x v="0"/>
    <x v="11"/>
    <x v="2"/>
    <n v="17"/>
    <s v="Hyderabad"/>
    <s v="2023-10-05"/>
    <x v="40"/>
    <x v="19"/>
    <x v="10"/>
    <x v="7"/>
    <x v="29"/>
    <x v="14"/>
    <n v="245"/>
    <n v="49"/>
    <x v="4"/>
    <x v="1"/>
    <n v="1814"/>
    <s v="Drama"/>
    <x v="1"/>
  </r>
  <r>
    <x v="1805"/>
    <x v="3"/>
    <x v="0"/>
    <x v="11"/>
    <x v="0"/>
    <n v="16"/>
    <s v="Madurai"/>
    <s v="2021-12-11"/>
    <x v="11"/>
    <x v="30"/>
    <x v="7"/>
    <x v="45"/>
    <x v="35"/>
    <x v="58"/>
    <n v="249"/>
    <n v="49.8"/>
    <x v="4"/>
    <x v="1"/>
    <n v="2910"/>
    <s v="Coding Club"/>
    <x v="1"/>
  </r>
  <r>
    <x v="1806"/>
    <x v="121"/>
    <x v="1"/>
    <x v="7"/>
    <x v="0"/>
    <n v="11"/>
    <s v="Madurai"/>
    <s v="2021-01-08"/>
    <x v="18"/>
    <x v="41"/>
    <x v="27"/>
    <x v="46"/>
    <x v="53"/>
    <x v="10"/>
    <n v="372"/>
    <n v="74.400000000000006"/>
    <x v="1"/>
    <x v="0"/>
    <n v="4208"/>
    <s v="Dance"/>
    <x v="0"/>
  </r>
  <r>
    <x v="1807"/>
    <x v="64"/>
    <x v="0"/>
    <x v="5"/>
    <x v="3"/>
    <n v="6"/>
    <s v="Madurai"/>
    <s v="2021-08-22"/>
    <x v="30"/>
    <x v="29"/>
    <x v="9"/>
    <x v="33"/>
    <x v="8"/>
    <x v="9"/>
    <n v="361"/>
    <n v="72.2"/>
    <x v="1"/>
    <x v="0"/>
    <n v="2705"/>
    <s v="Drama"/>
    <x v="0"/>
  </r>
  <r>
    <x v="1808"/>
    <x v="131"/>
    <x v="1"/>
    <x v="4"/>
    <x v="3"/>
    <n v="16"/>
    <s v="Madurai"/>
    <s v="2022-06-21"/>
    <x v="28"/>
    <x v="19"/>
    <x v="9"/>
    <x v="45"/>
    <x v="19"/>
    <x v="37"/>
    <n v="289"/>
    <n v="57.8"/>
    <x v="3"/>
    <x v="0"/>
    <n v="1918"/>
    <s v="Music"/>
    <x v="0"/>
  </r>
  <r>
    <x v="1809"/>
    <x v="53"/>
    <x v="1"/>
    <x v="5"/>
    <x v="2"/>
    <n v="7"/>
    <s v="Bangalore"/>
    <s v="2022-11-25"/>
    <x v="0"/>
    <x v="64"/>
    <x v="37"/>
    <x v="23"/>
    <x v="42"/>
    <x v="44"/>
    <n v="319"/>
    <n v="63.8"/>
    <x v="0"/>
    <x v="0"/>
    <n v="3858"/>
    <s v="Dance"/>
    <x v="0"/>
  </r>
  <r>
    <x v="1810"/>
    <x v="46"/>
    <x v="0"/>
    <x v="10"/>
    <x v="2"/>
    <n v="12"/>
    <s v="Pune"/>
    <s v="2025-08-20"/>
    <x v="28"/>
    <x v="12"/>
    <x v="18"/>
    <x v="55"/>
    <x v="46"/>
    <x v="11"/>
    <n v="373"/>
    <n v="74.599999999999994"/>
    <x v="1"/>
    <x v="0"/>
    <n v="2767"/>
    <s v="Coding Club"/>
    <x v="0"/>
  </r>
  <r>
    <x v="1811"/>
    <x v="76"/>
    <x v="0"/>
    <x v="8"/>
    <x v="0"/>
    <n v="9"/>
    <s v="Madurai"/>
    <s v="2022-12-30"/>
    <x v="24"/>
    <x v="38"/>
    <x v="12"/>
    <x v="57"/>
    <x v="13"/>
    <x v="62"/>
    <n v="357"/>
    <n v="71.400000000000006"/>
    <x v="1"/>
    <x v="1"/>
    <n v="1833"/>
    <s v="Music"/>
    <x v="0"/>
  </r>
  <r>
    <x v="1812"/>
    <x v="59"/>
    <x v="1"/>
    <x v="2"/>
    <x v="1"/>
    <n v="10"/>
    <s v="Hyderabad"/>
    <s v="2021-09-24"/>
    <x v="22"/>
    <x v="2"/>
    <x v="10"/>
    <x v="4"/>
    <x v="6"/>
    <x v="7"/>
    <n v="395"/>
    <n v="79"/>
    <x v="1"/>
    <x v="0"/>
    <n v="3062"/>
    <s v="Music"/>
    <x v="0"/>
  </r>
  <r>
    <x v="1813"/>
    <x v="25"/>
    <x v="0"/>
    <x v="8"/>
    <x v="2"/>
    <n v="9"/>
    <s v="Chennai"/>
    <s v="2024-05-12"/>
    <x v="35"/>
    <x v="64"/>
    <x v="49"/>
    <x v="2"/>
    <x v="59"/>
    <x v="11"/>
    <n v="314"/>
    <n v="62.8"/>
    <x v="0"/>
    <x v="0"/>
    <n v="1679"/>
    <s v="Music"/>
    <x v="0"/>
  </r>
  <r>
    <x v="1814"/>
    <x v="134"/>
    <x v="0"/>
    <x v="4"/>
    <x v="1"/>
    <n v="18"/>
    <s v="Madurai"/>
    <s v="2025-05-02"/>
    <x v="39"/>
    <x v="17"/>
    <x v="25"/>
    <x v="38"/>
    <x v="15"/>
    <x v="2"/>
    <n v="399"/>
    <n v="79.8"/>
    <x v="1"/>
    <x v="0"/>
    <n v="2313"/>
    <s v="Drama"/>
    <x v="0"/>
  </r>
  <r>
    <x v="1815"/>
    <x v="0"/>
    <x v="1"/>
    <x v="5"/>
    <x v="1"/>
    <n v="7"/>
    <s v="Chennai"/>
    <s v="2021-03-12"/>
    <x v="40"/>
    <x v="43"/>
    <x v="26"/>
    <x v="1"/>
    <x v="42"/>
    <x v="39"/>
    <n v="281"/>
    <n v="56.2"/>
    <x v="3"/>
    <x v="1"/>
    <n v="1505"/>
    <s v="Drama"/>
    <x v="0"/>
  </r>
  <r>
    <x v="1816"/>
    <x v="51"/>
    <x v="1"/>
    <x v="1"/>
    <x v="0"/>
    <n v="13"/>
    <s v="Chennai"/>
    <s v="2024-12-16"/>
    <x v="17"/>
    <x v="1"/>
    <x v="8"/>
    <x v="35"/>
    <x v="12"/>
    <x v="5"/>
    <n v="361"/>
    <n v="72.2"/>
    <x v="1"/>
    <x v="0"/>
    <n v="1788"/>
    <s v="Sports"/>
    <x v="0"/>
  </r>
  <r>
    <x v="1817"/>
    <x v="89"/>
    <x v="0"/>
    <x v="6"/>
    <x v="1"/>
    <n v="12"/>
    <s v="Chennai"/>
    <s v="2025-04-16"/>
    <x v="33"/>
    <x v="58"/>
    <x v="54"/>
    <x v="10"/>
    <x v="29"/>
    <x v="7"/>
    <n v="323"/>
    <n v="64.599999999999994"/>
    <x v="0"/>
    <x v="1"/>
    <n v="2480"/>
    <s v="Music"/>
    <x v="0"/>
  </r>
  <r>
    <x v="1818"/>
    <x v="142"/>
    <x v="1"/>
    <x v="11"/>
    <x v="0"/>
    <n v="15"/>
    <s v="Chennai"/>
    <s v="2022-07-16"/>
    <x v="32"/>
    <x v="11"/>
    <x v="52"/>
    <x v="52"/>
    <x v="7"/>
    <x v="43"/>
    <n v="387"/>
    <n v="77.400000000000006"/>
    <x v="1"/>
    <x v="1"/>
    <n v="4757"/>
    <s v="Sports"/>
    <x v="0"/>
  </r>
  <r>
    <x v="1819"/>
    <x v="23"/>
    <x v="1"/>
    <x v="9"/>
    <x v="1"/>
    <n v="13"/>
    <s v="Bangalore"/>
    <s v="2022-09-17"/>
    <x v="6"/>
    <x v="42"/>
    <x v="15"/>
    <x v="24"/>
    <x v="4"/>
    <x v="54"/>
    <n v="292"/>
    <n v="58.4"/>
    <x v="3"/>
    <x v="0"/>
    <n v="4127"/>
    <s v="Drama"/>
    <x v="0"/>
  </r>
  <r>
    <x v="1820"/>
    <x v="22"/>
    <x v="1"/>
    <x v="11"/>
    <x v="0"/>
    <n v="17"/>
    <s v="Mumbai"/>
    <s v="2021-07-30"/>
    <x v="12"/>
    <x v="65"/>
    <x v="8"/>
    <x v="24"/>
    <x v="59"/>
    <x v="26"/>
    <n v="341"/>
    <n v="68.2"/>
    <x v="0"/>
    <x v="1"/>
    <n v="3026"/>
    <s v="Dance"/>
    <x v="0"/>
  </r>
  <r>
    <x v="1821"/>
    <x v="31"/>
    <x v="0"/>
    <x v="11"/>
    <x v="3"/>
    <n v="17"/>
    <s v="Chennai"/>
    <s v="2023-11-05"/>
    <x v="37"/>
    <x v="60"/>
    <x v="2"/>
    <x v="42"/>
    <x v="5"/>
    <x v="45"/>
    <n v="269"/>
    <n v="53.8"/>
    <x v="3"/>
    <x v="0"/>
    <n v="2728"/>
    <s v="Sports"/>
    <x v="1"/>
  </r>
  <r>
    <x v="1822"/>
    <x v="40"/>
    <x v="1"/>
    <x v="0"/>
    <x v="2"/>
    <n v="15"/>
    <s v="Pune"/>
    <s v="2022-08-28"/>
    <x v="13"/>
    <x v="18"/>
    <x v="7"/>
    <x v="59"/>
    <x v="25"/>
    <x v="58"/>
    <n v="227"/>
    <n v="45.4"/>
    <x v="4"/>
    <x v="1"/>
    <n v="2592"/>
    <s v="Coding Club"/>
    <x v="1"/>
  </r>
  <r>
    <x v="1823"/>
    <x v="92"/>
    <x v="1"/>
    <x v="6"/>
    <x v="3"/>
    <n v="11"/>
    <s v="Chennai"/>
    <s v="2022-03-10"/>
    <x v="6"/>
    <x v="7"/>
    <x v="29"/>
    <x v="44"/>
    <x v="61"/>
    <x v="47"/>
    <n v="435"/>
    <n v="87"/>
    <x v="2"/>
    <x v="1"/>
    <n v="3366"/>
    <s v="Coding Club"/>
    <x v="0"/>
  </r>
  <r>
    <x v="1824"/>
    <x v="142"/>
    <x v="1"/>
    <x v="2"/>
    <x v="3"/>
    <n v="9"/>
    <s v="Pune"/>
    <s v="2025-02-28"/>
    <x v="7"/>
    <x v="29"/>
    <x v="10"/>
    <x v="25"/>
    <x v="20"/>
    <x v="63"/>
    <n v="305"/>
    <n v="61"/>
    <x v="0"/>
    <x v="0"/>
    <n v="4046"/>
    <s v="Music"/>
    <x v="0"/>
  </r>
  <r>
    <x v="1825"/>
    <x v="98"/>
    <x v="0"/>
    <x v="10"/>
    <x v="1"/>
    <n v="11"/>
    <s v="Coimbatore"/>
    <s v="2024-05-07"/>
    <x v="35"/>
    <x v="24"/>
    <x v="38"/>
    <x v="3"/>
    <x v="11"/>
    <x v="44"/>
    <n v="354"/>
    <n v="70.8"/>
    <x v="1"/>
    <x v="0"/>
    <n v="2265"/>
    <s v="Coding Club"/>
    <x v="0"/>
  </r>
  <r>
    <x v="1826"/>
    <x v="57"/>
    <x v="1"/>
    <x v="8"/>
    <x v="2"/>
    <n v="7"/>
    <s v="Chennai"/>
    <s v="2021-10-31"/>
    <x v="39"/>
    <x v="49"/>
    <x v="5"/>
    <x v="57"/>
    <x v="49"/>
    <x v="62"/>
    <n v="328"/>
    <n v="65.599999999999994"/>
    <x v="0"/>
    <x v="1"/>
    <n v="4328"/>
    <s v="Dance"/>
    <x v="0"/>
  </r>
  <r>
    <x v="1827"/>
    <x v="28"/>
    <x v="0"/>
    <x v="3"/>
    <x v="1"/>
    <n v="7"/>
    <s v="Coimbatore"/>
    <s v="2023-11-13"/>
    <x v="25"/>
    <x v="42"/>
    <x v="65"/>
    <x v="6"/>
    <x v="56"/>
    <x v="62"/>
    <n v="372"/>
    <n v="74.400000000000006"/>
    <x v="1"/>
    <x v="0"/>
    <n v="4926"/>
    <s v="Music"/>
    <x v="0"/>
  </r>
  <r>
    <x v="1828"/>
    <x v="134"/>
    <x v="0"/>
    <x v="1"/>
    <x v="3"/>
    <n v="13"/>
    <s v="Pune"/>
    <s v="2022-03-05"/>
    <x v="31"/>
    <x v="52"/>
    <x v="31"/>
    <x v="29"/>
    <x v="0"/>
    <x v="54"/>
    <n v="318"/>
    <n v="63.6"/>
    <x v="0"/>
    <x v="1"/>
    <n v="2397"/>
    <s v="Drama"/>
    <x v="0"/>
  </r>
  <r>
    <x v="1829"/>
    <x v="121"/>
    <x v="0"/>
    <x v="7"/>
    <x v="0"/>
    <n v="9"/>
    <s v="Hyderabad"/>
    <s v="2024-05-28"/>
    <x v="18"/>
    <x v="64"/>
    <x v="47"/>
    <x v="23"/>
    <x v="1"/>
    <x v="35"/>
    <n v="332"/>
    <n v="66.400000000000006"/>
    <x v="0"/>
    <x v="0"/>
    <n v="4045"/>
    <s v="Music"/>
    <x v="0"/>
  </r>
  <r>
    <x v="1830"/>
    <x v="91"/>
    <x v="0"/>
    <x v="6"/>
    <x v="1"/>
    <n v="11"/>
    <s v="Madurai"/>
    <s v="2022-02-21"/>
    <x v="24"/>
    <x v="39"/>
    <x v="46"/>
    <x v="61"/>
    <x v="22"/>
    <x v="11"/>
    <n v="319"/>
    <n v="63.8"/>
    <x v="0"/>
    <x v="1"/>
    <n v="2921"/>
    <s v="Music"/>
    <x v="0"/>
  </r>
  <r>
    <x v="1831"/>
    <x v="1"/>
    <x v="0"/>
    <x v="11"/>
    <x v="1"/>
    <n v="17"/>
    <s v="Chennai"/>
    <s v="2023-12-19"/>
    <x v="2"/>
    <x v="19"/>
    <x v="64"/>
    <x v="27"/>
    <x v="44"/>
    <x v="10"/>
    <n v="363"/>
    <n v="72.599999999999994"/>
    <x v="1"/>
    <x v="1"/>
    <n v="1727"/>
    <s v="Dance"/>
    <x v="0"/>
  </r>
  <r>
    <x v="1832"/>
    <x v="146"/>
    <x v="0"/>
    <x v="7"/>
    <x v="1"/>
    <n v="10"/>
    <s v="Madurai"/>
    <s v="2022-04-26"/>
    <x v="22"/>
    <x v="45"/>
    <x v="8"/>
    <x v="53"/>
    <x v="28"/>
    <x v="52"/>
    <n v="373"/>
    <n v="74.599999999999994"/>
    <x v="1"/>
    <x v="0"/>
    <n v="4955"/>
    <s v="Sports"/>
    <x v="0"/>
  </r>
  <r>
    <x v="1833"/>
    <x v="51"/>
    <x v="1"/>
    <x v="1"/>
    <x v="2"/>
    <n v="12"/>
    <s v="Hyderabad"/>
    <s v="2021-04-02"/>
    <x v="36"/>
    <x v="10"/>
    <x v="26"/>
    <x v="54"/>
    <x v="56"/>
    <x v="36"/>
    <n v="371"/>
    <n v="74.2"/>
    <x v="1"/>
    <x v="1"/>
    <n v="4900"/>
    <s v="Drama"/>
    <x v="0"/>
  </r>
  <r>
    <x v="1834"/>
    <x v="86"/>
    <x v="0"/>
    <x v="3"/>
    <x v="2"/>
    <n v="7"/>
    <s v="Bangalore"/>
    <s v="2021-06-21"/>
    <x v="7"/>
    <x v="14"/>
    <x v="32"/>
    <x v="29"/>
    <x v="30"/>
    <x v="59"/>
    <n v="382"/>
    <n v="76.400000000000006"/>
    <x v="1"/>
    <x v="1"/>
    <n v="3370"/>
    <s v="Drama"/>
    <x v="0"/>
  </r>
  <r>
    <x v="1835"/>
    <x v="37"/>
    <x v="0"/>
    <x v="2"/>
    <x v="2"/>
    <n v="10"/>
    <s v="Pune"/>
    <s v="2022-10-31"/>
    <x v="30"/>
    <x v="15"/>
    <x v="59"/>
    <x v="30"/>
    <x v="40"/>
    <x v="5"/>
    <n v="338"/>
    <n v="67.599999999999994"/>
    <x v="0"/>
    <x v="1"/>
    <n v="2974"/>
    <s v="Art"/>
    <x v="0"/>
  </r>
  <r>
    <x v="1836"/>
    <x v="24"/>
    <x v="1"/>
    <x v="0"/>
    <x v="0"/>
    <n v="14"/>
    <s v="Mumbai"/>
    <s v="2024-08-17"/>
    <x v="6"/>
    <x v="32"/>
    <x v="49"/>
    <x v="14"/>
    <x v="64"/>
    <x v="46"/>
    <n v="365"/>
    <n v="73"/>
    <x v="1"/>
    <x v="0"/>
    <n v="3675"/>
    <s v="Dance"/>
    <x v="0"/>
  </r>
  <r>
    <x v="1837"/>
    <x v="144"/>
    <x v="0"/>
    <x v="11"/>
    <x v="0"/>
    <n v="17"/>
    <s v="Mumbai"/>
    <s v="2025-04-18"/>
    <x v="30"/>
    <x v="2"/>
    <x v="45"/>
    <x v="30"/>
    <x v="61"/>
    <x v="5"/>
    <n v="400"/>
    <n v="80"/>
    <x v="2"/>
    <x v="0"/>
    <n v="2951"/>
    <s v="Art"/>
    <x v="0"/>
  </r>
  <r>
    <x v="1838"/>
    <x v="50"/>
    <x v="0"/>
    <x v="9"/>
    <x v="3"/>
    <n v="15"/>
    <s v="Mumbai"/>
    <s v="2021-12-13"/>
    <x v="27"/>
    <x v="48"/>
    <x v="53"/>
    <x v="61"/>
    <x v="11"/>
    <x v="14"/>
    <n v="284"/>
    <n v="56.8"/>
    <x v="3"/>
    <x v="0"/>
    <n v="3103"/>
    <s v="Art"/>
    <x v="0"/>
  </r>
  <r>
    <x v="1839"/>
    <x v="51"/>
    <x v="0"/>
    <x v="10"/>
    <x v="1"/>
    <n v="13"/>
    <s v="Pune"/>
    <s v="2025-08-31"/>
    <x v="37"/>
    <x v="17"/>
    <x v="26"/>
    <x v="13"/>
    <x v="47"/>
    <x v="40"/>
    <n v="388"/>
    <n v="77.599999999999994"/>
    <x v="1"/>
    <x v="1"/>
    <n v="2475"/>
    <s v="Drama"/>
    <x v="0"/>
  </r>
  <r>
    <x v="1840"/>
    <x v="135"/>
    <x v="0"/>
    <x v="1"/>
    <x v="2"/>
    <n v="12"/>
    <s v="Pune"/>
    <s v="2025-02-02"/>
    <x v="8"/>
    <x v="62"/>
    <x v="54"/>
    <x v="64"/>
    <x v="65"/>
    <x v="18"/>
    <n v="359"/>
    <n v="71.8"/>
    <x v="1"/>
    <x v="0"/>
    <n v="1790"/>
    <s v="Art"/>
    <x v="0"/>
  </r>
  <r>
    <x v="1841"/>
    <x v="116"/>
    <x v="1"/>
    <x v="6"/>
    <x v="2"/>
    <n v="10"/>
    <s v="Hyderabad"/>
    <s v="2023-04-14"/>
    <x v="18"/>
    <x v="52"/>
    <x v="29"/>
    <x v="29"/>
    <x v="23"/>
    <x v="37"/>
    <n v="382"/>
    <n v="76.400000000000006"/>
    <x v="1"/>
    <x v="1"/>
    <n v="4493"/>
    <s v="Art"/>
    <x v="0"/>
  </r>
  <r>
    <x v="1842"/>
    <x v="43"/>
    <x v="0"/>
    <x v="4"/>
    <x v="0"/>
    <n v="18"/>
    <s v="Mumbai"/>
    <s v="2022-05-28"/>
    <x v="23"/>
    <x v="15"/>
    <x v="65"/>
    <x v="47"/>
    <x v="31"/>
    <x v="56"/>
    <n v="321"/>
    <n v="64.2"/>
    <x v="0"/>
    <x v="0"/>
    <n v="2170"/>
    <s v="Sports"/>
    <x v="0"/>
  </r>
  <r>
    <x v="1843"/>
    <x v="69"/>
    <x v="1"/>
    <x v="3"/>
    <x v="3"/>
    <n v="6"/>
    <s v="Hyderabad"/>
    <s v="2023-03-11"/>
    <x v="30"/>
    <x v="31"/>
    <x v="61"/>
    <x v="32"/>
    <x v="58"/>
    <x v="4"/>
    <n v="335"/>
    <n v="67"/>
    <x v="0"/>
    <x v="0"/>
    <n v="2409"/>
    <s v="Dance"/>
    <x v="0"/>
  </r>
  <r>
    <x v="1844"/>
    <x v="139"/>
    <x v="1"/>
    <x v="7"/>
    <x v="1"/>
    <n v="10"/>
    <s v="Mumbai"/>
    <s v="2022-01-30"/>
    <x v="12"/>
    <x v="5"/>
    <x v="2"/>
    <x v="54"/>
    <x v="39"/>
    <x v="45"/>
    <n v="330"/>
    <n v="66"/>
    <x v="0"/>
    <x v="0"/>
    <n v="3169"/>
    <s v="Music"/>
    <x v="0"/>
  </r>
  <r>
    <x v="1845"/>
    <x v="96"/>
    <x v="1"/>
    <x v="0"/>
    <x v="1"/>
    <n v="15"/>
    <s v="Mumbai"/>
    <s v="2022-07-21"/>
    <x v="34"/>
    <x v="55"/>
    <x v="44"/>
    <x v="9"/>
    <x v="19"/>
    <x v="4"/>
    <n v="363"/>
    <n v="72.599999999999994"/>
    <x v="1"/>
    <x v="1"/>
    <n v="2850"/>
    <s v="Art"/>
    <x v="0"/>
  </r>
  <r>
    <x v="1846"/>
    <x v="23"/>
    <x v="0"/>
    <x v="8"/>
    <x v="2"/>
    <n v="8"/>
    <s v="Hyderabad"/>
    <s v="2021-07-06"/>
    <x v="40"/>
    <x v="14"/>
    <x v="51"/>
    <x v="64"/>
    <x v="47"/>
    <x v="20"/>
    <n v="422"/>
    <n v="84.4"/>
    <x v="2"/>
    <x v="0"/>
    <n v="2693"/>
    <s v="Sports"/>
    <x v="0"/>
  </r>
  <r>
    <x v="1847"/>
    <x v="44"/>
    <x v="0"/>
    <x v="1"/>
    <x v="3"/>
    <n v="14"/>
    <s v="Mumbai"/>
    <s v="2023-07-13"/>
    <x v="38"/>
    <x v="15"/>
    <x v="0"/>
    <x v="44"/>
    <x v="3"/>
    <x v="43"/>
    <n v="365"/>
    <n v="73"/>
    <x v="1"/>
    <x v="0"/>
    <n v="3976"/>
    <s v="Art"/>
    <x v="0"/>
  </r>
  <r>
    <x v="1848"/>
    <x v="144"/>
    <x v="1"/>
    <x v="7"/>
    <x v="0"/>
    <n v="10"/>
    <s v="Coimbatore"/>
    <s v="2024-02-18"/>
    <x v="39"/>
    <x v="32"/>
    <x v="22"/>
    <x v="4"/>
    <x v="6"/>
    <x v="53"/>
    <n v="436"/>
    <n v="87.2"/>
    <x v="2"/>
    <x v="0"/>
    <n v="2373"/>
    <s v="Coding Club"/>
    <x v="0"/>
  </r>
  <r>
    <x v="1849"/>
    <x v="145"/>
    <x v="0"/>
    <x v="5"/>
    <x v="3"/>
    <n v="6"/>
    <s v="Bangalore"/>
    <s v="2021-08-24"/>
    <x v="15"/>
    <x v="40"/>
    <x v="16"/>
    <x v="54"/>
    <x v="18"/>
    <x v="65"/>
    <n v="355"/>
    <n v="71"/>
    <x v="1"/>
    <x v="0"/>
    <n v="3669"/>
    <s v="Art"/>
    <x v="0"/>
  </r>
  <r>
    <x v="1850"/>
    <x v="66"/>
    <x v="0"/>
    <x v="10"/>
    <x v="2"/>
    <n v="11"/>
    <s v="Mumbai"/>
    <s v="2022-02-09"/>
    <x v="39"/>
    <x v="46"/>
    <x v="36"/>
    <x v="40"/>
    <x v="19"/>
    <x v="56"/>
    <n v="331"/>
    <n v="66.2"/>
    <x v="0"/>
    <x v="1"/>
    <n v="1700"/>
    <s v="Music"/>
    <x v="0"/>
  </r>
  <r>
    <x v="1851"/>
    <x v="20"/>
    <x v="1"/>
    <x v="5"/>
    <x v="2"/>
    <n v="6"/>
    <s v="Pune"/>
    <s v="2025-03-29"/>
    <x v="2"/>
    <x v="57"/>
    <x v="2"/>
    <x v="50"/>
    <x v="50"/>
    <x v="19"/>
    <n v="308"/>
    <n v="61.6"/>
    <x v="0"/>
    <x v="1"/>
    <n v="2319"/>
    <s v="Drama"/>
    <x v="0"/>
  </r>
  <r>
    <x v="1852"/>
    <x v="5"/>
    <x v="1"/>
    <x v="2"/>
    <x v="3"/>
    <n v="9"/>
    <s v="Mumbai"/>
    <s v="2024-04-04"/>
    <x v="3"/>
    <x v="15"/>
    <x v="6"/>
    <x v="50"/>
    <x v="59"/>
    <x v="31"/>
    <n v="372"/>
    <n v="74.400000000000006"/>
    <x v="1"/>
    <x v="1"/>
    <n v="2317"/>
    <s v="Art"/>
    <x v="0"/>
  </r>
  <r>
    <x v="1853"/>
    <x v="36"/>
    <x v="0"/>
    <x v="7"/>
    <x v="3"/>
    <n v="11"/>
    <s v="Mumbai"/>
    <s v="2021-03-10"/>
    <x v="13"/>
    <x v="38"/>
    <x v="38"/>
    <x v="27"/>
    <x v="28"/>
    <x v="63"/>
    <n v="349"/>
    <n v="69.8"/>
    <x v="0"/>
    <x v="0"/>
    <n v="2843"/>
    <s v="Sports"/>
    <x v="0"/>
  </r>
  <r>
    <x v="1854"/>
    <x v="75"/>
    <x v="0"/>
    <x v="7"/>
    <x v="2"/>
    <n v="11"/>
    <s v="Mumbai"/>
    <s v="2024-08-25"/>
    <x v="23"/>
    <x v="8"/>
    <x v="5"/>
    <x v="57"/>
    <x v="19"/>
    <x v="16"/>
    <n v="400"/>
    <n v="80"/>
    <x v="2"/>
    <x v="0"/>
    <n v="3221"/>
    <s v="Coding Club"/>
    <x v="0"/>
  </r>
  <r>
    <x v="1855"/>
    <x v="90"/>
    <x v="0"/>
    <x v="1"/>
    <x v="0"/>
    <n v="14"/>
    <s v="Hyderabad"/>
    <s v="2021-10-08"/>
    <x v="18"/>
    <x v="11"/>
    <x v="33"/>
    <x v="29"/>
    <x v="2"/>
    <x v="46"/>
    <n v="339"/>
    <n v="67.8"/>
    <x v="0"/>
    <x v="0"/>
    <n v="4822"/>
    <s v="Coding Club"/>
    <x v="0"/>
  </r>
  <r>
    <x v="1856"/>
    <x v="118"/>
    <x v="0"/>
    <x v="3"/>
    <x v="2"/>
    <n v="7"/>
    <s v="Hyderabad"/>
    <s v="2025-08-21"/>
    <x v="40"/>
    <x v="58"/>
    <x v="0"/>
    <x v="55"/>
    <x v="58"/>
    <x v="17"/>
    <n v="303"/>
    <n v="60.6"/>
    <x v="0"/>
    <x v="0"/>
    <n v="4589"/>
    <s v="Coding Club"/>
    <x v="0"/>
  </r>
  <r>
    <x v="1857"/>
    <x v="147"/>
    <x v="1"/>
    <x v="3"/>
    <x v="3"/>
    <n v="6"/>
    <s v="Mumbai"/>
    <s v="2023-08-31"/>
    <x v="29"/>
    <x v="5"/>
    <x v="62"/>
    <x v="52"/>
    <x v="43"/>
    <x v="25"/>
    <n v="362"/>
    <n v="72.400000000000006"/>
    <x v="1"/>
    <x v="0"/>
    <n v="4300"/>
    <s v="Drama"/>
    <x v="0"/>
  </r>
  <r>
    <x v="1858"/>
    <x v="71"/>
    <x v="1"/>
    <x v="10"/>
    <x v="2"/>
    <n v="12"/>
    <s v="Bangalore"/>
    <s v="2021-03-28"/>
    <x v="5"/>
    <x v="42"/>
    <x v="45"/>
    <x v="55"/>
    <x v="2"/>
    <x v="22"/>
    <n v="369"/>
    <n v="73.8"/>
    <x v="1"/>
    <x v="0"/>
    <n v="2535"/>
    <s v="Art"/>
    <x v="0"/>
  </r>
  <r>
    <x v="1859"/>
    <x v="79"/>
    <x v="0"/>
    <x v="10"/>
    <x v="2"/>
    <n v="11"/>
    <s v="Pune"/>
    <s v="2024-07-04"/>
    <x v="30"/>
    <x v="7"/>
    <x v="16"/>
    <x v="16"/>
    <x v="16"/>
    <x v="19"/>
    <n v="296"/>
    <n v="59.2"/>
    <x v="3"/>
    <x v="1"/>
    <n v="3434"/>
    <s v="Drama"/>
    <x v="0"/>
  </r>
  <r>
    <x v="1860"/>
    <x v="125"/>
    <x v="1"/>
    <x v="3"/>
    <x v="1"/>
    <n v="6"/>
    <s v="Mumbai"/>
    <s v="2022-05-21"/>
    <x v="27"/>
    <x v="33"/>
    <x v="54"/>
    <x v="20"/>
    <x v="36"/>
    <x v="6"/>
    <n v="299"/>
    <n v="59.8"/>
    <x v="3"/>
    <x v="0"/>
    <n v="4473"/>
    <s v="Art"/>
    <x v="0"/>
  </r>
  <r>
    <x v="1861"/>
    <x v="66"/>
    <x v="1"/>
    <x v="9"/>
    <x v="1"/>
    <n v="14"/>
    <s v="Chennai"/>
    <s v="2023-06-28"/>
    <x v="12"/>
    <x v="11"/>
    <x v="23"/>
    <x v="54"/>
    <x v="11"/>
    <x v="64"/>
    <n v="368"/>
    <n v="73.599999999999994"/>
    <x v="1"/>
    <x v="0"/>
    <n v="4167"/>
    <s v="Sports"/>
    <x v="0"/>
  </r>
  <r>
    <x v="1862"/>
    <x v="4"/>
    <x v="0"/>
    <x v="11"/>
    <x v="1"/>
    <n v="16"/>
    <s v="Hyderabad"/>
    <s v="2023-07-18"/>
    <x v="13"/>
    <x v="52"/>
    <x v="14"/>
    <x v="12"/>
    <x v="27"/>
    <x v="12"/>
    <n v="285"/>
    <n v="57"/>
    <x v="3"/>
    <x v="1"/>
    <n v="1978"/>
    <s v="Coding Club"/>
    <x v="0"/>
  </r>
  <r>
    <x v="1863"/>
    <x v="29"/>
    <x v="0"/>
    <x v="0"/>
    <x v="2"/>
    <n v="14"/>
    <s v="Coimbatore"/>
    <s v="2021-05-25"/>
    <x v="26"/>
    <x v="30"/>
    <x v="62"/>
    <x v="45"/>
    <x v="42"/>
    <x v="11"/>
    <n v="253"/>
    <n v="50.6"/>
    <x v="3"/>
    <x v="0"/>
    <n v="1761"/>
    <s v="Drama"/>
    <x v="1"/>
  </r>
  <r>
    <x v="1864"/>
    <x v="10"/>
    <x v="0"/>
    <x v="10"/>
    <x v="0"/>
    <n v="12"/>
    <s v="Chennai"/>
    <s v="2022-08-31"/>
    <x v="35"/>
    <x v="29"/>
    <x v="28"/>
    <x v="7"/>
    <x v="54"/>
    <x v="12"/>
    <n v="362"/>
    <n v="72.400000000000006"/>
    <x v="1"/>
    <x v="0"/>
    <n v="3057"/>
    <s v="Coding Club"/>
    <x v="0"/>
  </r>
  <r>
    <x v="1865"/>
    <x v="2"/>
    <x v="1"/>
    <x v="1"/>
    <x v="3"/>
    <n v="13"/>
    <s v="Pune"/>
    <s v="2021-12-20"/>
    <x v="19"/>
    <x v="48"/>
    <x v="5"/>
    <x v="4"/>
    <x v="15"/>
    <x v="51"/>
    <n v="367"/>
    <n v="73.400000000000006"/>
    <x v="1"/>
    <x v="1"/>
    <n v="3885"/>
    <s v="Art"/>
    <x v="0"/>
  </r>
  <r>
    <x v="1866"/>
    <x v="112"/>
    <x v="1"/>
    <x v="8"/>
    <x v="1"/>
    <n v="9"/>
    <s v="Pune"/>
    <s v="2024-05-18"/>
    <x v="1"/>
    <x v="23"/>
    <x v="46"/>
    <x v="56"/>
    <x v="24"/>
    <x v="42"/>
    <n v="379"/>
    <n v="75.8"/>
    <x v="1"/>
    <x v="0"/>
    <n v="2710"/>
    <s v="Sports"/>
    <x v="0"/>
  </r>
  <r>
    <x v="1867"/>
    <x v="112"/>
    <x v="0"/>
    <x v="7"/>
    <x v="2"/>
    <n v="9"/>
    <s v="Hyderabad"/>
    <s v="2023-08-25"/>
    <x v="33"/>
    <x v="3"/>
    <x v="15"/>
    <x v="53"/>
    <x v="49"/>
    <x v="3"/>
    <n v="331"/>
    <n v="66.2"/>
    <x v="0"/>
    <x v="0"/>
    <n v="3506"/>
    <s v="Music"/>
    <x v="0"/>
  </r>
  <r>
    <x v="1868"/>
    <x v="31"/>
    <x v="0"/>
    <x v="5"/>
    <x v="3"/>
    <n v="8"/>
    <s v="Coimbatore"/>
    <s v="2021-12-14"/>
    <x v="13"/>
    <x v="18"/>
    <x v="53"/>
    <x v="34"/>
    <x v="18"/>
    <x v="56"/>
    <n v="261"/>
    <n v="52.2"/>
    <x v="3"/>
    <x v="1"/>
    <n v="1783"/>
    <s v="Coding Club"/>
    <x v="1"/>
  </r>
  <r>
    <x v="1869"/>
    <x v="29"/>
    <x v="1"/>
    <x v="11"/>
    <x v="1"/>
    <n v="15"/>
    <s v="Hyderabad"/>
    <s v="2022-04-01"/>
    <x v="0"/>
    <x v="39"/>
    <x v="13"/>
    <x v="45"/>
    <x v="30"/>
    <x v="21"/>
    <n v="286"/>
    <n v="57.2"/>
    <x v="3"/>
    <x v="0"/>
    <n v="2455"/>
    <s v="Sports"/>
    <x v="0"/>
  </r>
  <r>
    <x v="1870"/>
    <x v="144"/>
    <x v="1"/>
    <x v="5"/>
    <x v="3"/>
    <n v="7"/>
    <s v="Pune"/>
    <s v="2021-11-29"/>
    <x v="26"/>
    <x v="46"/>
    <x v="46"/>
    <x v="10"/>
    <x v="50"/>
    <x v="40"/>
    <n v="387"/>
    <n v="77.400000000000006"/>
    <x v="1"/>
    <x v="0"/>
    <n v="4754"/>
    <s v="Drama"/>
    <x v="0"/>
  </r>
  <r>
    <x v="1871"/>
    <x v="103"/>
    <x v="1"/>
    <x v="3"/>
    <x v="2"/>
    <n v="7"/>
    <s v="Hyderabad"/>
    <s v="2025-06-28"/>
    <x v="34"/>
    <x v="2"/>
    <x v="51"/>
    <x v="34"/>
    <x v="35"/>
    <x v="33"/>
    <n v="297"/>
    <n v="59.4"/>
    <x v="3"/>
    <x v="1"/>
    <n v="1988"/>
    <s v="Music"/>
    <x v="0"/>
  </r>
  <r>
    <x v="1872"/>
    <x v="25"/>
    <x v="0"/>
    <x v="8"/>
    <x v="3"/>
    <n v="7"/>
    <s v="Coimbatore"/>
    <s v="2021-06-01"/>
    <x v="33"/>
    <x v="34"/>
    <x v="59"/>
    <x v="49"/>
    <x v="57"/>
    <x v="64"/>
    <n v="393"/>
    <n v="78.599999999999994"/>
    <x v="1"/>
    <x v="0"/>
    <n v="3086"/>
    <s v="Sports"/>
    <x v="0"/>
  </r>
  <r>
    <x v="1873"/>
    <x v="41"/>
    <x v="0"/>
    <x v="3"/>
    <x v="3"/>
    <n v="7"/>
    <s v="Chennai"/>
    <s v="2023-09-19"/>
    <x v="31"/>
    <x v="44"/>
    <x v="41"/>
    <x v="3"/>
    <x v="56"/>
    <x v="29"/>
    <n v="391"/>
    <n v="78.2"/>
    <x v="1"/>
    <x v="0"/>
    <n v="4712"/>
    <s v="Music"/>
    <x v="0"/>
  </r>
  <r>
    <x v="1874"/>
    <x v="148"/>
    <x v="1"/>
    <x v="4"/>
    <x v="3"/>
    <n v="16"/>
    <s v="Pune"/>
    <s v="2022-07-06"/>
    <x v="31"/>
    <x v="11"/>
    <x v="47"/>
    <x v="58"/>
    <x v="32"/>
    <x v="55"/>
    <n v="301"/>
    <n v="60.2"/>
    <x v="0"/>
    <x v="0"/>
    <n v="3496"/>
    <s v="Coding Club"/>
    <x v="0"/>
  </r>
  <r>
    <x v="1875"/>
    <x v="11"/>
    <x v="1"/>
    <x v="2"/>
    <x v="1"/>
    <n v="10"/>
    <s v="Coimbatore"/>
    <s v="2024-06-26"/>
    <x v="19"/>
    <x v="41"/>
    <x v="38"/>
    <x v="56"/>
    <x v="17"/>
    <x v="14"/>
    <n v="254"/>
    <n v="50.8"/>
    <x v="3"/>
    <x v="0"/>
    <n v="3353"/>
    <s v="Coding Club"/>
    <x v="1"/>
  </r>
  <r>
    <x v="1876"/>
    <x v="96"/>
    <x v="1"/>
    <x v="0"/>
    <x v="0"/>
    <n v="15"/>
    <s v="Chennai"/>
    <s v="2023-06-27"/>
    <x v="10"/>
    <x v="34"/>
    <x v="46"/>
    <x v="51"/>
    <x v="60"/>
    <x v="13"/>
    <n v="337"/>
    <n v="67.400000000000006"/>
    <x v="0"/>
    <x v="1"/>
    <n v="3238"/>
    <s v="Art"/>
    <x v="0"/>
  </r>
  <r>
    <x v="1877"/>
    <x v="0"/>
    <x v="0"/>
    <x v="0"/>
    <x v="3"/>
    <n v="15"/>
    <s v="Bangalore"/>
    <s v="2022-08-07"/>
    <x v="16"/>
    <x v="59"/>
    <x v="15"/>
    <x v="14"/>
    <x v="20"/>
    <x v="18"/>
    <n v="351"/>
    <n v="70.2"/>
    <x v="1"/>
    <x v="1"/>
    <n v="4226"/>
    <s v="Dance"/>
    <x v="0"/>
  </r>
  <r>
    <x v="1878"/>
    <x v="131"/>
    <x v="1"/>
    <x v="11"/>
    <x v="0"/>
    <n v="17"/>
    <s v="Madurai"/>
    <s v="2021-06-10"/>
    <x v="15"/>
    <x v="4"/>
    <x v="13"/>
    <x v="30"/>
    <x v="14"/>
    <x v="60"/>
    <n v="386"/>
    <n v="77.2"/>
    <x v="1"/>
    <x v="0"/>
    <n v="1809"/>
    <s v="Sports"/>
    <x v="0"/>
  </r>
  <r>
    <x v="1879"/>
    <x v="26"/>
    <x v="0"/>
    <x v="2"/>
    <x v="2"/>
    <n v="10"/>
    <s v="Mumbai"/>
    <s v="2025-03-29"/>
    <x v="28"/>
    <x v="57"/>
    <x v="54"/>
    <x v="39"/>
    <x v="48"/>
    <x v="29"/>
    <n v="276"/>
    <n v="55.2"/>
    <x v="3"/>
    <x v="0"/>
    <n v="1982"/>
    <s v="Music"/>
    <x v="0"/>
  </r>
  <r>
    <x v="1880"/>
    <x v="114"/>
    <x v="1"/>
    <x v="1"/>
    <x v="1"/>
    <n v="14"/>
    <s v="Mumbai"/>
    <s v="2021-02-16"/>
    <x v="34"/>
    <x v="4"/>
    <x v="27"/>
    <x v="36"/>
    <x v="19"/>
    <x v="21"/>
    <n v="320"/>
    <n v="64"/>
    <x v="0"/>
    <x v="0"/>
    <n v="3310"/>
    <s v="Drama"/>
    <x v="0"/>
  </r>
  <r>
    <x v="1881"/>
    <x v="62"/>
    <x v="0"/>
    <x v="8"/>
    <x v="2"/>
    <n v="7"/>
    <s v="Madurai"/>
    <s v="2023-02-24"/>
    <x v="21"/>
    <x v="0"/>
    <x v="34"/>
    <x v="12"/>
    <x v="38"/>
    <x v="18"/>
    <n v="278"/>
    <n v="55.6"/>
    <x v="3"/>
    <x v="0"/>
    <n v="3471"/>
    <s v="Dance"/>
    <x v="0"/>
  </r>
  <r>
    <x v="1882"/>
    <x v="98"/>
    <x v="1"/>
    <x v="6"/>
    <x v="3"/>
    <n v="10"/>
    <s v="Coimbatore"/>
    <s v="2025-12-06"/>
    <x v="38"/>
    <x v="53"/>
    <x v="37"/>
    <x v="42"/>
    <x v="36"/>
    <x v="31"/>
    <n v="313"/>
    <n v="62.6"/>
    <x v="0"/>
    <x v="0"/>
    <n v="2842"/>
    <s v="Music"/>
    <x v="0"/>
  </r>
  <r>
    <x v="1883"/>
    <x v="78"/>
    <x v="1"/>
    <x v="1"/>
    <x v="0"/>
    <n v="14"/>
    <s v="Mumbai"/>
    <s v="2021-02-25"/>
    <x v="7"/>
    <x v="16"/>
    <x v="25"/>
    <x v="1"/>
    <x v="51"/>
    <x v="54"/>
    <n v="246"/>
    <n v="49.2"/>
    <x v="4"/>
    <x v="0"/>
    <n v="2069"/>
    <s v="Dance"/>
    <x v="1"/>
  </r>
  <r>
    <x v="1884"/>
    <x v="105"/>
    <x v="0"/>
    <x v="0"/>
    <x v="3"/>
    <n v="16"/>
    <s v="Madurai"/>
    <s v="2024-07-01"/>
    <x v="37"/>
    <x v="0"/>
    <x v="56"/>
    <x v="48"/>
    <x v="63"/>
    <x v="4"/>
    <n v="385"/>
    <n v="77"/>
    <x v="1"/>
    <x v="0"/>
    <n v="2063"/>
    <s v="Sports"/>
    <x v="0"/>
  </r>
  <r>
    <x v="1885"/>
    <x v="94"/>
    <x v="1"/>
    <x v="1"/>
    <x v="2"/>
    <n v="12"/>
    <s v="Hyderabad"/>
    <s v="2023-12-04"/>
    <x v="40"/>
    <x v="8"/>
    <x v="17"/>
    <x v="24"/>
    <x v="44"/>
    <x v="41"/>
    <n v="369"/>
    <n v="73.8"/>
    <x v="1"/>
    <x v="0"/>
    <n v="1639"/>
    <s v="Dance"/>
    <x v="0"/>
  </r>
  <r>
    <x v="1886"/>
    <x v="78"/>
    <x v="0"/>
    <x v="1"/>
    <x v="2"/>
    <n v="12"/>
    <s v="Chennai"/>
    <s v="2023-05-03"/>
    <x v="7"/>
    <x v="59"/>
    <x v="25"/>
    <x v="18"/>
    <x v="44"/>
    <x v="46"/>
    <n v="385"/>
    <n v="77"/>
    <x v="1"/>
    <x v="0"/>
    <n v="4183"/>
    <s v="Drama"/>
    <x v="0"/>
  </r>
  <r>
    <x v="1887"/>
    <x v="52"/>
    <x v="0"/>
    <x v="8"/>
    <x v="0"/>
    <n v="8"/>
    <s v="Madurai"/>
    <s v="2025-03-24"/>
    <x v="36"/>
    <x v="15"/>
    <x v="42"/>
    <x v="44"/>
    <x v="26"/>
    <x v="38"/>
    <n v="339"/>
    <n v="67.8"/>
    <x v="0"/>
    <x v="1"/>
    <n v="3102"/>
    <s v="Dance"/>
    <x v="0"/>
  </r>
  <r>
    <x v="1888"/>
    <x v="148"/>
    <x v="1"/>
    <x v="5"/>
    <x v="2"/>
    <n v="8"/>
    <s v="Mumbai"/>
    <s v="2021-04-08"/>
    <x v="0"/>
    <x v="48"/>
    <x v="13"/>
    <x v="15"/>
    <x v="54"/>
    <x v="24"/>
    <n v="354"/>
    <n v="70.8"/>
    <x v="1"/>
    <x v="0"/>
    <n v="4389"/>
    <s v="Sports"/>
    <x v="0"/>
  </r>
  <r>
    <x v="1889"/>
    <x v="145"/>
    <x v="1"/>
    <x v="11"/>
    <x v="3"/>
    <n v="17"/>
    <s v="Madurai"/>
    <s v="2022-07-31"/>
    <x v="1"/>
    <x v="36"/>
    <x v="46"/>
    <x v="63"/>
    <x v="56"/>
    <x v="39"/>
    <n v="296"/>
    <n v="59.2"/>
    <x v="3"/>
    <x v="0"/>
    <n v="3255"/>
    <s v="Dance"/>
    <x v="0"/>
  </r>
  <r>
    <x v="1890"/>
    <x v="28"/>
    <x v="0"/>
    <x v="1"/>
    <x v="1"/>
    <n v="14"/>
    <s v="Coimbatore"/>
    <s v="2022-11-17"/>
    <x v="40"/>
    <x v="35"/>
    <x v="4"/>
    <x v="26"/>
    <x v="39"/>
    <x v="41"/>
    <n v="317"/>
    <n v="63.4"/>
    <x v="0"/>
    <x v="0"/>
    <n v="4054"/>
    <s v="Dance"/>
    <x v="0"/>
  </r>
  <r>
    <x v="1891"/>
    <x v="42"/>
    <x v="0"/>
    <x v="6"/>
    <x v="1"/>
    <n v="10"/>
    <s v="Mumbai"/>
    <s v="2021-03-20"/>
    <x v="10"/>
    <x v="33"/>
    <x v="7"/>
    <x v="26"/>
    <x v="38"/>
    <x v="49"/>
    <n v="269"/>
    <n v="53.8"/>
    <x v="3"/>
    <x v="1"/>
    <n v="3713"/>
    <s v="Coding Club"/>
    <x v="1"/>
  </r>
  <r>
    <x v="1892"/>
    <x v="90"/>
    <x v="0"/>
    <x v="10"/>
    <x v="0"/>
    <n v="13"/>
    <s v="Madurai"/>
    <s v="2025-03-28"/>
    <x v="6"/>
    <x v="6"/>
    <x v="51"/>
    <x v="20"/>
    <x v="63"/>
    <x v="24"/>
    <n v="352"/>
    <n v="70.400000000000006"/>
    <x v="1"/>
    <x v="0"/>
    <n v="2606"/>
    <s v="Drama"/>
    <x v="0"/>
  </r>
  <r>
    <x v="1893"/>
    <x v="111"/>
    <x v="0"/>
    <x v="6"/>
    <x v="0"/>
    <n v="10"/>
    <s v="Madurai"/>
    <s v="2024-03-25"/>
    <x v="15"/>
    <x v="27"/>
    <x v="18"/>
    <x v="41"/>
    <x v="53"/>
    <x v="11"/>
    <n v="327"/>
    <n v="65.400000000000006"/>
    <x v="0"/>
    <x v="1"/>
    <n v="1917"/>
    <s v="Sports"/>
    <x v="0"/>
  </r>
  <r>
    <x v="1894"/>
    <x v="50"/>
    <x v="0"/>
    <x v="7"/>
    <x v="2"/>
    <n v="10"/>
    <s v="Bangalore"/>
    <s v="2022-12-16"/>
    <x v="32"/>
    <x v="59"/>
    <x v="42"/>
    <x v="21"/>
    <x v="15"/>
    <x v="59"/>
    <n v="368"/>
    <n v="73.599999999999994"/>
    <x v="1"/>
    <x v="0"/>
    <n v="1830"/>
    <s v="Sports"/>
    <x v="0"/>
  </r>
  <r>
    <x v="1895"/>
    <x v="45"/>
    <x v="1"/>
    <x v="8"/>
    <x v="2"/>
    <n v="7"/>
    <s v="Bangalore"/>
    <s v="2021-06-23"/>
    <x v="2"/>
    <x v="56"/>
    <x v="34"/>
    <x v="43"/>
    <x v="41"/>
    <x v="3"/>
    <n v="344"/>
    <n v="68.8"/>
    <x v="0"/>
    <x v="1"/>
    <n v="2323"/>
    <s v="Music"/>
    <x v="0"/>
  </r>
  <r>
    <x v="1896"/>
    <x v="23"/>
    <x v="1"/>
    <x v="2"/>
    <x v="2"/>
    <n v="9"/>
    <s v="Bangalore"/>
    <s v="2024-05-06"/>
    <x v="23"/>
    <x v="16"/>
    <x v="11"/>
    <x v="44"/>
    <x v="59"/>
    <x v="10"/>
    <n v="389"/>
    <n v="77.8"/>
    <x v="1"/>
    <x v="0"/>
    <n v="1886"/>
    <s v="Coding Club"/>
    <x v="0"/>
  </r>
  <r>
    <x v="1897"/>
    <x v="84"/>
    <x v="0"/>
    <x v="5"/>
    <x v="3"/>
    <n v="6"/>
    <s v="Hyderabad"/>
    <s v="2025-03-22"/>
    <x v="28"/>
    <x v="16"/>
    <x v="27"/>
    <x v="41"/>
    <x v="46"/>
    <x v="44"/>
    <n v="318"/>
    <n v="63.6"/>
    <x v="0"/>
    <x v="0"/>
    <n v="4157"/>
    <s v="Drama"/>
    <x v="0"/>
  </r>
  <r>
    <x v="1898"/>
    <x v="66"/>
    <x v="0"/>
    <x v="4"/>
    <x v="1"/>
    <n v="17"/>
    <s v="Pune"/>
    <s v="2022-12-31"/>
    <x v="26"/>
    <x v="61"/>
    <x v="19"/>
    <x v="11"/>
    <x v="59"/>
    <x v="3"/>
    <n v="315"/>
    <n v="63"/>
    <x v="0"/>
    <x v="1"/>
    <n v="4822"/>
    <s v="Drama"/>
    <x v="0"/>
  </r>
  <r>
    <x v="1899"/>
    <x v="102"/>
    <x v="1"/>
    <x v="0"/>
    <x v="0"/>
    <n v="15"/>
    <s v="Chennai"/>
    <s v="2022-04-29"/>
    <x v="11"/>
    <x v="38"/>
    <x v="25"/>
    <x v="3"/>
    <x v="60"/>
    <x v="3"/>
    <n v="379"/>
    <n v="75.8"/>
    <x v="1"/>
    <x v="1"/>
    <n v="2006"/>
    <s v="Drama"/>
    <x v="0"/>
  </r>
  <r>
    <x v="1900"/>
    <x v="69"/>
    <x v="0"/>
    <x v="11"/>
    <x v="2"/>
    <n v="15"/>
    <s v="Mumbai"/>
    <s v="2025-08-16"/>
    <x v="39"/>
    <x v="56"/>
    <x v="18"/>
    <x v="58"/>
    <x v="5"/>
    <x v="5"/>
    <n v="356"/>
    <n v="71.2"/>
    <x v="1"/>
    <x v="1"/>
    <n v="4214"/>
    <s v="Music"/>
    <x v="0"/>
  </r>
  <r>
    <x v="1901"/>
    <x v="71"/>
    <x v="0"/>
    <x v="9"/>
    <x v="0"/>
    <n v="14"/>
    <s v="Mumbai"/>
    <s v="2021-06-09"/>
    <x v="16"/>
    <x v="35"/>
    <x v="57"/>
    <x v="28"/>
    <x v="60"/>
    <x v="24"/>
    <n v="292"/>
    <n v="58.4"/>
    <x v="3"/>
    <x v="1"/>
    <n v="2638"/>
    <s v="Music"/>
    <x v="0"/>
  </r>
  <r>
    <x v="1902"/>
    <x v="40"/>
    <x v="1"/>
    <x v="6"/>
    <x v="0"/>
    <n v="11"/>
    <s v="Pune"/>
    <s v="2023-04-06"/>
    <x v="36"/>
    <x v="59"/>
    <x v="21"/>
    <x v="30"/>
    <x v="21"/>
    <x v="50"/>
    <n v="392"/>
    <n v="78.400000000000006"/>
    <x v="1"/>
    <x v="1"/>
    <n v="2222"/>
    <s v="Coding Club"/>
    <x v="0"/>
  </r>
  <r>
    <x v="1903"/>
    <x v="72"/>
    <x v="0"/>
    <x v="3"/>
    <x v="3"/>
    <n v="6"/>
    <s v="Coimbatore"/>
    <s v="2024-03-10"/>
    <x v="32"/>
    <x v="54"/>
    <x v="24"/>
    <x v="59"/>
    <x v="43"/>
    <x v="54"/>
    <n v="306"/>
    <n v="61.2"/>
    <x v="0"/>
    <x v="1"/>
    <n v="3145"/>
    <s v="Art"/>
    <x v="0"/>
  </r>
  <r>
    <x v="1904"/>
    <x v="84"/>
    <x v="1"/>
    <x v="10"/>
    <x v="3"/>
    <n v="11"/>
    <s v="Hyderabad"/>
    <s v="2025-11-16"/>
    <x v="0"/>
    <x v="53"/>
    <x v="5"/>
    <x v="57"/>
    <x v="31"/>
    <x v="1"/>
    <n v="332"/>
    <n v="66.400000000000006"/>
    <x v="0"/>
    <x v="1"/>
    <n v="1539"/>
    <s v="Coding Club"/>
    <x v="0"/>
  </r>
  <r>
    <x v="1905"/>
    <x v="115"/>
    <x v="1"/>
    <x v="11"/>
    <x v="3"/>
    <n v="15"/>
    <s v="Madurai"/>
    <s v="2021-04-15"/>
    <x v="25"/>
    <x v="53"/>
    <x v="8"/>
    <x v="3"/>
    <x v="28"/>
    <x v="14"/>
    <n v="358"/>
    <n v="71.599999999999994"/>
    <x v="1"/>
    <x v="1"/>
    <n v="2346"/>
    <s v="Coding Club"/>
    <x v="0"/>
  </r>
  <r>
    <x v="1906"/>
    <x v="97"/>
    <x v="1"/>
    <x v="5"/>
    <x v="1"/>
    <n v="8"/>
    <s v="Madurai"/>
    <s v="2023-07-29"/>
    <x v="9"/>
    <x v="13"/>
    <x v="34"/>
    <x v="7"/>
    <x v="52"/>
    <x v="34"/>
    <n v="301"/>
    <n v="60.2"/>
    <x v="0"/>
    <x v="1"/>
    <n v="2271"/>
    <s v="Drama"/>
    <x v="0"/>
  </r>
  <r>
    <x v="1907"/>
    <x v="18"/>
    <x v="1"/>
    <x v="0"/>
    <x v="2"/>
    <n v="16"/>
    <s v="Coimbatore"/>
    <s v="2024-04-15"/>
    <x v="39"/>
    <x v="35"/>
    <x v="31"/>
    <x v="43"/>
    <x v="26"/>
    <x v="11"/>
    <n v="363"/>
    <n v="72.599999999999994"/>
    <x v="1"/>
    <x v="1"/>
    <n v="4736"/>
    <s v="Sports"/>
    <x v="0"/>
  </r>
  <r>
    <x v="1908"/>
    <x v="55"/>
    <x v="0"/>
    <x v="8"/>
    <x v="2"/>
    <n v="7"/>
    <s v="Madurai"/>
    <s v="2025-07-19"/>
    <x v="18"/>
    <x v="29"/>
    <x v="4"/>
    <x v="11"/>
    <x v="45"/>
    <x v="23"/>
    <n v="335"/>
    <n v="67"/>
    <x v="0"/>
    <x v="1"/>
    <n v="3609"/>
    <s v="Dance"/>
    <x v="0"/>
  </r>
  <r>
    <x v="1909"/>
    <x v="145"/>
    <x v="0"/>
    <x v="8"/>
    <x v="0"/>
    <n v="8"/>
    <s v="Hyderabad"/>
    <s v="2023-11-28"/>
    <x v="27"/>
    <x v="59"/>
    <x v="12"/>
    <x v="65"/>
    <x v="48"/>
    <x v="0"/>
    <n v="369"/>
    <n v="73.8"/>
    <x v="1"/>
    <x v="0"/>
    <n v="2472"/>
    <s v="Dance"/>
    <x v="0"/>
  </r>
  <r>
    <x v="1910"/>
    <x v="51"/>
    <x v="1"/>
    <x v="6"/>
    <x v="3"/>
    <n v="10"/>
    <s v="Coimbatore"/>
    <s v="2023-12-10"/>
    <x v="1"/>
    <x v="47"/>
    <x v="32"/>
    <x v="23"/>
    <x v="6"/>
    <x v="36"/>
    <n v="342"/>
    <n v="68.400000000000006"/>
    <x v="0"/>
    <x v="1"/>
    <n v="4991"/>
    <s v="Drama"/>
    <x v="0"/>
  </r>
  <r>
    <x v="1911"/>
    <x v="117"/>
    <x v="1"/>
    <x v="8"/>
    <x v="0"/>
    <n v="7"/>
    <s v="Chennai"/>
    <s v="2025-03-24"/>
    <x v="31"/>
    <x v="15"/>
    <x v="4"/>
    <x v="48"/>
    <x v="23"/>
    <x v="63"/>
    <n v="336"/>
    <n v="67.2"/>
    <x v="0"/>
    <x v="1"/>
    <n v="3437"/>
    <s v="Drama"/>
    <x v="0"/>
  </r>
  <r>
    <x v="1912"/>
    <x v="6"/>
    <x v="1"/>
    <x v="3"/>
    <x v="2"/>
    <n v="6"/>
    <s v="Coimbatore"/>
    <s v="2023-04-15"/>
    <x v="36"/>
    <x v="35"/>
    <x v="28"/>
    <x v="17"/>
    <x v="3"/>
    <x v="10"/>
    <n v="403"/>
    <n v="80.599999999999994"/>
    <x v="2"/>
    <x v="1"/>
    <n v="4819"/>
    <s v="Drama"/>
    <x v="0"/>
  </r>
  <r>
    <x v="1913"/>
    <x v="3"/>
    <x v="1"/>
    <x v="4"/>
    <x v="2"/>
    <n v="17"/>
    <s v="Coimbatore"/>
    <s v="2023-04-22"/>
    <x v="17"/>
    <x v="11"/>
    <x v="3"/>
    <x v="25"/>
    <x v="12"/>
    <x v="36"/>
    <n v="378"/>
    <n v="75.599999999999994"/>
    <x v="1"/>
    <x v="1"/>
    <n v="3256"/>
    <s v="Sports"/>
    <x v="0"/>
  </r>
  <r>
    <x v="1914"/>
    <x v="114"/>
    <x v="0"/>
    <x v="11"/>
    <x v="1"/>
    <n v="15"/>
    <s v="Hyderabad"/>
    <s v="2022-10-11"/>
    <x v="20"/>
    <x v="62"/>
    <x v="4"/>
    <x v="42"/>
    <x v="7"/>
    <x v="61"/>
    <n v="388"/>
    <n v="77.599999999999994"/>
    <x v="1"/>
    <x v="1"/>
    <n v="3957"/>
    <s v="Art"/>
    <x v="0"/>
  </r>
  <r>
    <x v="1915"/>
    <x v="113"/>
    <x v="0"/>
    <x v="3"/>
    <x v="2"/>
    <n v="7"/>
    <s v="Pune"/>
    <s v="2023-10-20"/>
    <x v="28"/>
    <x v="8"/>
    <x v="54"/>
    <x v="48"/>
    <x v="29"/>
    <x v="31"/>
    <n v="362"/>
    <n v="72.400000000000006"/>
    <x v="1"/>
    <x v="1"/>
    <n v="2023"/>
    <s v="Sports"/>
    <x v="0"/>
  </r>
  <r>
    <x v="1916"/>
    <x v="28"/>
    <x v="0"/>
    <x v="3"/>
    <x v="1"/>
    <n v="7"/>
    <s v="Madurai"/>
    <s v="2022-11-10"/>
    <x v="30"/>
    <x v="45"/>
    <x v="13"/>
    <x v="34"/>
    <x v="48"/>
    <x v="54"/>
    <n v="309"/>
    <n v="61.8"/>
    <x v="0"/>
    <x v="1"/>
    <n v="2458"/>
    <s v="Coding Club"/>
    <x v="0"/>
  </r>
  <r>
    <x v="1917"/>
    <x v="131"/>
    <x v="1"/>
    <x v="11"/>
    <x v="1"/>
    <n v="16"/>
    <s v="Pune"/>
    <s v="2025-08-25"/>
    <x v="30"/>
    <x v="57"/>
    <x v="43"/>
    <x v="43"/>
    <x v="29"/>
    <x v="43"/>
    <n v="369"/>
    <n v="73.8"/>
    <x v="1"/>
    <x v="1"/>
    <n v="2208"/>
    <s v="Sports"/>
    <x v="0"/>
  </r>
  <r>
    <x v="1918"/>
    <x v="42"/>
    <x v="0"/>
    <x v="3"/>
    <x v="2"/>
    <n v="7"/>
    <s v="Chennai"/>
    <s v="2021-12-19"/>
    <x v="39"/>
    <x v="11"/>
    <x v="23"/>
    <x v="43"/>
    <x v="40"/>
    <x v="40"/>
    <n v="330"/>
    <n v="66"/>
    <x v="0"/>
    <x v="1"/>
    <n v="3081"/>
    <s v="Drama"/>
    <x v="0"/>
  </r>
  <r>
    <x v="1919"/>
    <x v="18"/>
    <x v="0"/>
    <x v="8"/>
    <x v="3"/>
    <n v="9"/>
    <s v="Coimbatore"/>
    <s v="2022-06-25"/>
    <x v="34"/>
    <x v="36"/>
    <x v="13"/>
    <x v="2"/>
    <x v="31"/>
    <x v="63"/>
    <n v="274"/>
    <n v="54.8"/>
    <x v="3"/>
    <x v="0"/>
    <n v="3224"/>
    <s v="Art"/>
    <x v="1"/>
  </r>
  <r>
    <x v="1920"/>
    <x v="119"/>
    <x v="0"/>
    <x v="3"/>
    <x v="0"/>
    <n v="6"/>
    <s v="Pune"/>
    <s v="2023-10-31"/>
    <x v="12"/>
    <x v="10"/>
    <x v="12"/>
    <x v="16"/>
    <x v="41"/>
    <x v="48"/>
    <n v="333"/>
    <n v="66.599999999999994"/>
    <x v="0"/>
    <x v="1"/>
    <n v="3242"/>
    <s v="Music"/>
    <x v="0"/>
  </r>
  <r>
    <x v="1921"/>
    <x v="120"/>
    <x v="0"/>
    <x v="11"/>
    <x v="1"/>
    <n v="16"/>
    <s v="Bangalore"/>
    <s v="2025-02-24"/>
    <x v="12"/>
    <x v="37"/>
    <x v="22"/>
    <x v="35"/>
    <x v="3"/>
    <x v="63"/>
    <n v="288"/>
    <n v="57.6"/>
    <x v="3"/>
    <x v="1"/>
    <n v="1882"/>
    <s v="Coding Club"/>
    <x v="0"/>
  </r>
  <r>
    <x v="1922"/>
    <x v="23"/>
    <x v="1"/>
    <x v="10"/>
    <x v="0"/>
    <n v="13"/>
    <s v="Chennai"/>
    <s v="2022-03-26"/>
    <x v="20"/>
    <x v="56"/>
    <x v="62"/>
    <x v="35"/>
    <x v="16"/>
    <x v="35"/>
    <n v="308"/>
    <n v="61.6"/>
    <x v="0"/>
    <x v="1"/>
    <n v="4127"/>
    <s v="Drama"/>
    <x v="0"/>
  </r>
  <r>
    <x v="1923"/>
    <x v="77"/>
    <x v="1"/>
    <x v="11"/>
    <x v="3"/>
    <n v="15"/>
    <s v="Pune"/>
    <s v="2023-08-23"/>
    <x v="2"/>
    <x v="54"/>
    <x v="64"/>
    <x v="64"/>
    <x v="20"/>
    <x v="9"/>
    <n v="397"/>
    <n v="79.400000000000006"/>
    <x v="1"/>
    <x v="1"/>
    <n v="1562"/>
    <s v="Coding Club"/>
    <x v="0"/>
  </r>
  <r>
    <x v="1924"/>
    <x v="145"/>
    <x v="1"/>
    <x v="1"/>
    <x v="2"/>
    <n v="13"/>
    <s v="Mumbai"/>
    <s v="2024-03-15"/>
    <x v="25"/>
    <x v="27"/>
    <x v="33"/>
    <x v="38"/>
    <x v="49"/>
    <x v="60"/>
    <n v="294"/>
    <n v="58.8"/>
    <x v="3"/>
    <x v="1"/>
    <n v="3089"/>
    <s v="Drama"/>
    <x v="0"/>
  </r>
  <r>
    <x v="1925"/>
    <x v="0"/>
    <x v="1"/>
    <x v="2"/>
    <x v="3"/>
    <n v="9"/>
    <s v="Hyderabad"/>
    <s v="2023-04-25"/>
    <x v="1"/>
    <x v="56"/>
    <x v="20"/>
    <x v="33"/>
    <x v="57"/>
    <x v="47"/>
    <n v="426"/>
    <n v="85.2"/>
    <x v="2"/>
    <x v="0"/>
    <n v="2844"/>
    <s v="Art"/>
    <x v="0"/>
  </r>
  <r>
    <x v="1926"/>
    <x v="33"/>
    <x v="0"/>
    <x v="8"/>
    <x v="0"/>
    <n v="7"/>
    <s v="Pune"/>
    <s v="2022-08-29"/>
    <x v="24"/>
    <x v="47"/>
    <x v="5"/>
    <x v="44"/>
    <x v="62"/>
    <x v="24"/>
    <n v="330"/>
    <n v="66"/>
    <x v="0"/>
    <x v="0"/>
    <n v="4603"/>
    <s v="Coding Club"/>
    <x v="0"/>
  </r>
  <r>
    <x v="1927"/>
    <x v="15"/>
    <x v="1"/>
    <x v="9"/>
    <x v="0"/>
    <n v="14"/>
    <s v="Mumbai"/>
    <s v="2023-11-17"/>
    <x v="26"/>
    <x v="21"/>
    <x v="22"/>
    <x v="45"/>
    <x v="47"/>
    <x v="42"/>
    <n v="385"/>
    <n v="77"/>
    <x v="1"/>
    <x v="1"/>
    <n v="4608"/>
    <s v="Music"/>
    <x v="0"/>
  </r>
  <r>
    <x v="1928"/>
    <x v="115"/>
    <x v="1"/>
    <x v="2"/>
    <x v="3"/>
    <n v="9"/>
    <s v="Madurai"/>
    <s v="2024-10-26"/>
    <x v="17"/>
    <x v="28"/>
    <x v="40"/>
    <x v="36"/>
    <x v="54"/>
    <x v="31"/>
    <n v="329"/>
    <n v="65.8"/>
    <x v="0"/>
    <x v="1"/>
    <n v="2010"/>
    <s v="Art"/>
    <x v="0"/>
  </r>
  <r>
    <x v="1929"/>
    <x v="110"/>
    <x v="1"/>
    <x v="10"/>
    <x v="1"/>
    <n v="11"/>
    <s v="Pune"/>
    <s v="2025-01-12"/>
    <x v="1"/>
    <x v="43"/>
    <x v="8"/>
    <x v="20"/>
    <x v="3"/>
    <x v="45"/>
    <n v="356"/>
    <n v="71.2"/>
    <x v="1"/>
    <x v="0"/>
    <n v="1867"/>
    <s v="Drama"/>
    <x v="0"/>
  </r>
  <r>
    <x v="1930"/>
    <x v="82"/>
    <x v="0"/>
    <x v="10"/>
    <x v="0"/>
    <n v="11"/>
    <s v="Coimbatore"/>
    <s v="2025-02-12"/>
    <x v="7"/>
    <x v="28"/>
    <x v="33"/>
    <x v="55"/>
    <x v="6"/>
    <x v="53"/>
    <n v="363"/>
    <n v="72.599999999999994"/>
    <x v="1"/>
    <x v="0"/>
    <n v="3788"/>
    <s v="Sports"/>
    <x v="0"/>
  </r>
  <r>
    <x v="1931"/>
    <x v="74"/>
    <x v="0"/>
    <x v="8"/>
    <x v="1"/>
    <n v="9"/>
    <s v="Mumbai"/>
    <s v="2024-01-20"/>
    <x v="18"/>
    <x v="59"/>
    <x v="42"/>
    <x v="62"/>
    <x v="51"/>
    <x v="65"/>
    <n v="369"/>
    <n v="73.8"/>
    <x v="1"/>
    <x v="1"/>
    <n v="4579"/>
    <s v="Sports"/>
    <x v="0"/>
  </r>
  <r>
    <x v="1932"/>
    <x v="98"/>
    <x v="1"/>
    <x v="7"/>
    <x v="1"/>
    <n v="10"/>
    <s v="Madurai"/>
    <s v="2023-04-01"/>
    <x v="37"/>
    <x v="38"/>
    <x v="40"/>
    <x v="19"/>
    <x v="38"/>
    <x v="28"/>
    <n v="373"/>
    <n v="74.599999999999994"/>
    <x v="1"/>
    <x v="0"/>
    <n v="4092"/>
    <s v="Music"/>
    <x v="0"/>
  </r>
  <r>
    <x v="1933"/>
    <x v="147"/>
    <x v="1"/>
    <x v="1"/>
    <x v="2"/>
    <n v="13"/>
    <s v="Madurai"/>
    <s v="2022-04-10"/>
    <x v="11"/>
    <x v="26"/>
    <x v="15"/>
    <x v="63"/>
    <x v="28"/>
    <x v="36"/>
    <n v="285"/>
    <n v="57"/>
    <x v="3"/>
    <x v="1"/>
    <n v="4989"/>
    <s v="Art"/>
    <x v="0"/>
  </r>
  <r>
    <x v="1934"/>
    <x v="89"/>
    <x v="0"/>
    <x v="10"/>
    <x v="1"/>
    <n v="11"/>
    <s v="Pune"/>
    <s v="2021-08-23"/>
    <x v="24"/>
    <x v="55"/>
    <x v="36"/>
    <x v="9"/>
    <x v="13"/>
    <x v="22"/>
    <n v="275"/>
    <n v="55"/>
    <x v="3"/>
    <x v="0"/>
    <n v="4788"/>
    <s v="Drama"/>
    <x v="1"/>
  </r>
  <r>
    <x v="1935"/>
    <x v="124"/>
    <x v="0"/>
    <x v="8"/>
    <x v="2"/>
    <n v="7"/>
    <s v="Chennai"/>
    <s v="2024-01-17"/>
    <x v="8"/>
    <x v="4"/>
    <x v="15"/>
    <x v="50"/>
    <x v="43"/>
    <x v="24"/>
    <n v="350"/>
    <n v="70"/>
    <x v="1"/>
    <x v="1"/>
    <n v="4496"/>
    <s v="Drama"/>
    <x v="0"/>
  </r>
  <r>
    <x v="1936"/>
    <x v="80"/>
    <x v="1"/>
    <x v="11"/>
    <x v="0"/>
    <n v="17"/>
    <s v="Pune"/>
    <s v="2022-07-04"/>
    <x v="9"/>
    <x v="33"/>
    <x v="55"/>
    <x v="31"/>
    <x v="22"/>
    <x v="64"/>
    <n v="348"/>
    <n v="69.599999999999994"/>
    <x v="0"/>
    <x v="1"/>
    <n v="1562"/>
    <s v="Drama"/>
    <x v="0"/>
  </r>
  <r>
    <x v="1937"/>
    <x v="133"/>
    <x v="1"/>
    <x v="9"/>
    <x v="0"/>
    <n v="13"/>
    <s v="Pune"/>
    <s v="2025-02-23"/>
    <x v="12"/>
    <x v="46"/>
    <x v="0"/>
    <x v="7"/>
    <x v="46"/>
    <x v="57"/>
    <n v="387"/>
    <n v="77.400000000000006"/>
    <x v="1"/>
    <x v="0"/>
    <n v="2748"/>
    <s v="Art"/>
    <x v="0"/>
  </r>
  <r>
    <x v="1938"/>
    <x v="138"/>
    <x v="0"/>
    <x v="6"/>
    <x v="0"/>
    <n v="11"/>
    <s v="Hyderabad"/>
    <s v="2025-07-20"/>
    <x v="10"/>
    <x v="14"/>
    <x v="50"/>
    <x v="17"/>
    <x v="1"/>
    <x v="51"/>
    <n v="398"/>
    <n v="79.599999999999994"/>
    <x v="1"/>
    <x v="0"/>
    <n v="1616"/>
    <s v="Coding Club"/>
    <x v="0"/>
  </r>
  <r>
    <x v="1939"/>
    <x v="34"/>
    <x v="0"/>
    <x v="5"/>
    <x v="2"/>
    <n v="7"/>
    <s v="Coimbatore"/>
    <s v="2022-07-22"/>
    <x v="28"/>
    <x v="29"/>
    <x v="62"/>
    <x v="3"/>
    <x v="64"/>
    <x v="42"/>
    <n v="371"/>
    <n v="74.2"/>
    <x v="1"/>
    <x v="1"/>
    <n v="4758"/>
    <s v="Coding Club"/>
    <x v="0"/>
  </r>
  <r>
    <x v="1940"/>
    <x v="146"/>
    <x v="0"/>
    <x v="0"/>
    <x v="0"/>
    <n v="16"/>
    <s v="Pune"/>
    <s v="2022-03-22"/>
    <x v="17"/>
    <x v="17"/>
    <x v="16"/>
    <x v="61"/>
    <x v="22"/>
    <x v="48"/>
    <n v="330"/>
    <n v="66"/>
    <x v="0"/>
    <x v="0"/>
    <n v="2304"/>
    <s v="Music"/>
    <x v="0"/>
  </r>
  <r>
    <x v="1941"/>
    <x v="83"/>
    <x v="0"/>
    <x v="0"/>
    <x v="0"/>
    <n v="15"/>
    <s v="Pune"/>
    <s v="2023-01-17"/>
    <x v="30"/>
    <x v="20"/>
    <x v="11"/>
    <x v="62"/>
    <x v="16"/>
    <x v="2"/>
    <n v="415"/>
    <n v="83"/>
    <x v="2"/>
    <x v="1"/>
    <n v="3577"/>
    <s v="Art"/>
    <x v="0"/>
  </r>
  <r>
    <x v="1942"/>
    <x v="82"/>
    <x v="0"/>
    <x v="9"/>
    <x v="3"/>
    <n v="15"/>
    <s v="Pune"/>
    <s v="2024-08-31"/>
    <x v="7"/>
    <x v="56"/>
    <x v="42"/>
    <x v="34"/>
    <x v="36"/>
    <x v="27"/>
    <n v="335"/>
    <n v="67"/>
    <x v="0"/>
    <x v="0"/>
    <n v="1809"/>
    <s v="Music"/>
    <x v="0"/>
  </r>
  <r>
    <x v="1943"/>
    <x v="142"/>
    <x v="0"/>
    <x v="11"/>
    <x v="2"/>
    <n v="16"/>
    <s v="Coimbatore"/>
    <s v="2022-05-02"/>
    <x v="23"/>
    <x v="6"/>
    <x v="3"/>
    <x v="8"/>
    <x v="54"/>
    <x v="37"/>
    <n v="401"/>
    <n v="80.2"/>
    <x v="2"/>
    <x v="0"/>
    <n v="2404"/>
    <s v="Drama"/>
    <x v="0"/>
  </r>
  <r>
    <x v="1944"/>
    <x v="44"/>
    <x v="0"/>
    <x v="10"/>
    <x v="2"/>
    <n v="11"/>
    <s v="Hyderabad"/>
    <s v="2021-11-11"/>
    <x v="3"/>
    <x v="21"/>
    <x v="40"/>
    <x v="22"/>
    <x v="30"/>
    <x v="52"/>
    <n v="261"/>
    <n v="52.2"/>
    <x v="3"/>
    <x v="0"/>
    <n v="3326"/>
    <s v="Dance"/>
    <x v="1"/>
  </r>
  <r>
    <x v="1945"/>
    <x v="50"/>
    <x v="0"/>
    <x v="6"/>
    <x v="3"/>
    <n v="10"/>
    <s v="Bangalore"/>
    <s v="2024-09-16"/>
    <x v="21"/>
    <x v="28"/>
    <x v="63"/>
    <x v="1"/>
    <x v="9"/>
    <x v="21"/>
    <n v="281"/>
    <n v="56.2"/>
    <x v="3"/>
    <x v="0"/>
    <n v="3767"/>
    <s v="Art"/>
    <x v="0"/>
  </r>
  <r>
    <x v="1946"/>
    <x v="7"/>
    <x v="0"/>
    <x v="6"/>
    <x v="3"/>
    <n v="12"/>
    <s v="Bangalore"/>
    <s v="2025-02-05"/>
    <x v="9"/>
    <x v="20"/>
    <x v="58"/>
    <x v="48"/>
    <x v="65"/>
    <x v="20"/>
    <n v="408"/>
    <n v="81.599999999999994"/>
    <x v="2"/>
    <x v="0"/>
    <n v="3357"/>
    <s v="Dance"/>
    <x v="0"/>
  </r>
  <r>
    <x v="1947"/>
    <x v="111"/>
    <x v="1"/>
    <x v="4"/>
    <x v="3"/>
    <n v="17"/>
    <s v="Mumbai"/>
    <s v="2024-03-11"/>
    <x v="25"/>
    <x v="5"/>
    <x v="13"/>
    <x v="64"/>
    <x v="29"/>
    <x v="0"/>
    <n v="413"/>
    <n v="82.6"/>
    <x v="2"/>
    <x v="1"/>
    <n v="3823"/>
    <s v="Drama"/>
    <x v="0"/>
  </r>
  <r>
    <x v="1948"/>
    <x v="70"/>
    <x v="0"/>
    <x v="11"/>
    <x v="0"/>
    <n v="16"/>
    <s v="Mumbai"/>
    <s v="2022-11-23"/>
    <x v="1"/>
    <x v="22"/>
    <x v="13"/>
    <x v="49"/>
    <x v="29"/>
    <x v="3"/>
    <n v="394"/>
    <n v="78.8"/>
    <x v="1"/>
    <x v="0"/>
    <n v="2883"/>
    <s v="Dance"/>
    <x v="0"/>
  </r>
  <r>
    <x v="1949"/>
    <x v="137"/>
    <x v="0"/>
    <x v="10"/>
    <x v="3"/>
    <n v="12"/>
    <s v="Chennai"/>
    <s v="2024-02-07"/>
    <x v="3"/>
    <x v="6"/>
    <x v="63"/>
    <x v="10"/>
    <x v="9"/>
    <x v="52"/>
    <n v="380"/>
    <n v="76"/>
    <x v="1"/>
    <x v="1"/>
    <n v="2457"/>
    <s v="Coding Club"/>
    <x v="0"/>
  </r>
  <r>
    <x v="1950"/>
    <x v="34"/>
    <x v="1"/>
    <x v="5"/>
    <x v="0"/>
    <n v="8"/>
    <s v="Mumbai"/>
    <s v="2022-05-02"/>
    <x v="30"/>
    <x v="3"/>
    <x v="9"/>
    <x v="18"/>
    <x v="15"/>
    <x v="33"/>
    <n v="401"/>
    <n v="80.2"/>
    <x v="2"/>
    <x v="0"/>
    <n v="2631"/>
    <s v="Sports"/>
    <x v="0"/>
  </r>
  <r>
    <x v="1951"/>
    <x v="11"/>
    <x v="1"/>
    <x v="10"/>
    <x v="2"/>
    <n v="12"/>
    <s v="Bangalore"/>
    <s v="2023-11-01"/>
    <x v="26"/>
    <x v="60"/>
    <x v="37"/>
    <x v="0"/>
    <x v="38"/>
    <x v="25"/>
    <n v="301"/>
    <n v="60.2"/>
    <x v="0"/>
    <x v="1"/>
    <n v="2070"/>
    <s v="Coding Club"/>
    <x v="0"/>
  </r>
  <r>
    <x v="1952"/>
    <x v="64"/>
    <x v="0"/>
    <x v="11"/>
    <x v="2"/>
    <n v="17"/>
    <s v="Madurai"/>
    <s v="2022-05-11"/>
    <x v="1"/>
    <x v="35"/>
    <x v="43"/>
    <x v="25"/>
    <x v="19"/>
    <x v="35"/>
    <n v="331"/>
    <n v="66.2"/>
    <x v="0"/>
    <x v="0"/>
    <n v="4713"/>
    <s v="Dance"/>
    <x v="0"/>
  </r>
  <r>
    <x v="1953"/>
    <x v="113"/>
    <x v="0"/>
    <x v="7"/>
    <x v="0"/>
    <n v="10"/>
    <s v="Chennai"/>
    <s v="2021-06-26"/>
    <x v="25"/>
    <x v="21"/>
    <x v="33"/>
    <x v="44"/>
    <x v="60"/>
    <x v="48"/>
    <n v="288"/>
    <n v="57.6"/>
    <x v="3"/>
    <x v="0"/>
    <n v="2399"/>
    <s v="Drama"/>
    <x v="0"/>
  </r>
  <r>
    <x v="1954"/>
    <x v="40"/>
    <x v="1"/>
    <x v="0"/>
    <x v="2"/>
    <n v="16"/>
    <s v="Pune"/>
    <s v="2023-02-09"/>
    <x v="8"/>
    <x v="53"/>
    <x v="2"/>
    <x v="23"/>
    <x v="64"/>
    <x v="33"/>
    <n v="327"/>
    <n v="65.400000000000006"/>
    <x v="0"/>
    <x v="0"/>
    <n v="2425"/>
    <s v="Dance"/>
    <x v="0"/>
  </r>
  <r>
    <x v="1955"/>
    <x v="63"/>
    <x v="1"/>
    <x v="8"/>
    <x v="0"/>
    <n v="9"/>
    <s v="Pune"/>
    <s v="2023-03-17"/>
    <x v="20"/>
    <x v="2"/>
    <x v="37"/>
    <x v="59"/>
    <x v="26"/>
    <x v="56"/>
    <n v="345"/>
    <n v="69"/>
    <x v="0"/>
    <x v="0"/>
    <n v="4351"/>
    <s v="Sports"/>
    <x v="0"/>
  </r>
  <r>
    <x v="1956"/>
    <x v="14"/>
    <x v="1"/>
    <x v="6"/>
    <x v="3"/>
    <n v="11"/>
    <s v="Madurai"/>
    <s v="2025-06-29"/>
    <x v="7"/>
    <x v="29"/>
    <x v="27"/>
    <x v="42"/>
    <x v="48"/>
    <x v="34"/>
    <n v="299"/>
    <n v="59.8"/>
    <x v="3"/>
    <x v="1"/>
    <n v="3295"/>
    <s v="Sports"/>
    <x v="0"/>
  </r>
  <r>
    <x v="1957"/>
    <x v="108"/>
    <x v="0"/>
    <x v="8"/>
    <x v="1"/>
    <n v="8"/>
    <s v="Bangalore"/>
    <s v="2022-08-25"/>
    <x v="16"/>
    <x v="29"/>
    <x v="38"/>
    <x v="1"/>
    <x v="44"/>
    <x v="32"/>
    <n v="332"/>
    <n v="66.400000000000006"/>
    <x v="0"/>
    <x v="1"/>
    <n v="1790"/>
    <s v="Coding Club"/>
    <x v="0"/>
  </r>
  <r>
    <x v="1958"/>
    <x v="99"/>
    <x v="1"/>
    <x v="0"/>
    <x v="1"/>
    <n v="14"/>
    <s v="Chennai"/>
    <s v="2021-05-18"/>
    <x v="31"/>
    <x v="23"/>
    <x v="20"/>
    <x v="59"/>
    <x v="41"/>
    <x v="19"/>
    <n v="248"/>
    <n v="49.6"/>
    <x v="4"/>
    <x v="0"/>
    <n v="2714"/>
    <s v="Drama"/>
    <x v="1"/>
  </r>
  <r>
    <x v="1959"/>
    <x v="79"/>
    <x v="0"/>
    <x v="9"/>
    <x v="1"/>
    <n v="13"/>
    <s v="Hyderabad"/>
    <s v="2024-06-18"/>
    <x v="5"/>
    <x v="28"/>
    <x v="8"/>
    <x v="60"/>
    <x v="15"/>
    <x v="61"/>
    <n v="386"/>
    <n v="77.2"/>
    <x v="1"/>
    <x v="1"/>
    <n v="2427"/>
    <s v="Music"/>
    <x v="0"/>
  </r>
  <r>
    <x v="1960"/>
    <x v="72"/>
    <x v="1"/>
    <x v="3"/>
    <x v="3"/>
    <n v="6"/>
    <s v="Mumbai"/>
    <s v="2021-07-22"/>
    <x v="23"/>
    <x v="28"/>
    <x v="30"/>
    <x v="14"/>
    <x v="37"/>
    <x v="16"/>
    <n v="336"/>
    <n v="67.2"/>
    <x v="0"/>
    <x v="0"/>
    <n v="2883"/>
    <s v="Art"/>
    <x v="0"/>
  </r>
  <r>
    <x v="1961"/>
    <x v="9"/>
    <x v="1"/>
    <x v="6"/>
    <x v="2"/>
    <n v="12"/>
    <s v="Mumbai"/>
    <s v="2023-08-15"/>
    <x v="40"/>
    <x v="44"/>
    <x v="17"/>
    <x v="48"/>
    <x v="33"/>
    <x v="22"/>
    <n v="270"/>
    <n v="54"/>
    <x v="3"/>
    <x v="0"/>
    <n v="1797"/>
    <s v="Music"/>
    <x v="1"/>
  </r>
  <r>
    <x v="1962"/>
    <x v="49"/>
    <x v="0"/>
    <x v="3"/>
    <x v="3"/>
    <n v="7"/>
    <s v="Madurai"/>
    <s v="2022-06-11"/>
    <x v="14"/>
    <x v="20"/>
    <x v="32"/>
    <x v="53"/>
    <x v="6"/>
    <x v="36"/>
    <n v="357"/>
    <n v="71.400000000000006"/>
    <x v="1"/>
    <x v="0"/>
    <n v="2514"/>
    <s v="Music"/>
    <x v="0"/>
  </r>
  <r>
    <x v="1963"/>
    <x v="143"/>
    <x v="0"/>
    <x v="3"/>
    <x v="2"/>
    <n v="7"/>
    <s v="Pune"/>
    <s v="2025-08-22"/>
    <x v="14"/>
    <x v="59"/>
    <x v="14"/>
    <x v="39"/>
    <x v="50"/>
    <x v="21"/>
    <n v="311"/>
    <n v="62.2"/>
    <x v="0"/>
    <x v="1"/>
    <n v="4256"/>
    <s v="Drama"/>
    <x v="0"/>
  </r>
  <r>
    <x v="1964"/>
    <x v="100"/>
    <x v="1"/>
    <x v="9"/>
    <x v="1"/>
    <n v="13"/>
    <s v="Hyderabad"/>
    <s v="2022-12-09"/>
    <x v="33"/>
    <x v="20"/>
    <x v="45"/>
    <x v="22"/>
    <x v="63"/>
    <x v="60"/>
    <n v="349"/>
    <n v="69.8"/>
    <x v="0"/>
    <x v="1"/>
    <n v="4508"/>
    <s v="Dance"/>
    <x v="0"/>
  </r>
  <r>
    <x v="1965"/>
    <x v="94"/>
    <x v="1"/>
    <x v="11"/>
    <x v="3"/>
    <n v="15"/>
    <s v="Mumbai"/>
    <s v="2025-08-29"/>
    <x v="26"/>
    <x v="62"/>
    <x v="22"/>
    <x v="20"/>
    <x v="54"/>
    <x v="3"/>
    <n v="364"/>
    <n v="72.8"/>
    <x v="1"/>
    <x v="1"/>
    <n v="3126"/>
    <s v="Dance"/>
    <x v="0"/>
  </r>
  <r>
    <x v="1966"/>
    <x v="80"/>
    <x v="0"/>
    <x v="0"/>
    <x v="2"/>
    <n v="15"/>
    <s v="Bangalore"/>
    <s v="2021-07-15"/>
    <x v="13"/>
    <x v="2"/>
    <x v="64"/>
    <x v="15"/>
    <x v="65"/>
    <x v="53"/>
    <n v="372"/>
    <n v="74.400000000000006"/>
    <x v="1"/>
    <x v="0"/>
    <n v="2478"/>
    <s v="Drama"/>
    <x v="0"/>
  </r>
  <r>
    <x v="1967"/>
    <x v="75"/>
    <x v="0"/>
    <x v="10"/>
    <x v="1"/>
    <n v="12"/>
    <s v="Pune"/>
    <s v="2021-02-24"/>
    <x v="20"/>
    <x v="20"/>
    <x v="35"/>
    <x v="65"/>
    <x v="6"/>
    <x v="50"/>
    <n v="340"/>
    <n v="68"/>
    <x v="0"/>
    <x v="0"/>
    <n v="1783"/>
    <s v="Music"/>
    <x v="0"/>
  </r>
  <r>
    <x v="1968"/>
    <x v="17"/>
    <x v="0"/>
    <x v="1"/>
    <x v="2"/>
    <n v="12"/>
    <s v="Bangalore"/>
    <s v="2025-07-22"/>
    <x v="2"/>
    <x v="53"/>
    <x v="13"/>
    <x v="65"/>
    <x v="14"/>
    <x v="38"/>
    <n v="295"/>
    <n v="59"/>
    <x v="3"/>
    <x v="1"/>
    <n v="2016"/>
    <s v="Art"/>
    <x v="0"/>
  </r>
  <r>
    <x v="1969"/>
    <x v="66"/>
    <x v="0"/>
    <x v="8"/>
    <x v="3"/>
    <n v="7"/>
    <s v="Mumbai"/>
    <s v="2022-06-11"/>
    <x v="32"/>
    <x v="61"/>
    <x v="52"/>
    <x v="39"/>
    <x v="15"/>
    <x v="39"/>
    <n v="289"/>
    <n v="57.8"/>
    <x v="3"/>
    <x v="1"/>
    <n v="2748"/>
    <s v="Music"/>
    <x v="0"/>
  </r>
  <r>
    <x v="1970"/>
    <x v="35"/>
    <x v="1"/>
    <x v="11"/>
    <x v="3"/>
    <n v="17"/>
    <s v="Coimbatore"/>
    <s v="2022-12-04"/>
    <x v="7"/>
    <x v="21"/>
    <x v="28"/>
    <x v="35"/>
    <x v="11"/>
    <x v="12"/>
    <n v="339"/>
    <n v="67.8"/>
    <x v="0"/>
    <x v="1"/>
    <n v="2917"/>
    <s v="Music"/>
    <x v="0"/>
  </r>
  <r>
    <x v="1971"/>
    <x v="111"/>
    <x v="1"/>
    <x v="2"/>
    <x v="3"/>
    <n v="9"/>
    <s v="Pune"/>
    <s v="2023-11-03"/>
    <x v="39"/>
    <x v="48"/>
    <x v="25"/>
    <x v="56"/>
    <x v="47"/>
    <x v="56"/>
    <n v="325"/>
    <n v="65"/>
    <x v="0"/>
    <x v="1"/>
    <n v="3771"/>
    <s v="Music"/>
    <x v="0"/>
  </r>
  <r>
    <x v="1972"/>
    <x v="136"/>
    <x v="1"/>
    <x v="6"/>
    <x v="2"/>
    <n v="11"/>
    <s v="Madurai"/>
    <s v="2021-12-07"/>
    <x v="0"/>
    <x v="33"/>
    <x v="11"/>
    <x v="20"/>
    <x v="60"/>
    <x v="28"/>
    <n v="367"/>
    <n v="73.400000000000006"/>
    <x v="1"/>
    <x v="1"/>
    <n v="1785"/>
    <s v="Sports"/>
    <x v="0"/>
  </r>
  <r>
    <x v="1973"/>
    <x v="129"/>
    <x v="0"/>
    <x v="11"/>
    <x v="3"/>
    <n v="17"/>
    <s v="Bangalore"/>
    <s v="2023-06-05"/>
    <x v="14"/>
    <x v="37"/>
    <x v="11"/>
    <x v="31"/>
    <x v="45"/>
    <x v="1"/>
    <n v="338"/>
    <n v="67.599999999999994"/>
    <x v="0"/>
    <x v="1"/>
    <n v="3566"/>
    <s v="Dance"/>
    <x v="0"/>
  </r>
  <r>
    <x v="1974"/>
    <x v="74"/>
    <x v="0"/>
    <x v="5"/>
    <x v="0"/>
    <n v="6"/>
    <s v="Pune"/>
    <s v="2023-12-16"/>
    <x v="11"/>
    <x v="16"/>
    <x v="4"/>
    <x v="40"/>
    <x v="54"/>
    <x v="64"/>
    <n v="322"/>
    <n v="64.400000000000006"/>
    <x v="0"/>
    <x v="1"/>
    <n v="4696"/>
    <s v="Art"/>
    <x v="0"/>
  </r>
  <r>
    <x v="1975"/>
    <x v="54"/>
    <x v="0"/>
    <x v="9"/>
    <x v="3"/>
    <n v="15"/>
    <s v="Coimbatore"/>
    <s v="2024-05-16"/>
    <x v="14"/>
    <x v="31"/>
    <x v="38"/>
    <x v="58"/>
    <x v="17"/>
    <x v="30"/>
    <n v="242"/>
    <n v="48.4"/>
    <x v="4"/>
    <x v="1"/>
    <n v="3712"/>
    <s v="Sports"/>
    <x v="1"/>
  </r>
  <r>
    <x v="1976"/>
    <x v="28"/>
    <x v="0"/>
    <x v="10"/>
    <x v="0"/>
    <n v="11"/>
    <s v="Hyderabad"/>
    <s v="2023-11-30"/>
    <x v="23"/>
    <x v="55"/>
    <x v="39"/>
    <x v="7"/>
    <x v="43"/>
    <x v="28"/>
    <n v="378"/>
    <n v="75.599999999999994"/>
    <x v="1"/>
    <x v="1"/>
    <n v="2950"/>
    <s v="Drama"/>
    <x v="0"/>
  </r>
  <r>
    <x v="1977"/>
    <x v="4"/>
    <x v="1"/>
    <x v="8"/>
    <x v="0"/>
    <n v="7"/>
    <s v="Chennai"/>
    <s v="2022-11-23"/>
    <x v="29"/>
    <x v="4"/>
    <x v="54"/>
    <x v="12"/>
    <x v="17"/>
    <x v="59"/>
    <n v="311"/>
    <n v="62.2"/>
    <x v="0"/>
    <x v="1"/>
    <n v="4685"/>
    <s v="Dance"/>
    <x v="0"/>
  </r>
  <r>
    <x v="1978"/>
    <x v="42"/>
    <x v="1"/>
    <x v="5"/>
    <x v="1"/>
    <n v="8"/>
    <s v="Coimbatore"/>
    <s v="2023-08-23"/>
    <x v="16"/>
    <x v="4"/>
    <x v="16"/>
    <x v="31"/>
    <x v="34"/>
    <x v="59"/>
    <n v="355"/>
    <n v="71"/>
    <x v="1"/>
    <x v="0"/>
    <n v="3896"/>
    <s v="Sports"/>
    <x v="0"/>
  </r>
  <r>
    <x v="1979"/>
    <x v="90"/>
    <x v="0"/>
    <x v="9"/>
    <x v="3"/>
    <n v="13"/>
    <s v="Hyderabad"/>
    <s v="2024-06-27"/>
    <x v="7"/>
    <x v="16"/>
    <x v="46"/>
    <x v="6"/>
    <x v="61"/>
    <x v="40"/>
    <n v="348"/>
    <n v="69.599999999999994"/>
    <x v="0"/>
    <x v="0"/>
    <n v="2352"/>
    <s v="Drama"/>
    <x v="0"/>
  </r>
  <r>
    <x v="1980"/>
    <x v="78"/>
    <x v="1"/>
    <x v="9"/>
    <x v="1"/>
    <n v="13"/>
    <s v="Bangalore"/>
    <s v="2023-04-03"/>
    <x v="8"/>
    <x v="7"/>
    <x v="24"/>
    <x v="38"/>
    <x v="52"/>
    <x v="11"/>
    <n v="309"/>
    <n v="61.8"/>
    <x v="0"/>
    <x v="0"/>
    <n v="2644"/>
    <s v="Drama"/>
    <x v="0"/>
  </r>
  <r>
    <x v="1981"/>
    <x v="81"/>
    <x v="0"/>
    <x v="11"/>
    <x v="1"/>
    <n v="17"/>
    <s v="Pune"/>
    <s v="2022-04-05"/>
    <x v="20"/>
    <x v="33"/>
    <x v="28"/>
    <x v="17"/>
    <x v="60"/>
    <x v="16"/>
    <n v="393"/>
    <n v="78.599999999999994"/>
    <x v="1"/>
    <x v="1"/>
    <n v="4531"/>
    <s v="Drama"/>
    <x v="0"/>
  </r>
  <r>
    <x v="1982"/>
    <x v="86"/>
    <x v="0"/>
    <x v="0"/>
    <x v="2"/>
    <n v="15"/>
    <s v="Coimbatore"/>
    <s v="2023-10-08"/>
    <x v="25"/>
    <x v="48"/>
    <x v="2"/>
    <x v="58"/>
    <x v="8"/>
    <x v="41"/>
    <n v="295"/>
    <n v="59"/>
    <x v="3"/>
    <x v="1"/>
    <n v="4106"/>
    <s v="Drama"/>
    <x v="0"/>
  </r>
  <r>
    <x v="1983"/>
    <x v="109"/>
    <x v="0"/>
    <x v="6"/>
    <x v="2"/>
    <n v="11"/>
    <s v="Coimbatore"/>
    <s v="2024-09-17"/>
    <x v="14"/>
    <x v="62"/>
    <x v="35"/>
    <x v="4"/>
    <x v="7"/>
    <x v="52"/>
    <n v="354"/>
    <n v="70.8"/>
    <x v="1"/>
    <x v="1"/>
    <n v="2240"/>
    <s v="Art"/>
    <x v="0"/>
  </r>
  <r>
    <x v="1984"/>
    <x v="66"/>
    <x v="1"/>
    <x v="3"/>
    <x v="0"/>
    <n v="7"/>
    <s v="Hyderabad"/>
    <s v="2021-11-06"/>
    <x v="17"/>
    <x v="22"/>
    <x v="65"/>
    <x v="38"/>
    <x v="25"/>
    <x v="9"/>
    <n v="411"/>
    <n v="82.2"/>
    <x v="2"/>
    <x v="1"/>
    <n v="3876"/>
    <s v="Drama"/>
    <x v="0"/>
  </r>
  <r>
    <x v="1985"/>
    <x v="53"/>
    <x v="1"/>
    <x v="1"/>
    <x v="2"/>
    <n v="12"/>
    <s v="Mumbai"/>
    <s v="2023-10-27"/>
    <x v="25"/>
    <x v="55"/>
    <x v="46"/>
    <x v="2"/>
    <x v="44"/>
    <x v="62"/>
    <n v="330"/>
    <n v="66"/>
    <x v="0"/>
    <x v="1"/>
    <n v="4487"/>
    <s v="Drama"/>
    <x v="0"/>
  </r>
  <r>
    <x v="1986"/>
    <x v="117"/>
    <x v="1"/>
    <x v="10"/>
    <x v="2"/>
    <n v="13"/>
    <s v="Bangalore"/>
    <s v="2023-05-29"/>
    <x v="21"/>
    <x v="33"/>
    <x v="51"/>
    <x v="64"/>
    <x v="57"/>
    <x v="38"/>
    <n v="333"/>
    <n v="66.599999999999994"/>
    <x v="0"/>
    <x v="0"/>
    <n v="4003"/>
    <s v="Coding Club"/>
    <x v="0"/>
  </r>
  <r>
    <x v="1987"/>
    <x v="13"/>
    <x v="0"/>
    <x v="11"/>
    <x v="1"/>
    <n v="16"/>
    <s v="Bangalore"/>
    <s v="2023-03-27"/>
    <x v="13"/>
    <x v="3"/>
    <x v="13"/>
    <x v="36"/>
    <x v="64"/>
    <x v="34"/>
    <n v="388"/>
    <n v="77.599999999999994"/>
    <x v="1"/>
    <x v="0"/>
    <n v="4317"/>
    <s v="Music"/>
    <x v="0"/>
  </r>
  <r>
    <x v="1988"/>
    <x v="3"/>
    <x v="0"/>
    <x v="10"/>
    <x v="3"/>
    <n v="11"/>
    <s v="Madurai"/>
    <s v="2023-01-07"/>
    <x v="25"/>
    <x v="58"/>
    <x v="28"/>
    <x v="59"/>
    <x v="40"/>
    <x v="36"/>
    <n v="233"/>
    <n v="46.6"/>
    <x v="4"/>
    <x v="0"/>
    <n v="4381"/>
    <s v="Dance"/>
    <x v="1"/>
  </r>
  <r>
    <x v="1989"/>
    <x v="43"/>
    <x v="0"/>
    <x v="10"/>
    <x v="1"/>
    <n v="11"/>
    <s v="Chennai"/>
    <s v="2023-03-01"/>
    <x v="40"/>
    <x v="23"/>
    <x v="27"/>
    <x v="57"/>
    <x v="64"/>
    <x v="4"/>
    <n v="390"/>
    <n v="78"/>
    <x v="1"/>
    <x v="0"/>
    <n v="3995"/>
    <s v="Art"/>
    <x v="0"/>
  </r>
  <r>
    <x v="1990"/>
    <x v="1"/>
    <x v="0"/>
    <x v="6"/>
    <x v="1"/>
    <n v="12"/>
    <s v="Coimbatore"/>
    <s v="2023-04-17"/>
    <x v="24"/>
    <x v="38"/>
    <x v="33"/>
    <x v="35"/>
    <x v="51"/>
    <x v="40"/>
    <n v="288"/>
    <n v="57.6"/>
    <x v="3"/>
    <x v="0"/>
    <n v="4324"/>
    <s v="Sports"/>
    <x v="0"/>
  </r>
  <r>
    <x v="1991"/>
    <x v="39"/>
    <x v="0"/>
    <x v="11"/>
    <x v="0"/>
    <n v="16"/>
    <s v="Mumbai"/>
    <s v="2023-07-15"/>
    <x v="26"/>
    <x v="39"/>
    <x v="6"/>
    <x v="11"/>
    <x v="3"/>
    <x v="1"/>
    <n v="316"/>
    <n v="63.2"/>
    <x v="0"/>
    <x v="0"/>
    <n v="3267"/>
    <s v="Art"/>
    <x v="0"/>
  </r>
  <r>
    <x v="1992"/>
    <x v="21"/>
    <x v="1"/>
    <x v="7"/>
    <x v="2"/>
    <n v="9"/>
    <s v="Madurai"/>
    <s v="2025-07-07"/>
    <x v="4"/>
    <x v="26"/>
    <x v="51"/>
    <x v="44"/>
    <x v="60"/>
    <x v="64"/>
    <n v="282"/>
    <n v="56.4"/>
    <x v="3"/>
    <x v="1"/>
    <n v="2789"/>
    <s v="Dance"/>
    <x v="0"/>
  </r>
  <r>
    <x v="1993"/>
    <x v="2"/>
    <x v="1"/>
    <x v="11"/>
    <x v="1"/>
    <n v="15"/>
    <s v="Mumbai"/>
    <s v="2023-12-29"/>
    <x v="33"/>
    <x v="59"/>
    <x v="4"/>
    <x v="33"/>
    <x v="10"/>
    <x v="22"/>
    <n v="390"/>
    <n v="78"/>
    <x v="1"/>
    <x v="1"/>
    <n v="3547"/>
    <s v="Art"/>
    <x v="0"/>
  </r>
  <r>
    <x v="1994"/>
    <x v="21"/>
    <x v="1"/>
    <x v="9"/>
    <x v="0"/>
    <n v="14"/>
    <s v="Chennai"/>
    <s v="2024-02-27"/>
    <x v="27"/>
    <x v="8"/>
    <x v="15"/>
    <x v="19"/>
    <x v="63"/>
    <x v="50"/>
    <n v="366"/>
    <n v="73.2"/>
    <x v="1"/>
    <x v="1"/>
    <n v="2914"/>
    <s v="Sports"/>
    <x v="0"/>
  </r>
  <r>
    <x v="1995"/>
    <x v="148"/>
    <x v="1"/>
    <x v="6"/>
    <x v="1"/>
    <n v="10"/>
    <s v="Chennai"/>
    <s v="2021-05-13"/>
    <x v="7"/>
    <x v="27"/>
    <x v="55"/>
    <x v="31"/>
    <x v="22"/>
    <x v="15"/>
    <n v="341"/>
    <n v="68.2"/>
    <x v="0"/>
    <x v="1"/>
    <n v="3909"/>
    <s v="Coding Club"/>
    <x v="0"/>
  </r>
  <r>
    <x v="1996"/>
    <x v="67"/>
    <x v="1"/>
    <x v="6"/>
    <x v="0"/>
    <n v="12"/>
    <s v="Chennai"/>
    <s v="2023-03-29"/>
    <x v="9"/>
    <x v="24"/>
    <x v="11"/>
    <x v="5"/>
    <x v="41"/>
    <x v="7"/>
    <n v="369"/>
    <n v="73.8"/>
    <x v="1"/>
    <x v="0"/>
    <n v="3571"/>
    <s v="Sports"/>
    <x v="0"/>
  </r>
  <r>
    <x v="1997"/>
    <x v="26"/>
    <x v="1"/>
    <x v="1"/>
    <x v="1"/>
    <n v="13"/>
    <s v="Pune"/>
    <s v="2021-11-27"/>
    <x v="5"/>
    <x v="37"/>
    <x v="8"/>
    <x v="4"/>
    <x v="34"/>
    <x v="20"/>
    <n v="360"/>
    <n v="72"/>
    <x v="1"/>
    <x v="0"/>
    <n v="4876"/>
    <s v="Music"/>
    <x v="0"/>
  </r>
  <r>
    <x v="1998"/>
    <x v="94"/>
    <x v="0"/>
    <x v="4"/>
    <x v="2"/>
    <n v="18"/>
    <s v="Coimbatore"/>
    <s v="2025-10-05"/>
    <x v="3"/>
    <x v="45"/>
    <x v="58"/>
    <x v="48"/>
    <x v="27"/>
    <x v="44"/>
    <n v="333"/>
    <n v="66.599999999999994"/>
    <x v="0"/>
    <x v="1"/>
    <n v="2826"/>
    <s v="Art"/>
    <x v="0"/>
  </r>
  <r>
    <x v="1999"/>
    <x v="134"/>
    <x v="1"/>
    <x v="1"/>
    <x v="1"/>
    <n v="13"/>
    <s v="Chennai"/>
    <s v="2023-01-22"/>
    <x v="10"/>
    <x v="30"/>
    <x v="28"/>
    <x v="26"/>
    <x v="38"/>
    <x v="15"/>
    <n v="336"/>
    <n v="67.2"/>
    <x v="0"/>
    <x v="1"/>
    <n v="3173"/>
    <s v="Sports"/>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67.62"/>
  </r>
  <r>
    <x v="1"/>
    <n v="67.45"/>
  </r>
  <r>
    <x v="2"/>
    <n v="67.52"/>
  </r>
  <r>
    <x v="3"/>
    <n v="67.739999999999995"/>
  </r>
  <r>
    <x v="4"/>
    <n v="67.7900000000000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5970EB-46D8-4787-85A2-435FB2AC123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8:E14" firstHeaderRow="1" firstDataRow="1" firstDataCol="1"/>
  <pivotFields count="2">
    <pivotField axis="axisRow" showAll="0">
      <items count="6">
        <item x="4"/>
        <item x="2"/>
        <item x="0"/>
        <item x="1"/>
        <item x="3"/>
        <item t="default"/>
      </items>
    </pivotField>
    <pivotField dataField="1" showAll="0"/>
  </pivotFields>
  <rowFields count="1">
    <field x="0"/>
  </rowFields>
  <rowItems count="6">
    <i>
      <x/>
    </i>
    <i>
      <x v="1"/>
    </i>
    <i>
      <x v="2"/>
    </i>
    <i>
      <x v="3"/>
    </i>
    <i>
      <x v="4"/>
    </i>
    <i t="grand">
      <x/>
    </i>
  </rowItems>
  <colItems count="1">
    <i/>
  </colItems>
  <dataFields count="1">
    <dataField name="Sum of Avg Marks" fld="1" baseField="0" baseItem="0"/>
  </dataFields>
  <chartFormats count="2">
    <chartFormat chart="5"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B6C3C6-198E-454B-9EA1-548AC9C33CC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E6" firstHeaderRow="1" firstDataRow="1" firstDataCol="1"/>
  <pivotFields count="21">
    <pivotField showAll="0"/>
    <pivotField dataField="1" showAll="0">
      <items count="151">
        <item x="136"/>
        <item x="13"/>
        <item x="10"/>
        <item x="82"/>
        <item x="122"/>
        <item x="149"/>
        <item x="19"/>
        <item x="124"/>
        <item x="7"/>
        <item x="32"/>
        <item x="4"/>
        <item x="107"/>
        <item x="87"/>
        <item x="81"/>
        <item x="51"/>
        <item x="65"/>
        <item x="43"/>
        <item x="55"/>
        <item x="123"/>
        <item x="110"/>
        <item x="8"/>
        <item x="11"/>
        <item x="88"/>
        <item x="74"/>
        <item x="99"/>
        <item x="146"/>
        <item x="58"/>
        <item x="27"/>
        <item x="14"/>
        <item x="118"/>
        <item x="89"/>
        <item x="129"/>
        <item x="9"/>
        <item x="143"/>
        <item x="44"/>
        <item x="120"/>
        <item x="86"/>
        <item x="20"/>
        <item x="47"/>
        <item x="112"/>
        <item x="95"/>
        <item x="148"/>
        <item x="106"/>
        <item x="98"/>
        <item x="12"/>
        <item x="76"/>
        <item x="100"/>
        <item x="40"/>
        <item x="92"/>
        <item x="36"/>
        <item x="111"/>
        <item x="121"/>
        <item x="33"/>
        <item x="73"/>
        <item x="2"/>
        <item x="137"/>
        <item x="117"/>
        <item x="78"/>
        <item x="72"/>
        <item x="37"/>
        <item x="109"/>
        <item x="41"/>
        <item x="64"/>
        <item x="57"/>
        <item x="38"/>
        <item x="77"/>
        <item x="125"/>
        <item x="29"/>
        <item x="101"/>
        <item x="5"/>
        <item x="15"/>
        <item x="16"/>
        <item x="35"/>
        <item x="108"/>
        <item x="6"/>
        <item x="69"/>
        <item x="63"/>
        <item x="52"/>
        <item x="42"/>
        <item x="128"/>
        <item x="62"/>
        <item x="45"/>
        <item x="103"/>
        <item x="75"/>
        <item x="68"/>
        <item x="25"/>
        <item x="48"/>
        <item x="104"/>
        <item x="79"/>
        <item x="21"/>
        <item x="113"/>
        <item x="139"/>
        <item x="85"/>
        <item x="119"/>
        <item x="80"/>
        <item x="31"/>
        <item x="30"/>
        <item x="22"/>
        <item x="0"/>
        <item x="61"/>
        <item x="140"/>
        <item x="144"/>
        <item x="94"/>
        <item x="46"/>
        <item x="141"/>
        <item x="142"/>
        <item x="50"/>
        <item x="96"/>
        <item x="127"/>
        <item x="83"/>
        <item x="91"/>
        <item x="28"/>
        <item x="147"/>
        <item x="39"/>
        <item x="134"/>
        <item x="105"/>
        <item x="23"/>
        <item x="116"/>
        <item x="18"/>
        <item x="102"/>
        <item x="114"/>
        <item x="115"/>
        <item x="60"/>
        <item x="130"/>
        <item x="54"/>
        <item x="66"/>
        <item x="1"/>
        <item x="126"/>
        <item x="135"/>
        <item x="24"/>
        <item x="71"/>
        <item x="53"/>
        <item x="49"/>
        <item x="97"/>
        <item x="93"/>
        <item x="84"/>
        <item x="133"/>
        <item x="17"/>
        <item x="59"/>
        <item x="132"/>
        <item x="67"/>
        <item x="131"/>
        <item x="26"/>
        <item x="138"/>
        <item x="34"/>
        <item x="145"/>
        <item x="3"/>
        <item x="90"/>
        <item x="70"/>
        <item x="56"/>
        <item t="default"/>
      </items>
    </pivotField>
    <pivotField axis="axisRow" showAll="0">
      <items count="3">
        <item x="0"/>
        <item x="1"/>
        <item t="default"/>
      </items>
    </pivotField>
    <pivotField showAll="0">
      <items count="13">
        <item x="3"/>
        <item x="5"/>
        <item x="8"/>
        <item x="2"/>
        <item x="7"/>
        <item x="6"/>
        <item x="10"/>
        <item x="1"/>
        <item x="9"/>
        <item x="0"/>
        <item x="11"/>
        <item x="4"/>
        <item t="default"/>
      </items>
    </pivotField>
    <pivotField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2"/>
        <item x="5"/>
        <item x="0"/>
        <item x="1"/>
        <item x="3"/>
        <item x="4"/>
        <item t="default"/>
      </items>
    </pivotField>
    <pivotField showAll="0">
      <items count="3">
        <item x="0"/>
        <item x="1"/>
        <item t="default"/>
      </items>
    </pivotField>
    <pivotField showAll="0"/>
    <pivotField showAll="0"/>
    <pivotField showAll="0">
      <items count="3">
        <item x="1"/>
        <item x="0"/>
        <item t="default"/>
      </items>
    </pivotField>
  </pivotFields>
  <rowFields count="1">
    <field x="2"/>
  </rowFields>
  <rowItems count="3">
    <i>
      <x/>
    </i>
    <i>
      <x v="1"/>
    </i>
    <i t="grand">
      <x/>
    </i>
  </rowItems>
  <colItems count="1">
    <i/>
  </colItems>
  <dataFields count="1">
    <dataField name="Count of Student_Name" fld="1" subtotal="count" baseField="0" baseItem="0"/>
  </dataFields>
  <chartFormats count="4">
    <chartFormat chart="8"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 count="1" selected="0">
            <x v="0"/>
          </reference>
        </references>
      </pivotArea>
    </chartFormat>
    <chartFormat chart="10"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AC02CA-E5F6-465B-8316-5E0560C123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3:B16" firstHeaderRow="1" firstDataRow="1" firstDataCol="1"/>
  <pivotFields count="21">
    <pivotField showAll="0"/>
    <pivotField dataField="1" showAll="0">
      <items count="151">
        <item x="136"/>
        <item x="13"/>
        <item x="10"/>
        <item x="82"/>
        <item x="122"/>
        <item x="149"/>
        <item x="19"/>
        <item x="124"/>
        <item x="7"/>
        <item x="32"/>
        <item x="4"/>
        <item x="107"/>
        <item x="87"/>
        <item x="81"/>
        <item x="51"/>
        <item x="65"/>
        <item x="43"/>
        <item x="55"/>
        <item x="123"/>
        <item x="110"/>
        <item x="8"/>
        <item x="11"/>
        <item x="88"/>
        <item x="74"/>
        <item x="99"/>
        <item x="146"/>
        <item x="58"/>
        <item x="27"/>
        <item x="14"/>
        <item x="118"/>
        <item x="89"/>
        <item x="129"/>
        <item x="9"/>
        <item x="143"/>
        <item x="44"/>
        <item x="120"/>
        <item x="86"/>
        <item x="20"/>
        <item x="47"/>
        <item x="112"/>
        <item x="95"/>
        <item x="148"/>
        <item x="106"/>
        <item x="98"/>
        <item x="12"/>
        <item x="76"/>
        <item x="100"/>
        <item x="40"/>
        <item x="92"/>
        <item x="36"/>
        <item x="111"/>
        <item x="121"/>
        <item x="33"/>
        <item x="73"/>
        <item x="2"/>
        <item x="137"/>
        <item x="117"/>
        <item x="78"/>
        <item x="72"/>
        <item x="37"/>
        <item x="109"/>
        <item x="41"/>
        <item x="64"/>
        <item x="57"/>
        <item x="38"/>
        <item x="77"/>
        <item x="125"/>
        <item x="29"/>
        <item x="101"/>
        <item x="5"/>
        <item x="15"/>
        <item x="16"/>
        <item x="35"/>
        <item x="108"/>
        <item x="6"/>
        <item x="69"/>
        <item x="63"/>
        <item x="52"/>
        <item x="42"/>
        <item x="128"/>
        <item x="62"/>
        <item x="45"/>
        <item x="103"/>
        <item x="75"/>
        <item x="68"/>
        <item x="25"/>
        <item x="48"/>
        <item x="104"/>
        <item x="79"/>
        <item x="21"/>
        <item x="113"/>
        <item x="139"/>
        <item x="85"/>
        <item x="119"/>
        <item x="80"/>
        <item x="31"/>
        <item x="30"/>
        <item x="22"/>
        <item x="0"/>
        <item x="61"/>
        <item x="140"/>
        <item x="144"/>
        <item x="94"/>
        <item x="46"/>
        <item x="141"/>
        <item x="142"/>
        <item x="50"/>
        <item x="96"/>
        <item x="127"/>
        <item x="83"/>
        <item x="91"/>
        <item x="28"/>
        <item x="147"/>
        <item x="39"/>
        <item x="134"/>
        <item x="105"/>
        <item x="23"/>
        <item x="116"/>
        <item x="18"/>
        <item x="102"/>
        <item x="114"/>
        <item x="115"/>
        <item x="60"/>
        <item x="130"/>
        <item x="54"/>
        <item x="66"/>
        <item x="1"/>
        <item x="126"/>
        <item x="135"/>
        <item x="24"/>
        <item x="71"/>
        <item x="53"/>
        <item x="49"/>
        <item x="97"/>
        <item x="93"/>
        <item x="84"/>
        <item x="133"/>
        <item x="17"/>
        <item x="59"/>
        <item x="132"/>
        <item x="67"/>
        <item x="131"/>
        <item x="26"/>
        <item x="138"/>
        <item x="34"/>
        <item x="145"/>
        <item x="3"/>
        <item x="90"/>
        <item x="70"/>
        <item x="56"/>
        <item t="default"/>
      </items>
    </pivotField>
    <pivotField showAll="0">
      <items count="3">
        <item x="0"/>
        <item x="1"/>
        <item t="default"/>
      </items>
    </pivotField>
    <pivotField axis="axisRow" showAll="0">
      <items count="13">
        <item x="3"/>
        <item x="5"/>
        <item x="8"/>
        <item x="2"/>
        <item x="7"/>
        <item x="6"/>
        <item x="10"/>
        <item x="1"/>
        <item x="9"/>
        <item x="0"/>
        <item x="11"/>
        <item x="4"/>
        <item t="default"/>
      </items>
    </pivotField>
    <pivotField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2"/>
        <item x="5"/>
        <item x="0"/>
        <item x="1"/>
        <item x="3"/>
        <item x="4"/>
        <item t="default"/>
      </items>
    </pivotField>
    <pivotField showAll="0">
      <items count="3">
        <item x="0"/>
        <item x="1"/>
        <item t="default"/>
      </items>
    </pivotField>
    <pivotField showAll="0"/>
    <pivotField showAll="0"/>
    <pivotField showAll="0">
      <items count="3">
        <item x="1"/>
        <item x="0"/>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Count of Student_Name" fld="1" subtotal="count" baseField="0" baseItem="0"/>
  </dataFields>
  <chartFormats count="2">
    <chartFormat chart="35"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F11293-4000-43C8-AB07-034D66C0822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K8:L15" firstHeaderRow="1" firstDataRow="1" firstDataCol="1"/>
  <pivotFields count="21">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151">
        <item x="136"/>
        <item x="13"/>
        <item x="10"/>
        <item x="82"/>
        <item x="122"/>
        <item x="149"/>
        <item x="19"/>
        <item x="124"/>
        <item x="7"/>
        <item x="32"/>
        <item x="4"/>
        <item x="107"/>
        <item x="87"/>
        <item x="81"/>
        <item x="51"/>
        <item x="65"/>
        <item x="43"/>
        <item x="55"/>
        <item x="123"/>
        <item x="110"/>
        <item x="8"/>
        <item x="11"/>
        <item x="88"/>
        <item x="74"/>
        <item x="99"/>
        <item x="146"/>
        <item x="58"/>
        <item x="27"/>
        <item x="14"/>
        <item x="118"/>
        <item x="89"/>
        <item x="129"/>
        <item x="9"/>
        <item x="143"/>
        <item x="44"/>
        <item x="120"/>
        <item x="86"/>
        <item x="20"/>
        <item x="47"/>
        <item x="112"/>
        <item x="95"/>
        <item x="148"/>
        <item x="106"/>
        <item x="98"/>
        <item x="12"/>
        <item x="76"/>
        <item x="100"/>
        <item x="40"/>
        <item x="92"/>
        <item x="36"/>
        <item x="111"/>
        <item x="121"/>
        <item x="33"/>
        <item x="73"/>
        <item x="2"/>
        <item x="137"/>
        <item x="117"/>
        <item x="78"/>
        <item x="72"/>
        <item x="37"/>
        <item x="109"/>
        <item x="41"/>
        <item x="64"/>
        <item x="57"/>
        <item x="38"/>
        <item x="77"/>
        <item x="125"/>
        <item x="29"/>
        <item x="101"/>
        <item x="5"/>
        <item x="15"/>
        <item x="16"/>
        <item x="35"/>
        <item x="108"/>
        <item x="6"/>
        <item x="69"/>
        <item x="63"/>
        <item x="52"/>
        <item x="42"/>
        <item x="128"/>
        <item x="62"/>
        <item x="45"/>
        <item x="103"/>
        <item x="75"/>
        <item x="68"/>
        <item x="25"/>
        <item x="48"/>
        <item x="104"/>
        <item x="79"/>
        <item x="21"/>
        <item x="113"/>
        <item x="139"/>
        <item x="85"/>
        <item x="119"/>
        <item x="80"/>
        <item x="31"/>
        <item x="30"/>
        <item x="22"/>
        <item x="0"/>
        <item x="61"/>
        <item x="140"/>
        <item x="144"/>
        <item x="94"/>
        <item x="46"/>
        <item x="141"/>
        <item x="142"/>
        <item x="50"/>
        <item x="96"/>
        <item x="127"/>
        <item x="83"/>
        <item x="91"/>
        <item x="28"/>
        <item x="147"/>
        <item x="39"/>
        <item x="134"/>
        <item x="105"/>
        <item x="23"/>
        <item x="116"/>
        <item x="18"/>
        <item x="102"/>
        <item x="114"/>
        <item x="115"/>
        <item x="60"/>
        <item x="130"/>
        <item x="54"/>
        <item x="66"/>
        <item x="1"/>
        <item x="126"/>
        <item x="135"/>
        <item x="24"/>
        <item x="71"/>
        <item x="53"/>
        <item x="49"/>
        <item x="97"/>
        <item x="93"/>
        <item x="84"/>
        <item x="133"/>
        <item x="17"/>
        <item x="59"/>
        <item x="132"/>
        <item x="67"/>
        <item x="131"/>
        <item x="26"/>
        <item x="138"/>
        <item x="34"/>
        <item x="145"/>
        <item x="3"/>
        <item x="90"/>
        <item x="70"/>
        <item x="56"/>
        <item t="default"/>
      </items>
    </pivotField>
    <pivotField showAll="0">
      <items count="3">
        <item x="0"/>
        <item x="1"/>
        <item t="default"/>
      </items>
    </pivotField>
    <pivotField showAll="0">
      <items count="13">
        <item x="3"/>
        <item x="5"/>
        <item x="8"/>
        <item x="2"/>
        <item x="7"/>
        <item x="6"/>
        <item x="10"/>
        <item x="1"/>
        <item x="9"/>
        <item x="0"/>
        <item x="11"/>
        <item x="4"/>
        <item t="default"/>
      </items>
    </pivotField>
    <pivotField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7">
        <item x="2"/>
        <item x="5"/>
        <item x="0"/>
        <item x="1"/>
        <item x="3"/>
        <item x="4"/>
        <item t="default"/>
      </items>
    </pivotField>
    <pivotField showAll="0">
      <items count="3">
        <item x="0"/>
        <item x="1"/>
        <item t="default"/>
      </items>
    </pivotField>
    <pivotField showAll="0"/>
    <pivotField showAll="0"/>
    <pivotField showAll="0">
      <items count="3">
        <item x="1"/>
        <item x="0"/>
        <item t="default"/>
      </items>
    </pivotField>
  </pivotFields>
  <rowFields count="1">
    <field x="16"/>
  </rowFields>
  <rowItems count="7">
    <i>
      <x/>
    </i>
    <i>
      <x v="1"/>
    </i>
    <i>
      <x v="2"/>
    </i>
    <i>
      <x v="3"/>
    </i>
    <i>
      <x v="4"/>
    </i>
    <i>
      <x v="5"/>
    </i>
    <i t="grand">
      <x/>
    </i>
  </rowItems>
  <colItems count="1">
    <i/>
  </colItems>
  <dataFields count="1">
    <dataField name="Count of Student_ID" fld="0" subtotal="count" baseField="0" baseItem="0"/>
  </dataFields>
  <chartFormats count="2">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1931C0-968B-4253-981E-ECA4DCAB569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K3:L6" firstHeaderRow="1" firstDataRow="1" firstDataCol="1"/>
  <pivotFields count="21">
    <pivotField dataField="1" showAll="0"/>
    <pivotField showAll="0">
      <items count="151">
        <item x="136"/>
        <item x="13"/>
        <item x="10"/>
        <item x="82"/>
        <item x="122"/>
        <item x="149"/>
        <item x="19"/>
        <item x="124"/>
        <item x="7"/>
        <item x="32"/>
        <item x="4"/>
        <item x="107"/>
        <item x="87"/>
        <item x="81"/>
        <item x="51"/>
        <item x="65"/>
        <item x="43"/>
        <item x="55"/>
        <item x="123"/>
        <item x="110"/>
        <item x="8"/>
        <item x="11"/>
        <item x="88"/>
        <item x="74"/>
        <item x="99"/>
        <item x="146"/>
        <item x="58"/>
        <item x="27"/>
        <item x="14"/>
        <item x="118"/>
        <item x="89"/>
        <item x="129"/>
        <item x="9"/>
        <item x="143"/>
        <item x="44"/>
        <item x="120"/>
        <item x="86"/>
        <item x="20"/>
        <item x="47"/>
        <item x="112"/>
        <item x="95"/>
        <item x="148"/>
        <item x="106"/>
        <item x="98"/>
        <item x="12"/>
        <item x="76"/>
        <item x="100"/>
        <item x="40"/>
        <item x="92"/>
        <item x="36"/>
        <item x="111"/>
        <item x="121"/>
        <item x="33"/>
        <item x="73"/>
        <item x="2"/>
        <item x="137"/>
        <item x="117"/>
        <item x="78"/>
        <item x="72"/>
        <item x="37"/>
        <item x="109"/>
        <item x="41"/>
        <item x="64"/>
        <item x="57"/>
        <item x="38"/>
        <item x="77"/>
        <item x="125"/>
        <item x="29"/>
        <item x="101"/>
        <item x="5"/>
        <item x="15"/>
        <item x="16"/>
        <item x="35"/>
        <item x="108"/>
        <item x="6"/>
        <item x="69"/>
        <item x="63"/>
        <item x="52"/>
        <item x="42"/>
        <item x="128"/>
        <item x="62"/>
        <item x="45"/>
        <item x="103"/>
        <item x="75"/>
        <item x="68"/>
        <item x="25"/>
        <item x="48"/>
        <item x="104"/>
        <item x="79"/>
        <item x="21"/>
        <item x="113"/>
        <item x="139"/>
        <item x="85"/>
        <item x="119"/>
        <item x="80"/>
        <item x="31"/>
        <item x="30"/>
        <item x="22"/>
        <item x="0"/>
        <item x="61"/>
        <item x="140"/>
        <item x="144"/>
        <item x="94"/>
        <item x="46"/>
        <item x="141"/>
        <item x="142"/>
        <item x="50"/>
        <item x="96"/>
        <item x="127"/>
        <item x="83"/>
        <item x="91"/>
        <item x="28"/>
        <item x="147"/>
        <item x="39"/>
        <item x="134"/>
        <item x="105"/>
        <item x="23"/>
        <item x="116"/>
        <item x="18"/>
        <item x="102"/>
        <item x="114"/>
        <item x="115"/>
        <item x="60"/>
        <item x="130"/>
        <item x="54"/>
        <item x="66"/>
        <item x="1"/>
        <item x="126"/>
        <item x="135"/>
        <item x="24"/>
        <item x="71"/>
        <item x="53"/>
        <item x="49"/>
        <item x="97"/>
        <item x="93"/>
        <item x="84"/>
        <item x="133"/>
        <item x="17"/>
        <item x="59"/>
        <item x="132"/>
        <item x="67"/>
        <item x="131"/>
        <item x="26"/>
        <item x="138"/>
        <item x="34"/>
        <item x="145"/>
        <item x="3"/>
        <item x="90"/>
        <item x="70"/>
        <item x="56"/>
        <item t="default"/>
      </items>
    </pivotField>
    <pivotField showAll="0">
      <items count="3">
        <item x="0"/>
        <item x="1"/>
        <item t="default"/>
      </items>
    </pivotField>
    <pivotField showAll="0">
      <items count="13">
        <item x="3"/>
        <item x="5"/>
        <item x="8"/>
        <item x="2"/>
        <item x="7"/>
        <item x="6"/>
        <item x="10"/>
        <item x="1"/>
        <item x="9"/>
        <item x="0"/>
        <item x="11"/>
        <item x="4"/>
        <item t="default"/>
      </items>
    </pivotField>
    <pivotField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2"/>
        <item x="5"/>
        <item x="0"/>
        <item x="1"/>
        <item x="3"/>
        <item x="4"/>
        <item t="default"/>
      </items>
    </pivotField>
    <pivotField axis="axisRow" showAll="0">
      <items count="3">
        <item x="0"/>
        <item x="1"/>
        <item t="default"/>
      </items>
    </pivotField>
    <pivotField showAll="0"/>
    <pivotField showAll="0"/>
    <pivotField showAll="0">
      <items count="3">
        <item x="1"/>
        <item x="0"/>
        <item t="default"/>
      </items>
    </pivotField>
  </pivotFields>
  <rowFields count="1">
    <field x="17"/>
  </rowFields>
  <rowItems count="3">
    <i>
      <x/>
    </i>
    <i>
      <x v="1"/>
    </i>
    <i t="grand">
      <x/>
    </i>
  </rowItems>
  <colItems count="1">
    <i/>
  </colItems>
  <dataFields count="1">
    <dataField name="Count of Student_ID" fld="0" subtotal="count" baseField="0" baseItem="0"/>
  </dataFields>
  <chartFormats count="6">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7" count="1" selected="0">
            <x v="0"/>
          </reference>
        </references>
      </pivotArea>
    </chartFormat>
    <chartFormat chart="12" format="2">
      <pivotArea type="data" outline="0" fieldPosition="0">
        <references count="2">
          <reference field="4294967294" count="1" selected="0">
            <x v="0"/>
          </reference>
          <reference field="17" count="1" selected="0">
            <x v="1"/>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7" count="1" selected="0">
            <x v="0"/>
          </reference>
        </references>
      </pivotArea>
    </chartFormat>
    <chartFormat chart="18" format="8">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5C38EF-5E6C-4A8B-A175-7227059E31A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G3:H16" firstHeaderRow="1" firstDataRow="1" firstDataCol="1"/>
  <pivotFields count="21">
    <pivotField showAll="0"/>
    <pivotField showAll="0">
      <items count="151">
        <item x="136"/>
        <item x="13"/>
        <item x="10"/>
        <item x="82"/>
        <item x="122"/>
        <item x="149"/>
        <item x="19"/>
        <item x="124"/>
        <item x="7"/>
        <item x="32"/>
        <item x="4"/>
        <item x="107"/>
        <item x="87"/>
        <item x="81"/>
        <item x="51"/>
        <item x="65"/>
        <item x="43"/>
        <item x="55"/>
        <item x="123"/>
        <item x="110"/>
        <item x="8"/>
        <item x="11"/>
        <item x="88"/>
        <item x="74"/>
        <item x="99"/>
        <item x="146"/>
        <item x="58"/>
        <item x="27"/>
        <item x="14"/>
        <item x="118"/>
        <item x="89"/>
        <item x="129"/>
        <item x="9"/>
        <item x="143"/>
        <item x="44"/>
        <item x="120"/>
        <item x="86"/>
        <item x="20"/>
        <item x="47"/>
        <item x="112"/>
        <item x="95"/>
        <item x="148"/>
        <item x="106"/>
        <item x="98"/>
        <item x="12"/>
        <item x="76"/>
        <item x="100"/>
        <item x="40"/>
        <item x="92"/>
        <item x="36"/>
        <item x="111"/>
        <item x="121"/>
        <item x="33"/>
        <item x="73"/>
        <item x="2"/>
        <item x="137"/>
        <item x="117"/>
        <item x="78"/>
        <item x="72"/>
        <item x="37"/>
        <item x="109"/>
        <item x="41"/>
        <item x="64"/>
        <item x="57"/>
        <item x="38"/>
        <item x="77"/>
        <item x="125"/>
        <item x="29"/>
        <item x="101"/>
        <item x="5"/>
        <item x="15"/>
        <item x="16"/>
        <item x="35"/>
        <item x="108"/>
        <item x="6"/>
        <item x="69"/>
        <item x="63"/>
        <item x="52"/>
        <item x="42"/>
        <item x="128"/>
        <item x="62"/>
        <item x="45"/>
        <item x="103"/>
        <item x="75"/>
        <item x="68"/>
        <item x="25"/>
        <item x="48"/>
        <item x="104"/>
        <item x="79"/>
        <item x="21"/>
        <item x="113"/>
        <item x="139"/>
        <item x="85"/>
        <item x="119"/>
        <item x="80"/>
        <item x="31"/>
        <item x="30"/>
        <item x="22"/>
        <item x="0"/>
        <item x="61"/>
        <item x="140"/>
        <item x="144"/>
        <item x="94"/>
        <item x="46"/>
        <item x="141"/>
        <item x="142"/>
        <item x="50"/>
        <item x="96"/>
        <item x="127"/>
        <item x="83"/>
        <item x="91"/>
        <item x="28"/>
        <item x="147"/>
        <item x="39"/>
        <item x="134"/>
        <item x="105"/>
        <item x="23"/>
        <item x="116"/>
        <item x="18"/>
        <item x="102"/>
        <item x="114"/>
        <item x="115"/>
        <item x="60"/>
        <item x="130"/>
        <item x="54"/>
        <item x="66"/>
        <item x="1"/>
        <item x="126"/>
        <item x="135"/>
        <item x="24"/>
        <item x="71"/>
        <item x="53"/>
        <item x="49"/>
        <item x="97"/>
        <item x="93"/>
        <item x="84"/>
        <item x="133"/>
        <item x="17"/>
        <item x="59"/>
        <item x="132"/>
        <item x="67"/>
        <item x="131"/>
        <item x="26"/>
        <item x="138"/>
        <item x="34"/>
        <item x="145"/>
        <item x="3"/>
        <item x="90"/>
        <item x="70"/>
        <item x="56"/>
        <item t="default"/>
      </items>
    </pivotField>
    <pivotField showAll="0">
      <items count="3">
        <item x="0"/>
        <item x="1"/>
        <item t="default"/>
      </items>
    </pivotField>
    <pivotField axis="axisRow" showAll="0">
      <items count="13">
        <item x="3"/>
        <item x="5"/>
        <item x="8"/>
        <item x="2"/>
        <item x="7"/>
        <item x="6"/>
        <item x="10"/>
        <item x="1"/>
        <item x="9"/>
        <item x="0"/>
        <item x="11"/>
        <item x="4"/>
        <item t="default"/>
      </items>
    </pivotField>
    <pivotField showAll="0">
      <items count="5">
        <item x="3"/>
        <item x="2"/>
        <item x="1"/>
        <item x="0"/>
        <item t="default"/>
      </items>
    </pivotField>
    <pivotField showAll="0"/>
    <pivotField showAll="0"/>
    <pivotField showAll="0"/>
    <pivotField dataField="1" showAll="0">
      <items count="42">
        <item x="22"/>
        <item x="31"/>
        <item x="7"/>
        <item x="9"/>
        <item x="8"/>
        <item x="12"/>
        <item x="25"/>
        <item x="3"/>
        <item x="18"/>
        <item x="14"/>
        <item x="0"/>
        <item x="10"/>
        <item x="32"/>
        <item x="35"/>
        <item x="15"/>
        <item x="1"/>
        <item x="13"/>
        <item x="4"/>
        <item x="20"/>
        <item x="2"/>
        <item x="26"/>
        <item x="29"/>
        <item x="28"/>
        <item x="11"/>
        <item x="37"/>
        <item x="24"/>
        <item x="34"/>
        <item x="40"/>
        <item x="5"/>
        <item x="38"/>
        <item x="19"/>
        <item x="30"/>
        <item x="23"/>
        <item x="21"/>
        <item x="16"/>
        <item x="6"/>
        <item x="27"/>
        <item x="39"/>
        <item x="17"/>
        <item x="33"/>
        <item x="36"/>
        <item t="default"/>
      </items>
    </pivotField>
    <pivotField showAll="0"/>
    <pivotField showAll="0"/>
    <pivotField showAll="0"/>
    <pivotField showAll="0"/>
    <pivotField showAll="0"/>
    <pivotField showAll="0"/>
    <pivotField showAll="0"/>
    <pivotField showAll="0">
      <items count="7">
        <item x="2"/>
        <item x="5"/>
        <item x="0"/>
        <item x="1"/>
        <item x="3"/>
        <item x="4"/>
        <item t="default"/>
      </items>
    </pivotField>
    <pivotField showAll="0">
      <items count="3">
        <item x="0"/>
        <item x="1"/>
        <item t="default"/>
      </items>
    </pivotField>
    <pivotField showAll="0"/>
    <pivotField showAll="0"/>
    <pivotField showAll="0">
      <items count="3">
        <item x="1"/>
        <item x="0"/>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Avg Attendance_%" fld="8" subtotal="average" baseField="3" baseItem="0" numFmtId="2"/>
  </dataFields>
  <chartFormats count="3">
    <chartFormat chart="34"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0BF2C6BD-24A1-446D-AF8E-E27C41C7E908}" sourceName="Class">
  <pivotTables>
    <pivotTable tabId="3" name="PivotTable1"/>
    <pivotTable tabId="3" name="PivotTable3"/>
    <pivotTable tabId="3" name="PivotTable7"/>
    <pivotTable tabId="3" name="PivotTable8"/>
    <pivotTable tabId="3" name="PivotTable9"/>
  </pivotTables>
  <data>
    <tabular pivotCacheId="1888836484">
      <items count="12">
        <i x="3" s="1"/>
        <i x="5" s="1"/>
        <i x="8" s="1"/>
        <i x="2" s="1"/>
        <i x="7" s="1"/>
        <i x="6" s="1"/>
        <i x="10" s="1"/>
        <i x="1" s="1"/>
        <i x="9" s="1"/>
        <i x="0" s="1"/>
        <i x="1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ion" xr10:uid="{1438AA01-CC9C-4A67-9AB5-C8ACF20A3D44}" sourceName="Section">
  <pivotTables>
    <pivotTable tabId="3" name="PivotTable1"/>
    <pivotTable tabId="3" name="PivotTable3"/>
    <pivotTable tabId="3" name="PivotTable7"/>
    <pivotTable tabId="3" name="PivotTable8"/>
    <pivotTable tabId="3" name="PivotTable9"/>
  </pivotTables>
  <data>
    <tabular pivotCacheId="1888836484">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DE3BEE4-7978-4EB0-AF1C-67C267D4893E}" sourceName="Gender">
  <pivotTables>
    <pivotTable tabId="3" name="PivotTable1"/>
    <pivotTable tabId="3" name="PivotTable3"/>
    <pivotTable tabId="3" name="PivotTable7"/>
    <pivotTable tabId="3" name="PivotTable8"/>
    <pivotTable tabId="3" name="PivotTable9"/>
  </pivotTables>
  <data>
    <tabular pivotCacheId="188883648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1E469A12-E938-4875-8104-8B6866827BA0}" sourceName="Grade">
  <pivotTables>
    <pivotTable tabId="3" name="PivotTable1"/>
    <pivotTable tabId="3" name="PivotTable3"/>
    <pivotTable tabId="3" name="PivotTable7"/>
    <pivotTable tabId="3" name="PivotTable8"/>
    <pivotTable tabId="3" name="PivotTable9"/>
  </pivotTables>
  <data>
    <tabular pivotCacheId="1888836484">
      <items count="6">
        <i x="2" s="1"/>
        <i x="5" s="1"/>
        <i x="0" s="1"/>
        <i x="1"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e_Status" xr10:uid="{35404A51-8212-459C-8B30-9EAF45553E98}" sourceName="Fee_Status">
  <pivotTables>
    <pivotTable tabId="3" name="PivotTable1"/>
    <pivotTable tabId="3" name="PivotTable3"/>
    <pivotTable tabId="3" name="PivotTable7"/>
    <pivotTable tabId="3" name="PivotTable8"/>
    <pivotTable tabId="3" name="PivotTable9"/>
  </pivotTables>
  <data>
    <tabular pivotCacheId="1888836484">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ss_Fail" xr10:uid="{5BFB2774-5E4E-48E6-B7ED-DB7C39662369}" sourceName="Pass/Fail">
  <pivotTables>
    <pivotTable tabId="3" name="PivotTable1"/>
    <pivotTable tabId="3" name="PivotTable3"/>
    <pivotTable tabId="3" name="PivotTable7"/>
    <pivotTable tabId="3" name="PivotTable8"/>
    <pivotTable tabId="3" name="PivotTable9"/>
  </pivotTables>
  <data>
    <tabular pivotCacheId="188883648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xr10:uid="{67F07391-C3F5-49E8-BADA-865301E3478E}" cache="Slicer_Class" caption="Class" style="SlicerStyleOther1" rowHeight="234950"/>
  <slicer name="Section" xr10:uid="{A56B27C8-2AF4-43F1-81FE-4521281BE3AE}" cache="Slicer_Section" caption="Section" style="SlicerStyleOther1" rowHeight="234950"/>
  <slicer name="Gender" xr10:uid="{C5BC69B9-BC24-4965-9E97-EB92C09397E5}" cache="Slicer_Gender" caption="Gender" style="SlicerStyleOther1" rowHeight="234950"/>
  <slicer name="Grade" xr10:uid="{10E375F2-A7DA-456A-B868-0C006B141227}" cache="Slicer_Grade" caption="Grade" style="SlicerStyleOther1" rowHeight="234950"/>
  <slicer name="Fee_Status" xr10:uid="{B7D72B91-C61D-47CE-9894-901A520F59F8}" cache="Slicer_Fee_Status" caption="Fee_Status" style="SlicerStyleOther1" rowHeight="234950"/>
  <slicer name="Pass/Fail" xr10:uid="{C42FC740-8F25-4B98-BBDD-0534FE361DE7}" cache="Slicer_Pass_Fail" caption="Pass/Fail"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1" xr10:uid="{131F08FD-2EE4-46DB-B669-111E94C0A907}" cache="Slicer_Class" caption="Class" style="Slicer Style 1" rowHeight="234950"/>
  <slicer name="Section 1" xr10:uid="{D28F7B03-543B-4148-9280-34C126690F43}" cache="Slicer_Section" caption="Section" style="Slicer Style 1" rowHeight="234950"/>
  <slicer name="Gender 1" xr10:uid="{039D5796-2BF6-4743-9763-5CDF3121096E}" cache="Slicer_Gender" caption="Gender" style="Slicer Style 1" rowHeight="234950"/>
  <slicer name="Grade 1" xr10:uid="{E72375A0-D92E-4761-8360-B08237C51517}" cache="Slicer_Grade" caption="Grade" style="Slicer Style 1" rowHeight="234950"/>
  <slicer name="Fee_Status 1" xr10:uid="{FE7E5721-AB13-49E0-96E3-115CE016831E}" cache="Slicer_Fee_Status" caption="Fee Status" style="Slicer Style 1" rowHeight="234950"/>
  <slicer name="Pass/Fail 1" xr10:uid="{AE457551-176B-4276-92E5-3CD30853519D}" cache="Slicer_Pass_Fail" caption="Pass/Fail"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jpeg"/><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001"/>
  <sheetViews>
    <sheetView topLeftCell="B1" zoomScale="67" workbookViewId="0">
      <selection activeCell="X6" sqref="X6"/>
    </sheetView>
  </sheetViews>
  <sheetFormatPr defaultRowHeight="14.4"/>
  <cols>
    <col min="28" max="28" width="16.21875" customWidth="1"/>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3391</v>
      </c>
    </row>
    <row r="2" spans="1:28">
      <c r="A2" t="s">
        <v>20</v>
      </c>
      <c r="B2" t="s">
        <v>21</v>
      </c>
      <c r="C2" t="s">
        <v>22</v>
      </c>
      <c r="D2">
        <v>10</v>
      </c>
      <c r="E2" t="s">
        <v>23</v>
      </c>
      <c r="F2">
        <v>15</v>
      </c>
      <c r="G2" t="s">
        <v>24</v>
      </c>
      <c r="H2" t="s">
        <v>25</v>
      </c>
      <c r="I2">
        <v>70</v>
      </c>
      <c r="J2">
        <v>50</v>
      </c>
      <c r="K2">
        <v>81</v>
      </c>
      <c r="L2">
        <v>56</v>
      </c>
      <c r="M2">
        <v>43</v>
      </c>
      <c r="N2">
        <v>84</v>
      </c>
      <c r="O2">
        <v>314</v>
      </c>
      <c r="P2">
        <v>62.8</v>
      </c>
      <c r="Q2" t="s">
        <v>26</v>
      </c>
      <c r="R2" t="s">
        <v>27</v>
      </c>
      <c r="S2">
        <v>4516</v>
      </c>
      <c r="T2" t="s">
        <v>28</v>
      </c>
      <c r="U2" t="str">
        <f>IF(P2&gt;55,"Pass","Fail")</f>
        <v>Pass</v>
      </c>
    </row>
    <row r="3" spans="1:28">
      <c r="A3" t="s">
        <v>29</v>
      </c>
      <c r="B3" t="s">
        <v>30</v>
      </c>
      <c r="C3" t="s">
        <v>22</v>
      </c>
      <c r="D3">
        <v>10</v>
      </c>
      <c r="E3" t="s">
        <v>31</v>
      </c>
      <c r="F3">
        <v>16</v>
      </c>
      <c r="G3" t="s">
        <v>32</v>
      </c>
      <c r="H3" t="s">
        <v>33</v>
      </c>
      <c r="I3">
        <v>75</v>
      </c>
      <c r="J3">
        <v>73</v>
      </c>
      <c r="K3">
        <v>64</v>
      </c>
      <c r="L3">
        <v>40</v>
      </c>
      <c r="M3">
        <v>89</v>
      </c>
      <c r="N3">
        <v>68</v>
      </c>
      <c r="O3">
        <v>334</v>
      </c>
      <c r="P3">
        <v>66.8</v>
      </c>
      <c r="Q3" t="s">
        <v>26</v>
      </c>
      <c r="R3" t="s">
        <v>27</v>
      </c>
      <c r="S3">
        <v>2700</v>
      </c>
      <c r="T3" t="s">
        <v>34</v>
      </c>
      <c r="U3" t="str">
        <f t="shared" ref="U3:U66" si="0">IF(P3&gt;55,"Pass","Fail")</f>
        <v>Pass</v>
      </c>
      <c r="W3" t="s">
        <v>3387</v>
      </c>
      <c r="X3">
        <f>COUNTA(A:A)-1</f>
        <v>2000</v>
      </c>
      <c r="AA3" s="6" t="s">
        <v>3399</v>
      </c>
      <c r="AB3" s="2" t="s">
        <v>3400</v>
      </c>
    </row>
    <row r="4" spans="1:28">
      <c r="A4" t="s">
        <v>35</v>
      </c>
      <c r="B4" t="s">
        <v>36</v>
      </c>
      <c r="C4" t="s">
        <v>37</v>
      </c>
      <c r="D4">
        <v>8</v>
      </c>
      <c r="E4" t="s">
        <v>23</v>
      </c>
      <c r="F4">
        <v>14</v>
      </c>
      <c r="G4" t="s">
        <v>38</v>
      </c>
      <c r="H4" t="s">
        <v>39</v>
      </c>
      <c r="I4">
        <v>79</v>
      </c>
      <c r="J4">
        <v>90</v>
      </c>
      <c r="K4">
        <v>62</v>
      </c>
      <c r="L4">
        <v>35</v>
      </c>
      <c r="M4">
        <v>85</v>
      </c>
      <c r="N4">
        <v>78</v>
      </c>
      <c r="O4">
        <v>350</v>
      </c>
      <c r="P4">
        <v>70</v>
      </c>
      <c r="Q4" t="s">
        <v>40</v>
      </c>
      <c r="R4" t="s">
        <v>41</v>
      </c>
      <c r="S4">
        <v>3379</v>
      </c>
      <c r="T4" t="s">
        <v>42</v>
      </c>
      <c r="U4" t="str">
        <f t="shared" si="0"/>
        <v>Pass</v>
      </c>
      <c r="W4" t="s">
        <v>3388</v>
      </c>
      <c r="X4" s="12">
        <f>ROUND(AVERAGEA(I2:I1048576),2)</f>
        <v>79.89</v>
      </c>
      <c r="AA4" t="s">
        <v>3401</v>
      </c>
      <c r="AB4" s="7">
        <f>ROUND(AVERAGE(J2:J1048576),2)</f>
        <v>67.62</v>
      </c>
    </row>
    <row r="5" spans="1:28">
      <c r="A5" t="s">
        <v>43</v>
      </c>
      <c r="B5" t="s">
        <v>44</v>
      </c>
      <c r="C5" t="s">
        <v>37</v>
      </c>
      <c r="D5">
        <v>4</v>
      </c>
      <c r="E5" t="s">
        <v>26</v>
      </c>
      <c r="F5">
        <v>8</v>
      </c>
      <c r="G5" t="s">
        <v>45</v>
      </c>
      <c r="H5" t="s">
        <v>46</v>
      </c>
      <c r="I5">
        <v>67</v>
      </c>
      <c r="J5">
        <v>97</v>
      </c>
      <c r="K5">
        <v>94</v>
      </c>
      <c r="L5">
        <v>98</v>
      </c>
      <c r="M5">
        <v>78</v>
      </c>
      <c r="N5">
        <v>67</v>
      </c>
      <c r="O5">
        <v>434</v>
      </c>
      <c r="P5">
        <v>86.8</v>
      </c>
      <c r="Q5" t="s">
        <v>47</v>
      </c>
      <c r="R5" t="s">
        <v>27</v>
      </c>
      <c r="S5">
        <v>1659</v>
      </c>
      <c r="T5" t="s">
        <v>48</v>
      </c>
      <c r="U5" t="str">
        <f t="shared" si="0"/>
        <v>Pass</v>
      </c>
      <c r="W5" t="s">
        <v>3389</v>
      </c>
      <c r="X5">
        <f>ROUND(AVERAGE(O2:O1048576)/5,2)</f>
        <v>67.62</v>
      </c>
      <c r="AA5" t="s">
        <v>3402</v>
      </c>
      <c r="AB5" s="8">
        <f>ROUND(AVERAGE(K2:K1048576),2)</f>
        <v>67.45</v>
      </c>
    </row>
    <row r="6" spans="1:28">
      <c r="A6" t="s">
        <v>49</v>
      </c>
      <c r="B6" t="s">
        <v>50</v>
      </c>
      <c r="C6" t="s">
        <v>22</v>
      </c>
      <c r="D6">
        <v>1</v>
      </c>
      <c r="E6" t="s">
        <v>31</v>
      </c>
      <c r="F6">
        <v>6</v>
      </c>
      <c r="G6" t="s">
        <v>32</v>
      </c>
      <c r="H6" t="s">
        <v>51</v>
      </c>
      <c r="I6">
        <v>77</v>
      </c>
      <c r="J6">
        <v>96</v>
      </c>
      <c r="K6">
        <v>91</v>
      </c>
      <c r="L6">
        <v>92</v>
      </c>
      <c r="M6">
        <v>47</v>
      </c>
      <c r="N6">
        <v>96</v>
      </c>
      <c r="O6">
        <v>422</v>
      </c>
      <c r="P6">
        <v>84.4</v>
      </c>
      <c r="Q6" t="s">
        <v>47</v>
      </c>
      <c r="R6" t="s">
        <v>27</v>
      </c>
      <c r="S6">
        <v>1980</v>
      </c>
      <c r="T6" t="s">
        <v>28</v>
      </c>
      <c r="U6" t="str">
        <f t="shared" si="0"/>
        <v>Pass</v>
      </c>
      <c r="W6" t="s">
        <v>3390</v>
      </c>
      <c r="X6" s="11">
        <f>COUNTIF(U2:U1048576,"Pass")/COUNTA(U2:U1048576)*100</f>
        <v>92.100000000000009</v>
      </c>
      <c r="AA6" t="s">
        <v>3403</v>
      </c>
      <c r="AB6" s="8">
        <f>ROUND(AVERAGE(L2:L1048576),2)</f>
        <v>67.52</v>
      </c>
    </row>
    <row r="7" spans="1:28">
      <c r="A7" t="s">
        <v>52</v>
      </c>
      <c r="B7" t="s">
        <v>53</v>
      </c>
      <c r="C7" t="s">
        <v>22</v>
      </c>
      <c r="D7">
        <v>12</v>
      </c>
      <c r="E7" t="s">
        <v>47</v>
      </c>
      <c r="F7">
        <v>18</v>
      </c>
      <c r="G7" t="s">
        <v>54</v>
      </c>
      <c r="H7" t="s">
        <v>55</v>
      </c>
      <c r="I7">
        <v>88</v>
      </c>
      <c r="J7">
        <v>50</v>
      </c>
      <c r="K7">
        <v>68</v>
      </c>
      <c r="L7">
        <v>51</v>
      </c>
      <c r="M7">
        <v>67</v>
      </c>
      <c r="N7">
        <v>63</v>
      </c>
      <c r="O7">
        <v>299</v>
      </c>
      <c r="P7">
        <v>59.8</v>
      </c>
      <c r="Q7" t="s">
        <v>31</v>
      </c>
      <c r="R7" t="s">
        <v>41</v>
      </c>
      <c r="S7">
        <v>4450</v>
      </c>
      <c r="T7" t="s">
        <v>28</v>
      </c>
      <c r="U7" t="str">
        <f t="shared" si="0"/>
        <v>Pass</v>
      </c>
      <c r="W7" t="s">
        <v>3392</v>
      </c>
      <c r="X7" s="10">
        <f>SUMIF(R2:R1048576,"Paid",S2:S1048576)</f>
        <v>3314599</v>
      </c>
      <c r="AA7" t="s">
        <v>3404</v>
      </c>
      <c r="AB7" s="8">
        <f>ROUND(AVERAGE(M2:M1048576),2)</f>
        <v>67.739999999999995</v>
      </c>
    </row>
    <row r="8" spans="1:28">
      <c r="A8" t="s">
        <v>56</v>
      </c>
      <c r="B8" t="s">
        <v>57</v>
      </c>
      <c r="C8" t="s">
        <v>22</v>
      </c>
      <c r="D8">
        <v>2</v>
      </c>
      <c r="E8" t="s">
        <v>47</v>
      </c>
      <c r="F8">
        <v>8</v>
      </c>
      <c r="G8" t="s">
        <v>58</v>
      </c>
      <c r="H8" t="s">
        <v>59</v>
      </c>
      <c r="I8">
        <v>95</v>
      </c>
      <c r="J8">
        <v>72</v>
      </c>
      <c r="K8">
        <v>61</v>
      </c>
      <c r="L8">
        <v>81</v>
      </c>
      <c r="M8">
        <v>88</v>
      </c>
      <c r="N8">
        <v>83</v>
      </c>
      <c r="O8">
        <v>385</v>
      </c>
      <c r="P8">
        <v>77</v>
      </c>
      <c r="Q8" t="s">
        <v>40</v>
      </c>
      <c r="R8" t="s">
        <v>41</v>
      </c>
      <c r="S8">
        <v>4007</v>
      </c>
      <c r="T8" t="s">
        <v>28</v>
      </c>
      <c r="U8" t="str">
        <f t="shared" si="0"/>
        <v>Pass</v>
      </c>
      <c r="W8" t="s">
        <v>3393</v>
      </c>
      <c r="X8">
        <f>SUMIF(R2:R1048576,"Pending",S2:S1048576)</f>
        <v>3219607</v>
      </c>
      <c r="AA8" t="s">
        <v>3405</v>
      </c>
      <c r="AB8" s="8">
        <f>ROUND(AVERAGE(N2:N1048576),2)</f>
        <v>67.790000000000006</v>
      </c>
    </row>
    <row r="9" spans="1:28">
      <c r="A9" t="s">
        <v>60</v>
      </c>
      <c r="B9" t="s">
        <v>61</v>
      </c>
      <c r="C9" t="s">
        <v>22</v>
      </c>
      <c r="D9">
        <v>6</v>
      </c>
      <c r="E9" t="s">
        <v>31</v>
      </c>
      <c r="F9">
        <v>11</v>
      </c>
      <c r="G9" t="s">
        <v>24</v>
      </c>
      <c r="H9" t="s">
        <v>62</v>
      </c>
      <c r="I9">
        <v>62</v>
      </c>
      <c r="J9">
        <v>86</v>
      </c>
      <c r="K9">
        <v>48</v>
      </c>
      <c r="L9">
        <v>70</v>
      </c>
      <c r="M9">
        <v>95</v>
      </c>
      <c r="N9">
        <v>89</v>
      </c>
      <c r="O9">
        <v>388</v>
      </c>
      <c r="P9">
        <v>77.599999999999994</v>
      </c>
      <c r="Q9" t="s">
        <v>40</v>
      </c>
      <c r="R9" t="s">
        <v>27</v>
      </c>
      <c r="S9">
        <v>2947</v>
      </c>
      <c r="T9" t="s">
        <v>34</v>
      </c>
      <c r="U9" t="str">
        <f t="shared" si="0"/>
        <v>Pass</v>
      </c>
      <c r="W9" t="s">
        <v>3394</v>
      </c>
      <c r="X9">
        <f>COUNTIF(C2:C1048576,"Male")</f>
        <v>1012</v>
      </c>
    </row>
    <row r="10" spans="1:28">
      <c r="A10" t="s">
        <v>63</v>
      </c>
      <c r="B10" t="s">
        <v>50</v>
      </c>
      <c r="C10" t="s">
        <v>37</v>
      </c>
      <c r="D10">
        <v>2</v>
      </c>
      <c r="E10" t="s">
        <v>23</v>
      </c>
      <c r="F10">
        <v>7</v>
      </c>
      <c r="G10" t="s">
        <v>64</v>
      </c>
      <c r="H10" t="s">
        <v>65</v>
      </c>
      <c r="I10">
        <v>64</v>
      </c>
      <c r="J10">
        <v>71</v>
      </c>
      <c r="K10">
        <v>85</v>
      </c>
      <c r="L10">
        <v>52</v>
      </c>
      <c r="M10">
        <v>80</v>
      </c>
      <c r="N10">
        <v>52</v>
      </c>
      <c r="O10">
        <v>340</v>
      </c>
      <c r="P10">
        <v>68</v>
      </c>
      <c r="Q10" t="s">
        <v>26</v>
      </c>
      <c r="R10" t="s">
        <v>27</v>
      </c>
      <c r="S10">
        <v>2819</v>
      </c>
      <c r="T10" t="s">
        <v>66</v>
      </c>
      <c r="U10" t="str">
        <f t="shared" si="0"/>
        <v>Pass</v>
      </c>
      <c r="W10" t="s">
        <v>3395</v>
      </c>
      <c r="X10">
        <f>COUNTIF(C2:C1048576,"Female")</f>
        <v>988</v>
      </c>
    </row>
    <row r="11" spans="1:28">
      <c r="A11" t="s">
        <v>67</v>
      </c>
      <c r="B11" t="s">
        <v>68</v>
      </c>
      <c r="C11" t="s">
        <v>22</v>
      </c>
      <c r="D11">
        <v>5</v>
      </c>
      <c r="E11" t="s">
        <v>26</v>
      </c>
      <c r="F11">
        <v>11</v>
      </c>
      <c r="G11" t="s">
        <v>38</v>
      </c>
      <c r="H11" t="s">
        <v>69</v>
      </c>
      <c r="I11">
        <v>77</v>
      </c>
      <c r="J11">
        <v>88</v>
      </c>
      <c r="K11">
        <v>64</v>
      </c>
      <c r="L11">
        <v>39</v>
      </c>
      <c r="M11">
        <v>88</v>
      </c>
      <c r="N11">
        <v>90</v>
      </c>
      <c r="O11">
        <v>369</v>
      </c>
      <c r="P11">
        <v>73.8</v>
      </c>
      <c r="Q11" t="s">
        <v>40</v>
      </c>
      <c r="R11" t="s">
        <v>41</v>
      </c>
      <c r="S11">
        <v>2234</v>
      </c>
      <c r="T11" t="s">
        <v>70</v>
      </c>
      <c r="U11" t="str">
        <f t="shared" si="0"/>
        <v>Pass</v>
      </c>
    </row>
    <row r="12" spans="1:28">
      <c r="A12" t="s">
        <v>71</v>
      </c>
      <c r="B12" t="s">
        <v>72</v>
      </c>
      <c r="C12" t="s">
        <v>37</v>
      </c>
      <c r="D12">
        <v>4</v>
      </c>
      <c r="E12" t="s">
        <v>26</v>
      </c>
      <c r="F12">
        <v>8</v>
      </c>
      <c r="G12" t="s">
        <v>64</v>
      </c>
      <c r="H12" t="s">
        <v>73</v>
      </c>
      <c r="I12">
        <v>63</v>
      </c>
      <c r="J12">
        <v>75</v>
      </c>
      <c r="K12">
        <v>41</v>
      </c>
      <c r="L12">
        <v>94</v>
      </c>
      <c r="M12">
        <v>49</v>
      </c>
      <c r="N12">
        <v>98</v>
      </c>
      <c r="O12">
        <v>357</v>
      </c>
      <c r="P12">
        <v>71.400000000000006</v>
      </c>
      <c r="Q12" t="s">
        <v>40</v>
      </c>
      <c r="R12" t="s">
        <v>27</v>
      </c>
      <c r="S12">
        <v>3937</v>
      </c>
      <c r="T12" t="s">
        <v>70</v>
      </c>
      <c r="U12" t="str">
        <f t="shared" si="0"/>
        <v>Pass</v>
      </c>
    </row>
    <row r="13" spans="1:28">
      <c r="A13" t="s">
        <v>74</v>
      </c>
      <c r="B13" t="s">
        <v>75</v>
      </c>
      <c r="C13" t="s">
        <v>22</v>
      </c>
      <c r="D13">
        <v>12</v>
      </c>
      <c r="E13" t="s">
        <v>26</v>
      </c>
      <c r="F13">
        <v>18</v>
      </c>
      <c r="G13" t="s">
        <v>58</v>
      </c>
      <c r="H13" t="s">
        <v>76</v>
      </c>
      <c r="I13">
        <v>71</v>
      </c>
      <c r="J13">
        <v>90</v>
      </c>
      <c r="K13">
        <v>36</v>
      </c>
      <c r="L13">
        <v>61</v>
      </c>
      <c r="M13">
        <v>83</v>
      </c>
      <c r="N13">
        <v>90</v>
      </c>
      <c r="O13">
        <v>360</v>
      </c>
      <c r="P13">
        <v>72</v>
      </c>
      <c r="Q13" t="s">
        <v>40</v>
      </c>
      <c r="R13" t="s">
        <v>27</v>
      </c>
      <c r="S13">
        <v>4769</v>
      </c>
      <c r="T13" t="s">
        <v>34</v>
      </c>
      <c r="U13" t="str">
        <f t="shared" si="0"/>
        <v>Pass</v>
      </c>
    </row>
    <row r="14" spans="1:28">
      <c r="A14" t="s">
        <v>77</v>
      </c>
      <c r="B14" t="s">
        <v>78</v>
      </c>
      <c r="C14" t="s">
        <v>22</v>
      </c>
      <c r="D14">
        <v>2</v>
      </c>
      <c r="E14" t="s">
        <v>26</v>
      </c>
      <c r="F14">
        <v>6</v>
      </c>
      <c r="G14" t="s">
        <v>45</v>
      </c>
      <c r="H14" t="s">
        <v>79</v>
      </c>
      <c r="I14">
        <v>79</v>
      </c>
      <c r="J14">
        <v>96</v>
      </c>
      <c r="K14">
        <v>64</v>
      </c>
      <c r="L14">
        <v>41</v>
      </c>
      <c r="M14">
        <v>71</v>
      </c>
      <c r="N14">
        <v>38</v>
      </c>
      <c r="O14">
        <v>310</v>
      </c>
      <c r="P14">
        <v>62</v>
      </c>
      <c r="Q14" t="s">
        <v>26</v>
      </c>
      <c r="R14" t="s">
        <v>41</v>
      </c>
      <c r="S14">
        <v>3818</v>
      </c>
      <c r="T14" t="s">
        <v>34</v>
      </c>
      <c r="U14" t="str">
        <f t="shared" si="0"/>
        <v>Pass</v>
      </c>
    </row>
    <row r="15" spans="1:28">
      <c r="A15" t="s">
        <v>80</v>
      </c>
      <c r="B15" t="s">
        <v>81</v>
      </c>
      <c r="C15" t="s">
        <v>37</v>
      </c>
      <c r="D15">
        <v>3</v>
      </c>
      <c r="E15" t="s">
        <v>31</v>
      </c>
      <c r="F15">
        <v>7</v>
      </c>
      <c r="G15" t="s">
        <v>58</v>
      </c>
      <c r="H15" t="s">
        <v>82</v>
      </c>
      <c r="I15">
        <v>83</v>
      </c>
      <c r="J15">
        <v>88</v>
      </c>
      <c r="K15">
        <v>62</v>
      </c>
      <c r="L15">
        <v>75</v>
      </c>
      <c r="M15">
        <v>94</v>
      </c>
      <c r="N15">
        <v>77</v>
      </c>
      <c r="O15">
        <v>396</v>
      </c>
      <c r="P15">
        <v>79.2</v>
      </c>
      <c r="Q15" t="s">
        <v>40</v>
      </c>
      <c r="R15" t="s">
        <v>27</v>
      </c>
      <c r="S15">
        <v>2456</v>
      </c>
      <c r="T15" t="s">
        <v>70</v>
      </c>
      <c r="U15" t="str">
        <f t="shared" si="0"/>
        <v>Pass</v>
      </c>
    </row>
    <row r="16" spans="1:28">
      <c r="A16" t="s">
        <v>83</v>
      </c>
      <c r="B16" t="s">
        <v>84</v>
      </c>
      <c r="C16" t="s">
        <v>22</v>
      </c>
      <c r="D16">
        <v>8</v>
      </c>
      <c r="E16" t="s">
        <v>26</v>
      </c>
      <c r="F16">
        <v>13</v>
      </c>
      <c r="G16" t="s">
        <v>38</v>
      </c>
      <c r="H16" t="s">
        <v>85</v>
      </c>
      <c r="I16">
        <v>65</v>
      </c>
      <c r="J16">
        <v>91</v>
      </c>
      <c r="K16">
        <v>96</v>
      </c>
      <c r="L16">
        <v>79</v>
      </c>
      <c r="M16">
        <v>35</v>
      </c>
      <c r="N16">
        <v>38</v>
      </c>
      <c r="O16">
        <v>339</v>
      </c>
      <c r="P16">
        <v>67.8</v>
      </c>
      <c r="Q16" t="s">
        <v>26</v>
      </c>
      <c r="R16" t="s">
        <v>41</v>
      </c>
      <c r="S16">
        <v>1783</v>
      </c>
      <c r="T16" t="s">
        <v>34</v>
      </c>
      <c r="U16" t="str">
        <f t="shared" si="0"/>
        <v>Pass</v>
      </c>
    </row>
    <row r="17" spans="1:21">
      <c r="A17" t="s">
        <v>86</v>
      </c>
      <c r="B17" t="s">
        <v>87</v>
      </c>
      <c r="C17" t="s">
        <v>22</v>
      </c>
      <c r="D17">
        <v>8</v>
      </c>
      <c r="E17" t="s">
        <v>31</v>
      </c>
      <c r="F17">
        <v>13</v>
      </c>
      <c r="G17" t="s">
        <v>24</v>
      </c>
      <c r="H17" t="s">
        <v>88</v>
      </c>
      <c r="I17">
        <v>76</v>
      </c>
      <c r="J17">
        <v>62</v>
      </c>
      <c r="K17">
        <v>89</v>
      </c>
      <c r="L17">
        <v>50</v>
      </c>
      <c r="M17">
        <v>53</v>
      </c>
      <c r="N17">
        <v>83</v>
      </c>
      <c r="O17">
        <v>337</v>
      </c>
      <c r="P17">
        <v>67.400000000000006</v>
      </c>
      <c r="Q17" t="s">
        <v>26</v>
      </c>
      <c r="R17" t="s">
        <v>41</v>
      </c>
      <c r="S17">
        <v>2430</v>
      </c>
      <c r="T17" t="s">
        <v>66</v>
      </c>
      <c r="U17" t="str">
        <f t="shared" si="0"/>
        <v>Pass</v>
      </c>
    </row>
    <row r="18" spans="1:21">
      <c r="A18" t="s">
        <v>89</v>
      </c>
      <c r="B18" t="s">
        <v>90</v>
      </c>
      <c r="C18" t="s">
        <v>22</v>
      </c>
      <c r="D18">
        <v>6</v>
      </c>
      <c r="E18" t="s">
        <v>26</v>
      </c>
      <c r="F18">
        <v>12</v>
      </c>
      <c r="G18" t="s">
        <v>32</v>
      </c>
      <c r="H18" t="s">
        <v>91</v>
      </c>
      <c r="I18">
        <v>69</v>
      </c>
      <c r="J18">
        <v>100</v>
      </c>
      <c r="K18">
        <v>99</v>
      </c>
      <c r="L18">
        <v>63</v>
      </c>
      <c r="M18">
        <v>91</v>
      </c>
      <c r="N18">
        <v>87</v>
      </c>
      <c r="O18">
        <v>440</v>
      </c>
      <c r="P18">
        <v>88</v>
      </c>
      <c r="Q18" t="s">
        <v>47</v>
      </c>
      <c r="R18" t="s">
        <v>27</v>
      </c>
      <c r="S18">
        <v>2365</v>
      </c>
      <c r="T18" t="s">
        <v>70</v>
      </c>
      <c r="U18" t="str">
        <f t="shared" si="0"/>
        <v>Pass</v>
      </c>
    </row>
    <row r="19" spans="1:21">
      <c r="A19" t="s">
        <v>92</v>
      </c>
      <c r="B19" t="s">
        <v>93</v>
      </c>
      <c r="C19" t="s">
        <v>37</v>
      </c>
      <c r="D19">
        <v>1</v>
      </c>
      <c r="E19" t="s">
        <v>47</v>
      </c>
      <c r="F19">
        <v>6</v>
      </c>
      <c r="G19" t="s">
        <v>54</v>
      </c>
      <c r="H19" t="s">
        <v>94</v>
      </c>
      <c r="I19">
        <v>74</v>
      </c>
      <c r="J19">
        <v>52</v>
      </c>
      <c r="K19">
        <v>51</v>
      </c>
      <c r="L19">
        <v>99</v>
      </c>
      <c r="M19">
        <v>72</v>
      </c>
      <c r="N19">
        <v>37</v>
      </c>
      <c r="O19">
        <v>311</v>
      </c>
      <c r="P19">
        <v>62.2</v>
      </c>
      <c r="Q19" t="s">
        <v>26</v>
      </c>
      <c r="R19" t="s">
        <v>41</v>
      </c>
      <c r="S19">
        <v>3805</v>
      </c>
      <c r="T19" t="s">
        <v>70</v>
      </c>
      <c r="U19" t="str">
        <f t="shared" si="0"/>
        <v>Pass</v>
      </c>
    </row>
    <row r="20" spans="1:21">
      <c r="A20" t="s">
        <v>95</v>
      </c>
      <c r="B20" t="s">
        <v>96</v>
      </c>
      <c r="C20" t="s">
        <v>37</v>
      </c>
      <c r="D20">
        <v>8</v>
      </c>
      <c r="E20" t="s">
        <v>47</v>
      </c>
      <c r="F20">
        <v>14</v>
      </c>
      <c r="G20" t="s">
        <v>38</v>
      </c>
      <c r="H20" t="s">
        <v>97</v>
      </c>
      <c r="I20">
        <v>94</v>
      </c>
      <c r="J20">
        <v>99</v>
      </c>
      <c r="K20">
        <v>94</v>
      </c>
      <c r="L20">
        <v>70</v>
      </c>
      <c r="M20">
        <v>52</v>
      </c>
      <c r="N20">
        <v>83</v>
      </c>
      <c r="O20">
        <v>398</v>
      </c>
      <c r="P20">
        <v>79.599999999999994</v>
      </c>
      <c r="Q20" t="s">
        <v>40</v>
      </c>
      <c r="R20" t="s">
        <v>41</v>
      </c>
      <c r="S20">
        <v>4998</v>
      </c>
      <c r="T20" t="s">
        <v>34</v>
      </c>
      <c r="U20" t="str">
        <f t="shared" si="0"/>
        <v>Pass</v>
      </c>
    </row>
    <row r="21" spans="1:21">
      <c r="A21" t="s">
        <v>98</v>
      </c>
      <c r="B21" t="s">
        <v>99</v>
      </c>
      <c r="C21" t="s">
        <v>37</v>
      </c>
      <c r="D21">
        <v>4</v>
      </c>
      <c r="E21" t="s">
        <v>26</v>
      </c>
      <c r="F21">
        <v>10</v>
      </c>
      <c r="G21" t="s">
        <v>58</v>
      </c>
      <c r="H21" t="s">
        <v>100</v>
      </c>
      <c r="I21">
        <v>69</v>
      </c>
      <c r="J21">
        <v>66</v>
      </c>
      <c r="K21">
        <v>37</v>
      </c>
      <c r="L21">
        <v>84</v>
      </c>
      <c r="M21">
        <v>84</v>
      </c>
      <c r="N21">
        <v>75</v>
      </c>
      <c r="O21">
        <v>346</v>
      </c>
      <c r="P21">
        <v>69.2</v>
      </c>
      <c r="Q21" t="s">
        <v>26</v>
      </c>
      <c r="R21" t="s">
        <v>27</v>
      </c>
      <c r="S21">
        <v>3407</v>
      </c>
      <c r="T21" t="s">
        <v>42</v>
      </c>
      <c r="U21" t="str">
        <f t="shared" si="0"/>
        <v>Pass</v>
      </c>
    </row>
    <row r="22" spans="1:21">
      <c r="A22" t="s">
        <v>101</v>
      </c>
      <c r="B22" t="s">
        <v>84</v>
      </c>
      <c r="C22" t="s">
        <v>37</v>
      </c>
      <c r="D22">
        <v>4</v>
      </c>
      <c r="E22" t="s">
        <v>23</v>
      </c>
      <c r="F22">
        <v>10</v>
      </c>
      <c r="G22" t="s">
        <v>54</v>
      </c>
      <c r="H22" t="s">
        <v>102</v>
      </c>
      <c r="I22">
        <v>98</v>
      </c>
      <c r="J22">
        <v>90</v>
      </c>
      <c r="K22">
        <v>42</v>
      </c>
      <c r="L22">
        <v>98</v>
      </c>
      <c r="M22">
        <v>62</v>
      </c>
      <c r="N22">
        <v>99</v>
      </c>
      <c r="O22">
        <v>391</v>
      </c>
      <c r="P22">
        <v>78.2</v>
      </c>
      <c r="Q22" t="s">
        <v>40</v>
      </c>
      <c r="R22" t="s">
        <v>41</v>
      </c>
      <c r="S22">
        <v>1725</v>
      </c>
      <c r="T22" t="s">
        <v>34</v>
      </c>
      <c r="U22" t="str">
        <f t="shared" si="0"/>
        <v>Pass</v>
      </c>
    </row>
    <row r="23" spans="1:21">
      <c r="A23" t="s">
        <v>103</v>
      </c>
      <c r="B23" t="s">
        <v>104</v>
      </c>
      <c r="C23" t="s">
        <v>37</v>
      </c>
      <c r="D23">
        <v>3</v>
      </c>
      <c r="E23" t="s">
        <v>23</v>
      </c>
      <c r="F23">
        <v>8</v>
      </c>
      <c r="G23" t="s">
        <v>32</v>
      </c>
      <c r="H23" t="s">
        <v>105</v>
      </c>
      <c r="I23">
        <v>68</v>
      </c>
      <c r="J23">
        <v>44</v>
      </c>
      <c r="K23">
        <v>60</v>
      </c>
      <c r="L23">
        <v>99</v>
      </c>
      <c r="M23">
        <v>53</v>
      </c>
      <c r="N23">
        <v>64</v>
      </c>
      <c r="O23">
        <v>320</v>
      </c>
      <c r="P23">
        <v>64</v>
      </c>
      <c r="Q23" t="s">
        <v>26</v>
      </c>
      <c r="R23" t="s">
        <v>41</v>
      </c>
      <c r="S23">
        <v>3711</v>
      </c>
      <c r="T23" t="s">
        <v>42</v>
      </c>
      <c r="U23" t="str">
        <f t="shared" si="0"/>
        <v>Pass</v>
      </c>
    </row>
    <row r="24" spans="1:21">
      <c r="A24" t="s">
        <v>106</v>
      </c>
      <c r="B24" t="s">
        <v>107</v>
      </c>
      <c r="C24" t="s">
        <v>37</v>
      </c>
      <c r="D24">
        <v>9</v>
      </c>
      <c r="E24" t="s">
        <v>23</v>
      </c>
      <c r="F24">
        <v>14</v>
      </c>
      <c r="G24" t="s">
        <v>64</v>
      </c>
      <c r="H24" t="s">
        <v>108</v>
      </c>
      <c r="I24">
        <v>90</v>
      </c>
      <c r="J24">
        <v>80</v>
      </c>
      <c r="K24">
        <v>95</v>
      </c>
      <c r="L24">
        <v>77</v>
      </c>
      <c r="M24">
        <v>79</v>
      </c>
      <c r="N24">
        <v>72</v>
      </c>
      <c r="O24">
        <v>403</v>
      </c>
      <c r="P24">
        <v>80.599999999999994</v>
      </c>
      <c r="Q24" t="s">
        <v>47</v>
      </c>
      <c r="R24" t="s">
        <v>41</v>
      </c>
      <c r="S24">
        <v>2591</v>
      </c>
      <c r="T24" t="s">
        <v>34</v>
      </c>
      <c r="U24" t="str">
        <f t="shared" si="0"/>
        <v>Pass</v>
      </c>
    </row>
    <row r="25" spans="1:21">
      <c r="A25" t="s">
        <v>109</v>
      </c>
      <c r="B25" t="s">
        <v>110</v>
      </c>
      <c r="C25" t="s">
        <v>37</v>
      </c>
      <c r="D25">
        <v>9</v>
      </c>
      <c r="E25" t="s">
        <v>26</v>
      </c>
      <c r="F25">
        <v>13</v>
      </c>
      <c r="G25" t="s">
        <v>45</v>
      </c>
      <c r="H25" t="s">
        <v>111</v>
      </c>
      <c r="I25">
        <v>78</v>
      </c>
      <c r="J25">
        <v>38</v>
      </c>
      <c r="K25">
        <v>70</v>
      </c>
      <c r="L25">
        <v>68</v>
      </c>
      <c r="M25">
        <v>70</v>
      </c>
      <c r="N25">
        <v>48</v>
      </c>
      <c r="O25">
        <v>294</v>
      </c>
      <c r="P25">
        <v>58.8</v>
      </c>
      <c r="Q25" t="s">
        <v>31</v>
      </c>
      <c r="R25" t="s">
        <v>41</v>
      </c>
      <c r="S25">
        <v>4255</v>
      </c>
      <c r="T25" t="s">
        <v>28</v>
      </c>
      <c r="U25" t="str">
        <f t="shared" si="0"/>
        <v>Pass</v>
      </c>
    </row>
    <row r="26" spans="1:21">
      <c r="A26" t="s">
        <v>112</v>
      </c>
      <c r="B26" t="s">
        <v>113</v>
      </c>
      <c r="C26" t="s">
        <v>22</v>
      </c>
      <c r="D26">
        <v>1</v>
      </c>
      <c r="E26" t="s">
        <v>26</v>
      </c>
      <c r="F26">
        <v>6</v>
      </c>
      <c r="G26" t="s">
        <v>24</v>
      </c>
      <c r="H26" t="s">
        <v>114</v>
      </c>
      <c r="I26">
        <v>93</v>
      </c>
      <c r="J26">
        <v>39</v>
      </c>
      <c r="K26">
        <v>45</v>
      </c>
      <c r="L26">
        <v>37</v>
      </c>
      <c r="M26">
        <v>84</v>
      </c>
      <c r="N26">
        <v>64</v>
      </c>
      <c r="O26">
        <v>269</v>
      </c>
      <c r="P26">
        <v>53.8</v>
      </c>
      <c r="Q26" t="s">
        <v>31</v>
      </c>
      <c r="R26" t="s">
        <v>41</v>
      </c>
      <c r="S26">
        <v>1735</v>
      </c>
      <c r="T26" t="s">
        <v>66</v>
      </c>
      <c r="U26" t="str">
        <f t="shared" si="0"/>
        <v>Fail</v>
      </c>
    </row>
    <row r="27" spans="1:21">
      <c r="A27" t="s">
        <v>115</v>
      </c>
      <c r="B27" t="s">
        <v>113</v>
      </c>
      <c r="C27" t="s">
        <v>22</v>
      </c>
      <c r="D27">
        <v>2</v>
      </c>
      <c r="E27" t="s">
        <v>26</v>
      </c>
      <c r="F27">
        <v>7</v>
      </c>
      <c r="G27" t="s">
        <v>32</v>
      </c>
      <c r="H27" t="s">
        <v>116</v>
      </c>
      <c r="I27">
        <v>60</v>
      </c>
      <c r="J27">
        <v>91</v>
      </c>
      <c r="K27">
        <v>88</v>
      </c>
      <c r="L27">
        <v>43</v>
      </c>
      <c r="M27">
        <v>100</v>
      </c>
      <c r="N27">
        <v>94</v>
      </c>
      <c r="O27">
        <v>416</v>
      </c>
      <c r="P27">
        <v>83.2</v>
      </c>
      <c r="Q27" t="s">
        <v>47</v>
      </c>
      <c r="R27" t="s">
        <v>41</v>
      </c>
      <c r="S27">
        <v>3837</v>
      </c>
      <c r="T27" t="s">
        <v>34</v>
      </c>
      <c r="U27" t="str">
        <f t="shared" si="0"/>
        <v>Pass</v>
      </c>
    </row>
    <row r="28" spans="1:21">
      <c r="A28" t="s">
        <v>117</v>
      </c>
      <c r="B28" t="s">
        <v>118</v>
      </c>
      <c r="C28" t="s">
        <v>37</v>
      </c>
      <c r="D28">
        <v>1</v>
      </c>
      <c r="E28" t="s">
        <v>31</v>
      </c>
      <c r="F28">
        <v>6</v>
      </c>
      <c r="G28" t="s">
        <v>32</v>
      </c>
      <c r="H28" t="s">
        <v>119</v>
      </c>
      <c r="I28">
        <v>92</v>
      </c>
      <c r="J28">
        <v>81</v>
      </c>
      <c r="K28">
        <v>87</v>
      </c>
      <c r="L28">
        <v>51</v>
      </c>
      <c r="M28">
        <v>69</v>
      </c>
      <c r="N28">
        <v>45</v>
      </c>
      <c r="O28">
        <v>333</v>
      </c>
      <c r="P28">
        <v>66.599999999999994</v>
      </c>
      <c r="Q28" t="s">
        <v>26</v>
      </c>
      <c r="R28" t="s">
        <v>27</v>
      </c>
      <c r="S28">
        <v>1938</v>
      </c>
      <c r="T28" t="s">
        <v>34</v>
      </c>
      <c r="U28" t="str">
        <f t="shared" si="0"/>
        <v>Pass</v>
      </c>
    </row>
    <row r="29" spans="1:21">
      <c r="A29" t="s">
        <v>120</v>
      </c>
      <c r="B29" t="s">
        <v>90</v>
      </c>
      <c r="C29" t="s">
        <v>37</v>
      </c>
      <c r="D29">
        <v>5</v>
      </c>
      <c r="E29" t="s">
        <v>26</v>
      </c>
      <c r="F29">
        <v>11</v>
      </c>
      <c r="G29" t="s">
        <v>45</v>
      </c>
      <c r="H29" t="s">
        <v>121</v>
      </c>
      <c r="I29">
        <v>85</v>
      </c>
      <c r="J29">
        <v>68</v>
      </c>
      <c r="K29">
        <v>84</v>
      </c>
      <c r="L29">
        <v>63</v>
      </c>
      <c r="M29">
        <v>97</v>
      </c>
      <c r="N29">
        <v>45</v>
      </c>
      <c r="O29">
        <v>357</v>
      </c>
      <c r="P29">
        <v>71.400000000000006</v>
      </c>
      <c r="Q29" t="s">
        <v>40</v>
      </c>
      <c r="R29" t="s">
        <v>27</v>
      </c>
      <c r="S29">
        <v>3685</v>
      </c>
      <c r="T29" t="s">
        <v>66</v>
      </c>
      <c r="U29" t="str">
        <f t="shared" si="0"/>
        <v>Pass</v>
      </c>
    </row>
    <row r="30" spans="1:21">
      <c r="A30" t="s">
        <v>122</v>
      </c>
      <c r="B30" t="s">
        <v>123</v>
      </c>
      <c r="C30" t="s">
        <v>22</v>
      </c>
      <c r="D30">
        <v>2</v>
      </c>
      <c r="E30" t="s">
        <v>47</v>
      </c>
      <c r="F30">
        <v>8</v>
      </c>
      <c r="G30" t="s">
        <v>45</v>
      </c>
      <c r="H30" t="s">
        <v>124</v>
      </c>
      <c r="I30">
        <v>66</v>
      </c>
      <c r="J30">
        <v>80</v>
      </c>
      <c r="K30">
        <v>49</v>
      </c>
      <c r="L30">
        <v>57</v>
      </c>
      <c r="M30">
        <v>88</v>
      </c>
      <c r="N30">
        <v>90</v>
      </c>
      <c r="O30">
        <v>364</v>
      </c>
      <c r="P30">
        <v>72.8</v>
      </c>
      <c r="Q30" t="s">
        <v>40</v>
      </c>
      <c r="R30" t="s">
        <v>41</v>
      </c>
      <c r="S30">
        <v>3892</v>
      </c>
      <c r="T30" t="s">
        <v>42</v>
      </c>
      <c r="U30" t="str">
        <f t="shared" si="0"/>
        <v>Pass</v>
      </c>
    </row>
    <row r="31" spans="1:21">
      <c r="A31" t="s">
        <v>125</v>
      </c>
      <c r="B31" t="s">
        <v>126</v>
      </c>
      <c r="C31" t="s">
        <v>37</v>
      </c>
      <c r="D31">
        <v>9</v>
      </c>
      <c r="E31" t="s">
        <v>47</v>
      </c>
      <c r="F31">
        <v>13</v>
      </c>
      <c r="G31" t="s">
        <v>38</v>
      </c>
      <c r="H31" t="s">
        <v>127</v>
      </c>
      <c r="I31">
        <v>80</v>
      </c>
      <c r="J31">
        <v>75</v>
      </c>
      <c r="K31">
        <v>59</v>
      </c>
      <c r="L31">
        <v>43</v>
      </c>
      <c r="M31">
        <v>47</v>
      </c>
      <c r="N31">
        <v>87</v>
      </c>
      <c r="O31">
        <v>311</v>
      </c>
      <c r="P31">
        <v>62.2</v>
      </c>
      <c r="Q31" t="s">
        <v>26</v>
      </c>
      <c r="R31" t="s">
        <v>27</v>
      </c>
      <c r="S31">
        <v>2290</v>
      </c>
      <c r="T31" t="s">
        <v>42</v>
      </c>
      <c r="U31" t="str">
        <f t="shared" si="0"/>
        <v>Pass</v>
      </c>
    </row>
    <row r="32" spans="1:21">
      <c r="A32" t="s">
        <v>128</v>
      </c>
      <c r="B32" t="s">
        <v>36</v>
      </c>
      <c r="C32" t="s">
        <v>37</v>
      </c>
      <c r="D32">
        <v>8</v>
      </c>
      <c r="E32" t="s">
        <v>23</v>
      </c>
      <c r="F32">
        <v>12</v>
      </c>
      <c r="G32" t="s">
        <v>64</v>
      </c>
      <c r="H32" t="s">
        <v>129</v>
      </c>
      <c r="I32">
        <v>96</v>
      </c>
      <c r="J32">
        <v>66</v>
      </c>
      <c r="K32">
        <v>45</v>
      </c>
      <c r="L32">
        <v>72</v>
      </c>
      <c r="M32">
        <v>56</v>
      </c>
      <c r="N32">
        <v>43</v>
      </c>
      <c r="O32">
        <v>282</v>
      </c>
      <c r="P32">
        <v>56.4</v>
      </c>
      <c r="Q32" t="s">
        <v>31</v>
      </c>
      <c r="R32" t="s">
        <v>27</v>
      </c>
      <c r="S32">
        <v>3128</v>
      </c>
      <c r="T32" t="s">
        <v>34</v>
      </c>
      <c r="U32" t="str">
        <f t="shared" si="0"/>
        <v>Pass</v>
      </c>
    </row>
    <row r="33" spans="1:21">
      <c r="A33" t="s">
        <v>130</v>
      </c>
      <c r="B33" t="s">
        <v>131</v>
      </c>
      <c r="C33" t="s">
        <v>37</v>
      </c>
      <c r="D33">
        <v>12</v>
      </c>
      <c r="E33" t="s">
        <v>47</v>
      </c>
      <c r="F33">
        <v>16</v>
      </c>
      <c r="G33" t="s">
        <v>64</v>
      </c>
      <c r="H33" t="s">
        <v>132</v>
      </c>
      <c r="I33">
        <v>85</v>
      </c>
      <c r="J33">
        <v>98</v>
      </c>
      <c r="K33">
        <v>83</v>
      </c>
      <c r="L33">
        <v>93</v>
      </c>
      <c r="M33">
        <v>86</v>
      </c>
      <c r="N33">
        <v>76</v>
      </c>
      <c r="O33">
        <v>436</v>
      </c>
      <c r="P33">
        <v>87.2</v>
      </c>
      <c r="Q33" t="s">
        <v>47</v>
      </c>
      <c r="R33" t="s">
        <v>41</v>
      </c>
      <c r="S33">
        <v>4949</v>
      </c>
      <c r="T33" t="s">
        <v>34</v>
      </c>
      <c r="U33" t="str">
        <f t="shared" si="0"/>
        <v>Pass</v>
      </c>
    </row>
    <row r="34" spans="1:21">
      <c r="A34" t="s">
        <v>133</v>
      </c>
      <c r="B34" t="s">
        <v>134</v>
      </c>
      <c r="C34" t="s">
        <v>37</v>
      </c>
      <c r="D34">
        <v>9</v>
      </c>
      <c r="E34" t="s">
        <v>31</v>
      </c>
      <c r="F34">
        <v>15</v>
      </c>
      <c r="G34" t="s">
        <v>58</v>
      </c>
      <c r="H34" t="s">
        <v>135</v>
      </c>
      <c r="I34">
        <v>82</v>
      </c>
      <c r="J34">
        <v>68</v>
      </c>
      <c r="K34">
        <v>84</v>
      </c>
      <c r="L34">
        <v>50</v>
      </c>
      <c r="M34">
        <v>52</v>
      </c>
      <c r="N34">
        <v>70</v>
      </c>
      <c r="O34">
        <v>324</v>
      </c>
      <c r="P34">
        <v>64.8</v>
      </c>
      <c r="Q34" t="s">
        <v>26</v>
      </c>
      <c r="R34" t="s">
        <v>27</v>
      </c>
      <c r="S34">
        <v>3597</v>
      </c>
      <c r="T34" t="s">
        <v>28</v>
      </c>
      <c r="U34" t="str">
        <f t="shared" si="0"/>
        <v>Pass</v>
      </c>
    </row>
    <row r="35" spans="1:21">
      <c r="A35" t="s">
        <v>136</v>
      </c>
      <c r="B35" t="s">
        <v>137</v>
      </c>
      <c r="C35" t="s">
        <v>22</v>
      </c>
      <c r="D35">
        <v>2</v>
      </c>
      <c r="E35" t="s">
        <v>47</v>
      </c>
      <c r="F35">
        <v>6</v>
      </c>
      <c r="G35" t="s">
        <v>32</v>
      </c>
      <c r="H35" t="s">
        <v>138</v>
      </c>
      <c r="I35">
        <v>81</v>
      </c>
      <c r="J35">
        <v>67</v>
      </c>
      <c r="K35">
        <v>61</v>
      </c>
      <c r="L35">
        <v>59</v>
      </c>
      <c r="M35">
        <v>47</v>
      </c>
      <c r="N35">
        <v>38</v>
      </c>
      <c r="O35">
        <v>272</v>
      </c>
      <c r="P35">
        <v>54.4</v>
      </c>
      <c r="Q35" t="s">
        <v>31</v>
      </c>
      <c r="R35" t="s">
        <v>41</v>
      </c>
      <c r="S35">
        <v>3807</v>
      </c>
      <c r="T35" t="s">
        <v>34</v>
      </c>
      <c r="U35" t="str">
        <f t="shared" si="0"/>
        <v>Fail</v>
      </c>
    </row>
    <row r="36" spans="1:21">
      <c r="A36" t="s">
        <v>139</v>
      </c>
      <c r="B36" t="s">
        <v>140</v>
      </c>
      <c r="C36" t="s">
        <v>37</v>
      </c>
      <c r="D36">
        <v>1</v>
      </c>
      <c r="E36" t="s">
        <v>26</v>
      </c>
      <c r="F36">
        <v>6</v>
      </c>
      <c r="G36" t="s">
        <v>45</v>
      </c>
      <c r="H36" t="s">
        <v>141</v>
      </c>
      <c r="I36">
        <v>91</v>
      </c>
      <c r="J36">
        <v>39</v>
      </c>
      <c r="K36">
        <v>69</v>
      </c>
      <c r="L36">
        <v>80</v>
      </c>
      <c r="M36">
        <v>53</v>
      </c>
      <c r="N36">
        <v>48</v>
      </c>
      <c r="O36">
        <v>289</v>
      </c>
      <c r="P36">
        <v>57.8</v>
      </c>
      <c r="Q36" t="s">
        <v>31</v>
      </c>
      <c r="R36" t="s">
        <v>41</v>
      </c>
      <c r="S36">
        <v>2504</v>
      </c>
      <c r="T36" t="s">
        <v>70</v>
      </c>
      <c r="U36" t="str">
        <f t="shared" si="0"/>
        <v>Pass</v>
      </c>
    </row>
    <row r="37" spans="1:21">
      <c r="A37" t="s">
        <v>142</v>
      </c>
      <c r="B37" t="s">
        <v>78</v>
      </c>
      <c r="C37" t="s">
        <v>22</v>
      </c>
      <c r="D37">
        <v>4</v>
      </c>
      <c r="E37" t="s">
        <v>47</v>
      </c>
      <c r="F37">
        <v>8</v>
      </c>
      <c r="G37" t="s">
        <v>58</v>
      </c>
      <c r="H37" t="s">
        <v>143</v>
      </c>
      <c r="I37">
        <v>76</v>
      </c>
      <c r="J37">
        <v>98</v>
      </c>
      <c r="K37">
        <v>99</v>
      </c>
      <c r="L37">
        <v>53</v>
      </c>
      <c r="M37">
        <v>74</v>
      </c>
      <c r="N37">
        <v>55</v>
      </c>
      <c r="O37">
        <v>379</v>
      </c>
      <c r="P37">
        <v>75.8</v>
      </c>
      <c r="Q37" t="s">
        <v>40</v>
      </c>
      <c r="R37" t="s">
        <v>27</v>
      </c>
      <c r="S37">
        <v>2635</v>
      </c>
      <c r="T37" t="s">
        <v>42</v>
      </c>
      <c r="U37" t="str">
        <f t="shared" si="0"/>
        <v>Pass</v>
      </c>
    </row>
    <row r="38" spans="1:21">
      <c r="A38" t="s">
        <v>144</v>
      </c>
      <c r="B38" t="s">
        <v>145</v>
      </c>
      <c r="C38" t="s">
        <v>22</v>
      </c>
      <c r="D38">
        <v>7</v>
      </c>
      <c r="E38" t="s">
        <v>31</v>
      </c>
      <c r="F38">
        <v>13</v>
      </c>
      <c r="G38" t="s">
        <v>32</v>
      </c>
      <c r="H38" t="s">
        <v>146</v>
      </c>
      <c r="I38">
        <v>85</v>
      </c>
      <c r="J38">
        <v>89</v>
      </c>
      <c r="K38">
        <v>77</v>
      </c>
      <c r="L38">
        <v>77</v>
      </c>
      <c r="M38">
        <v>74</v>
      </c>
      <c r="N38">
        <v>43</v>
      </c>
      <c r="O38">
        <v>360</v>
      </c>
      <c r="P38">
        <v>72</v>
      </c>
      <c r="Q38" t="s">
        <v>40</v>
      </c>
      <c r="R38" t="s">
        <v>27</v>
      </c>
      <c r="S38">
        <v>2400</v>
      </c>
      <c r="T38" t="s">
        <v>66</v>
      </c>
      <c r="U38" t="str">
        <f t="shared" si="0"/>
        <v>Pass</v>
      </c>
    </row>
    <row r="39" spans="1:21">
      <c r="A39" t="s">
        <v>147</v>
      </c>
      <c r="B39" t="s">
        <v>148</v>
      </c>
      <c r="C39" t="s">
        <v>22</v>
      </c>
      <c r="D39">
        <v>2</v>
      </c>
      <c r="E39" t="s">
        <v>23</v>
      </c>
      <c r="F39">
        <v>6</v>
      </c>
      <c r="G39" t="s">
        <v>54</v>
      </c>
      <c r="H39" t="s">
        <v>149</v>
      </c>
      <c r="I39">
        <v>91</v>
      </c>
      <c r="J39">
        <v>87</v>
      </c>
      <c r="K39">
        <v>97</v>
      </c>
      <c r="L39">
        <v>92</v>
      </c>
      <c r="M39">
        <v>35</v>
      </c>
      <c r="N39">
        <v>38</v>
      </c>
      <c r="O39">
        <v>349</v>
      </c>
      <c r="P39">
        <v>69.8</v>
      </c>
      <c r="Q39" t="s">
        <v>26</v>
      </c>
      <c r="R39" t="s">
        <v>27</v>
      </c>
      <c r="S39">
        <v>2708</v>
      </c>
      <c r="T39" t="s">
        <v>66</v>
      </c>
      <c r="U39" t="str">
        <f t="shared" si="0"/>
        <v>Pass</v>
      </c>
    </row>
    <row r="40" spans="1:21">
      <c r="A40" t="s">
        <v>150</v>
      </c>
      <c r="B40" t="s">
        <v>151</v>
      </c>
      <c r="C40" t="s">
        <v>22</v>
      </c>
      <c r="D40">
        <v>3</v>
      </c>
      <c r="E40" t="s">
        <v>31</v>
      </c>
      <c r="F40">
        <v>7</v>
      </c>
      <c r="G40" t="s">
        <v>32</v>
      </c>
      <c r="H40" t="s">
        <v>152</v>
      </c>
      <c r="I40">
        <v>94</v>
      </c>
      <c r="J40">
        <v>49</v>
      </c>
      <c r="K40">
        <v>65</v>
      </c>
      <c r="L40">
        <v>68</v>
      </c>
      <c r="M40">
        <v>89</v>
      </c>
      <c r="N40">
        <v>90</v>
      </c>
      <c r="O40">
        <v>361</v>
      </c>
      <c r="P40">
        <v>72.2</v>
      </c>
      <c r="Q40" t="s">
        <v>40</v>
      </c>
      <c r="R40" t="s">
        <v>41</v>
      </c>
      <c r="S40">
        <v>3360</v>
      </c>
      <c r="T40" t="s">
        <v>28</v>
      </c>
      <c r="U40" t="str">
        <f t="shared" si="0"/>
        <v>Pass</v>
      </c>
    </row>
    <row r="41" spans="1:21">
      <c r="A41" t="s">
        <v>153</v>
      </c>
      <c r="B41" t="s">
        <v>154</v>
      </c>
      <c r="C41" t="s">
        <v>37</v>
      </c>
      <c r="D41">
        <v>2</v>
      </c>
      <c r="E41" t="s">
        <v>26</v>
      </c>
      <c r="F41">
        <v>8</v>
      </c>
      <c r="G41" t="s">
        <v>24</v>
      </c>
      <c r="H41" t="s">
        <v>155</v>
      </c>
      <c r="I41">
        <v>67</v>
      </c>
      <c r="J41">
        <v>39</v>
      </c>
      <c r="K41">
        <v>98</v>
      </c>
      <c r="L41">
        <v>82</v>
      </c>
      <c r="M41">
        <v>93</v>
      </c>
      <c r="N41">
        <v>49</v>
      </c>
      <c r="O41">
        <v>361</v>
      </c>
      <c r="P41">
        <v>72.2</v>
      </c>
      <c r="Q41" t="s">
        <v>40</v>
      </c>
      <c r="R41" t="s">
        <v>27</v>
      </c>
      <c r="S41">
        <v>2895</v>
      </c>
      <c r="T41" t="s">
        <v>66</v>
      </c>
      <c r="U41" t="str">
        <f t="shared" si="0"/>
        <v>Pass</v>
      </c>
    </row>
    <row r="42" spans="1:21">
      <c r="A42" t="s">
        <v>156</v>
      </c>
      <c r="B42" t="s">
        <v>157</v>
      </c>
      <c r="C42" t="s">
        <v>37</v>
      </c>
      <c r="D42">
        <v>8</v>
      </c>
      <c r="E42" t="s">
        <v>26</v>
      </c>
      <c r="F42">
        <v>12</v>
      </c>
      <c r="G42" t="s">
        <v>32</v>
      </c>
      <c r="H42" t="s">
        <v>158</v>
      </c>
      <c r="I42">
        <v>93</v>
      </c>
      <c r="J42">
        <v>40</v>
      </c>
      <c r="K42">
        <v>68</v>
      </c>
      <c r="L42">
        <v>63</v>
      </c>
      <c r="M42">
        <v>63</v>
      </c>
      <c r="N42">
        <v>99</v>
      </c>
      <c r="O42">
        <v>333</v>
      </c>
      <c r="P42">
        <v>66.599999999999994</v>
      </c>
      <c r="Q42" t="s">
        <v>26</v>
      </c>
      <c r="R42" t="s">
        <v>41</v>
      </c>
      <c r="S42">
        <v>4906</v>
      </c>
      <c r="T42" t="s">
        <v>48</v>
      </c>
      <c r="U42" t="str">
        <f t="shared" si="0"/>
        <v>Pass</v>
      </c>
    </row>
    <row r="43" spans="1:21">
      <c r="A43" t="s">
        <v>159</v>
      </c>
      <c r="B43" t="s">
        <v>160</v>
      </c>
      <c r="C43" t="s">
        <v>37</v>
      </c>
      <c r="D43">
        <v>1</v>
      </c>
      <c r="E43" t="s">
        <v>47</v>
      </c>
      <c r="F43">
        <v>7</v>
      </c>
      <c r="G43" t="s">
        <v>32</v>
      </c>
      <c r="H43" t="s">
        <v>161</v>
      </c>
      <c r="I43">
        <v>85</v>
      </c>
      <c r="J43">
        <v>39</v>
      </c>
      <c r="K43">
        <v>96</v>
      </c>
      <c r="L43">
        <v>40</v>
      </c>
      <c r="M43">
        <v>39</v>
      </c>
      <c r="N43">
        <v>55</v>
      </c>
      <c r="O43">
        <v>269</v>
      </c>
      <c r="P43">
        <v>53.8</v>
      </c>
      <c r="Q43" t="s">
        <v>31</v>
      </c>
      <c r="R43" t="s">
        <v>41</v>
      </c>
      <c r="S43">
        <v>2999</v>
      </c>
      <c r="T43" t="s">
        <v>48</v>
      </c>
      <c r="U43" t="str">
        <f t="shared" si="0"/>
        <v>Fail</v>
      </c>
    </row>
    <row r="44" spans="1:21">
      <c r="A44" t="s">
        <v>162</v>
      </c>
      <c r="B44" t="s">
        <v>53</v>
      </c>
      <c r="C44" t="s">
        <v>37</v>
      </c>
      <c r="D44">
        <v>1</v>
      </c>
      <c r="E44" t="s">
        <v>26</v>
      </c>
      <c r="F44">
        <v>7</v>
      </c>
      <c r="G44" t="s">
        <v>45</v>
      </c>
      <c r="H44" t="s">
        <v>163</v>
      </c>
      <c r="I44">
        <v>61</v>
      </c>
      <c r="J44">
        <v>52</v>
      </c>
      <c r="K44">
        <v>64</v>
      </c>
      <c r="L44">
        <v>76</v>
      </c>
      <c r="M44">
        <v>83</v>
      </c>
      <c r="N44">
        <v>81</v>
      </c>
      <c r="O44">
        <v>356</v>
      </c>
      <c r="P44">
        <v>71.2</v>
      </c>
      <c r="Q44" t="s">
        <v>40</v>
      </c>
      <c r="R44" t="s">
        <v>27</v>
      </c>
      <c r="S44">
        <v>3235</v>
      </c>
      <c r="T44" t="s">
        <v>70</v>
      </c>
      <c r="U44" t="str">
        <f t="shared" si="0"/>
        <v>Pass</v>
      </c>
    </row>
    <row r="45" spans="1:21">
      <c r="A45" t="s">
        <v>164</v>
      </c>
      <c r="B45" t="s">
        <v>165</v>
      </c>
      <c r="C45" t="s">
        <v>37</v>
      </c>
      <c r="D45">
        <v>1</v>
      </c>
      <c r="E45" t="s">
        <v>47</v>
      </c>
      <c r="F45">
        <v>7</v>
      </c>
      <c r="G45" t="s">
        <v>38</v>
      </c>
      <c r="H45" t="s">
        <v>166</v>
      </c>
      <c r="I45">
        <v>66</v>
      </c>
      <c r="J45">
        <v>55</v>
      </c>
      <c r="K45">
        <v>80</v>
      </c>
      <c r="L45">
        <v>87</v>
      </c>
      <c r="M45">
        <v>74</v>
      </c>
      <c r="N45">
        <v>85</v>
      </c>
      <c r="O45">
        <v>381</v>
      </c>
      <c r="P45">
        <v>76.2</v>
      </c>
      <c r="Q45" t="s">
        <v>40</v>
      </c>
      <c r="R45" t="s">
        <v>27</v>
      </c>
      <c r="S45">
        <v>3266</v>
      </c>
      <c r="T45" t="s">
        <v>66</v>
      </c>
      <c r="U45" t="str">
        <f t="shared" si="0"/>
        <v>Pass</v>
      </c>
    </row>
    <row r="46" spans="1:21">
      <c r="A46" t="s">
        <v>167</v>
      </c>
      <c r="B46" t="s">
        <v>168</v>
      </c>
      <c r="C46" t="s">
        <v>37</v>
      </c>
      <c r="D46">
        <v>5</v>
      </c>
      <c r="E46" t="s">
        <v>26</v>
      </c>
      <c r="F46">
        <v>11</v>
      </c>
      <c r="G46" t="s">
        <v>24</v>
      </c>
      <c r="H46" t="s">
        <v>169</v>
      </c>
      <c r="I46">
        <v>61</v>
      </c>
      <c r="J46">
        <v>61</v>
      </c>
      <c r="K46">
        <v>44</v>
      </c>
      <c r="L46">
        <v>78</v>
      </c>
      <c r="M46">
        <v>62</v>
      </c>
      <c r="N46">
        <v>49</v>
      </c>
      <c r="O46">
        <v>294</v>
      </c>
      <c r="P46">
        <v>58.8</v>
      </c>
      <c r="Q46" t="s">
        <v>31</v>
      </c>
      <c r="R46" t="s">
        <v>41</v>
      </c>
      <c r="S46">
        <v>2572</v>
      </c>
      <c r="T46" t="s">
        <v>70</v>
      </c>
      <c r="U46" t="str">
        <f t="shared" si="0"/>
        <v>Pass</v>
      </c>
    </row>
    <row r="47" spans="1:21">
      <c r="A47" t="s">
        <v>170</v>
      </c>
      <c r="B47" t="s">
        <v>134</v>
      </c>
      <c r="C47" t="s">
        <v>37</v>
      </c>
      <c r="D47">
        <v>9</v>
      </c>
      <c r="E47" t="s">
        <v>26</v>
      </c>
      <c r="F47">
        <v>15</v>
      </c>
      <c r="G47" t="s">
        <v>45</v>
      </c>
      <c r="H47" t="s">
        <v>171</v>
      </c>
      <c r="I47">
        <v>88</v>
      </c>
      <c r="J47">
        <v>60</v>
      </c>
      <c r="K47">
        <v>50</v>
      </c>
      <c r="L47">
        <v>98</v>
      </c>
      <c r="M47">
        <v>93</v>
      </c>
      <c r="N47">
        <v>61</v>
      </c>
      <c r="O47">
        <v>362</v>
      </c>
      <c r="P47">
        <v>72.400000000000006</v>
      </c>
      <c r="Q47" t="s">
        <v>40</v>
      </c>
      <c r="R47" t="s">
        <v>27</v>
      </c>
      <c r="S47">
        <v>4795</v>
      </c>
      <c r="T47" t="s">
        <v>48</v>
      </c>
      <c r="U47" t="str">
        <f t="shared" si="0"/>
        <v>Pass</v>
      </c>
    </row>
    <row r="48" spans="1:21">
      <c r="A48" t="s">
        <v>172</v>
      </c>
      <c r="B48" t="s">
        <v>107</v>
      </c>
      <c r="C48" t="s">
        <v>37</v>
      </c>
      <c r="D48">
        <v>5</v>
      </c>
      <c r="E48" t="s">
        <v>47</v>
      </c>
      <c r="F48">
        <v>11</v>
      </c>
      <c r="G48" t="s">
        <v>24</v>
      </c>
      <c r="H48" t="s">
        <v>173</v>
      </c>
      <c r="I48">
        <v>69</v>
      </c>
      <c r="J48">
        <v>46</v>
      </c>
      <c r="K48">
        <v>94</v>
      </c>
      <c r="L48">
        <v>41</v>
      </c>
      <c r="M48">
        <v>97</v>
      </c>
      <c r="N48">
        <v>60</v>
      </c>
      <c r="O48">
        <v>338</v>
      </c>
      <c r="P48">
        <v>67.599999999999994</v>
      </c>
      <c r="Q48" t="s">
        <v>26</v>
      </c>
      <c r="R48" t="s">
        <v>27</v>
      </c>
      <c r="S48">
        <v>2064</v>
      </c>
      <c r="T48" t="s">
        <v>28</v>
      </c>
      <c r="U48" t="str">
        <f t="shared" si="0"/>
        <v>Pass</v>
      </c>
    </row>
    <row r="49" spans="1:21">
      <c r="A49" t="s">
        <v>174</v>
      </c>
      <c r="B49" t="s">
        <v>175</v>
      </c>
      <c r="C49" t="s">
        <v>37</v>
      </c>
      <c r="D49">
        <v>5</v>
      </c>
      <c r="E49" t="s">
        <v>47</v>
      </c>
      <c r="F49">
        <v>9</v>
      </c>
      <c r="G49" t="s">
        <v>24</v>
      </c>
      <c r="H49" t="s">
        <v>176</v>
      </c>
      <c r="I49">
        <v>61</v>
      </c>
      <c r="J49">
        <v>38</v>
      </c>
      <c r="K49">
        <v>65</v>
      </c>
      <c r="L49">
        <v>89</v>
      </c>
      <c r="M49">
        <v>70</v>
      </c>
      <c r="N49">
        <v>97</v>
      </c>
      <c r="O49">
        <v>359</v>
      </c>
      <c r="P49">
        <v>71.8</v>
      </c>
      <c r="Q49" t="s">
        <v>40</v>
      </c>
      <c r="R49" t="s">
        <v>27</v>
      </c>
      <c r="S49">
        <v>2682</v>
      </c>
      <c r="T49" t="s">
        <v>42</v>
      </c>
      <c r="U49" t="str">
        <f t="shared" si="0"/>
        <v>Pass</v>
      </c>
    </row>
    <row r="50" spans="1:21">
      <c r="A50" t="s">
        <v>177</v>
      </c>
      <c r="B50" t="s">
        <v>178</v>
      </c>
      <c r="C50" t="s">
        <v>37</v>
      </c>
      <c r="D50">
        <v>4</v>
      </c>
      <c r="E50" t="s">
        <v>31</v>
      </c>
      <c r="F50">
        <v>9</v>
      </c>
      <c r="G50" t="s">
        <v>45</v>
      </c>
      <c r="H50" t="s">
        <v>179</v>
      </c>
      <c r="I50">
        <v>82</v>
      </c>
      <c r="J50">
        <v>72</v>
      </c>
      <c r="K50">
        <v>69</v>
      </c>
      <c r="L50">
        <v>53</v>
      </c>
      <c r="M50">
        <v>49</v>
      </c>
      <c r="N50">
        <v>93</v>
      </c>
      <c r="O50">
        <v>336</v>
      </c>
      <c r="P50">
        <v>67.2</v>
      </c>
      <c r="Q50" t="s">
        <v>26</v>
      </c>
      <c r="R50" t="s">
        <v>27</v>
      </c>
      <c r="S50">
        <v>4537</v>
      </c>
      <c r="T50" t="s">
        <v>70</v>
      </c>
      <c r="U50" t="str">
        <f t="shared" si="0"/>
        <v>Pass</v>
      </c>
    </row>
    <row r="51" spans="1:21">
      <c r="A51" t="s">
        <v>180</v>
      </c>
      <c r="B51" t="s">
        <v>181</v>
      </c>
      <c r="C51" t="s">
        <v>22</v>
      </c>
      <c r="D51">
        <v>10</v>
      </c>
      <c r="E51" t="s">
        <v>23</v>
      </c>
      <c r="F51">
        <v>15</v>
      </c>
      <c r="G51" t="s">
        <v>54</v>
      </c>
      <c r="H51" t="s">
        <v>182</v>
      </c>
      <c r="I51">
        <v>64</v>
      </c>
      <c r="J51">
        <v>71</v>
      </c>
      <c r="K51">
        <v>43</v>
      </c>
      <c r="L51">
        <v>36</v>
      </c>
      <c r="M51">
        <v>68</v>
      </c>
      <c r="N51">
        <v>90</v>
      </c>
      <c r="O51">
        <v>308</v>
      </c>
      <c r="P51">
        <v>61.6</v>
      </c>
      <c r="Q51" t="s">
        <v>26</v>
      </c>
      <c r="R51" t="s">
        <v>41</v>
      </c>
      <c r="S51">
        <v>4969</v>
      </c>
      <c r="T51" t="s">
        <v>70</v>
      </c>
      <c r="U51" t="str">
        <f t="shared" si="0"/>
        <v>Pass</v>
      </c>
    </row>
    <row r="52" spans="1:21">
      <c r="A52" t="s">
        <v>183</v>
      </c>
      <c r="B52" t="s">
        <v>184</v>
      </c>
      <c r="C52" t="s">
        <v>37</v>
      </c>
      <c r="D52">
        <v>4</v>
      </c>
      <c r="E52" t="s">
        <v>23</v>
      </c>
      <c r="F52">
        <v>8</v>
      </c>
      <c r="G52" t="s">
        <v>64</v>
      </c>
      <c r="H52" t="s">
        <v>185</v>
      </c>
      <c r="I52">
        <v>75</v>
      </c>
      <c r="J52">
        <v>78</v>
      </c>
      <c r="K52">
        <v>91</v>
      </c>
      <c r="L52">
        <v>59</v>
      </c>
      <c r="M52">
        <v>66</v>
      </c>
      <c r="N52">
        <v>88</v>
      </c>
      <c r="O52">
        <v>382</v>
      </c>
      <c r="P52">
        <v>76.400000000000006</v>
      </c>
      <c r="Q52" t="s">
        <v>40</v>
      </c>
      <c r="R52" t="s">
        <v>27</v>
      </c>
      <c r="S52">
        <v>4193</v>
      </c>
      <c r="T52" t="s">
        <v>70</v>
      </c>
      <c r="U52" t="str">
        <f t="shared" si="0"/>
        <v>Pass</v>
      </c>
    </row>
    <row r="53" spans="1:21">
      <c r="A53" t="s">
        <v>186</v>
      </c>
      <c r="B53" t="s">
        <v>187</v>
      </c>
      <c r="C53" t="s">
        <v>22</v>
      </c>
      <c r="D53">
        <v>9</v>
      </c>
      <c r="E53" t="s">
        <v>26</v>
      </c>
      <c r="F53">
        <v>13</v>
      </c>
      <c r="G53" t="s">
        <v>64</v>
      </c>
      <c r="H53" t="s">
        <v>188</v>
      </c>
      <c r="I53">
        <v>92</v>
      </c>
      <c r="J53">
        <v>57</v>
      </c>
      <c r="K53">
        <v>43</v>
      </c>
      <c r="L53">
        <v>46</v>
      </c>
      <c r="M53">
        <v>37</v>
      </c>
      <c r="N53">
        <v>64</v>
      </c>
      <c r="O53">
        <v>247</v>
      </c>
      <c r="P53">
        <v>49.4</v>
      </c>
      <c r="Q53" t="s">
        <v>23</v>
      </c>
      <c r="R53" t="s">
        <v>41</v>
      </c>
      <c r="S53">
        <v>2231</v>
      </c>
      <c r="T53" t="s">
        <v>28</v>
      </c>
      <c r="U53" t="str">
        <f t="shared" si="0"/>
        <v>Fail</v>
      </c>
    </row>
    <row r="54" spans="1:21">
      <c r="A54" t="s">
        <v>189</v>
      </c>
      <c r="B54" t="s">
        <v>190</v>
      </c>
      <c r="C54" t="s">
        <v>37</v>
      </c>
      <c r="D54">
        <v>7</v>
      </c>
      <c r="E54" t="s">
        <v>31</v>
      </c>
      <c r="F54">
        <v>12</v>
      </c>
      <c r="G54" t="s">
        <v>24</v>
      </c>
      <c r="H54" t="s">
        <v>191</v>
      </c>
      <c r="I54">
        <v>72</v>
      </c>
      <c r="J54">
        <v>98</v>
      </c>
      <c r="K54">
        <v>49</v>
      </c>
      <c r="L54">
        <v>87</v>
      </c>
      <c r="M54">
        <v>48</v>
      </c>
      <c r="N54">
        <v>69</v>
      </c>
      <c r="O54">
        <v>351</v>
      </c>
      <c r="P54">
        <v>70.2</v>
      </c>
      <c r="Q54" t="s">
        <v>40</v>
      </c>
      <c r="R54" t="s">
        <v>27</v>
      </c>
      <c r="S54">
        <v>4884</v>
      </c>
      <c r="T54" t="s">
        <v>48</v>
      </c>
      <c r="U54" t="str">
        <f t="shared" si="0"/>
        <v>Pass</v>
      </c>
    </row>
    <row r="55" spans="1:21">
      <c r="A55" t="s">
        <v>192</v>
      </c>
      <c r="B55" t="s">
        <v>193</v>
      </c>
      <c r="C55" t="s">
        <v>22</v>
      </c>
      <c r="D55">
        <v>11</v>
      </c>
      <c r="E55" t="s">
        <v>47</v>
      </c>
      <c r="F55">
        <v>16</v>
      </c>
      <c r="G55" t="s">
        <v>32</v>
      </c>
      <c r="H55" t="s">
        <v>194</v>
      </c>
      <c r="I55">
        <v>67</v>
      </c>
      <c r="J55">
        <v>69</v>
      </c>
      <c r="K55">
        <v>84</v>
      </c>
      <c r="L55">
        <v>75</v>
      </c>
      <c r="M55">
        <v>45</v>
      </c>
      <c r="N55">
        <v>93</v>
      </c>
      <c r="O55">
        <v>366</v>
      </c>
      <c r="P55">
        <v>73.2</v>
      </c>
      <c r="Q55" t="s">
        <v>40</v>
      </c>
      <c r="R55" t="s">
        <v>41</v>
      </c>
      <c r="S55">
        <v>2696</v>
      </c>
      <c r="T55" t="s">
        <v>34</v>
      </c>
      <c r="U55" t="str">
        <f t="shared" si="0"/>
        <v>Pass</v>
      </c>
    </row>
    <row r="56" spans="1:21">
      <c r="A56" t="s">
        <v>195</v>
      </c>
      <c r="B56" t="s">
        <v>196</v>
      </c>
      <c r="C56" t="s">
        <v>37</v>
      </c>
      <c r="D56">
        <v>2</v>
      </c>
      <c r="E56" t="s">
        <v>23</v>
      </c>
      <c r="F56">
        <v>7</v>
      </c>
      <c r="G56" t="s">
        <v>32</v>
      </c>
      <c r="H56" t="s">
        <v>197</v>
      </c>
      <c r="I56">
        <v>99</v>
      </c>
      <c r="J56">
        <v>51</v>
      </c>
      <c r="K56">
        <v>44</v>
      </c>
      <c r="L56">
        <v>48</v>
      </c>
      <c r="M56">
        <v>51</v>
      </c>
      <c r="N56">
        <v>68</v>
      </c>
      <c r="O56">
        <v>262</v>
      </c>
      <c r="P56">
        <v>52.4</v>
      </c>
      <c r="Q56" t="s">
        <v>31</v>
      </c>
      <c r="R56" t="s">
        <v>27</v>
      </c>
      <c r="S56">
        <v>1764</v>
      </c>
      <c r="T56" t="s">
        <v>48</v>
      </c>
      <c r="U56" t="str">
        <f t="shared" si="0"/>
        <v>Fail</v>
      </c>
    </row>
    <row r="57" spans="1:21">
      <c r="A57" t="s">
        <v>198</v>
      </c>
      <c r="B57" t="s">
        <v>199</v>
      </c>
      <c r="C57" t="s">
        <v>37</v>
      </c>
      <c r="D57">
        <v>2</v>
      </c>
      <c r="E57" t="s">
        <v>47</v>
      </c>
      <c r="F57">
        <v>6</v>
      </c>
      <c r="G57" t="s">
        <v>38</v>
      </c>
      <c r="H57" t="s">
        <v>200</v>
      </c>
      <c r="I57">
        <v>94</v>
      </c>
      <c r="J57">
        <v>36</v>
      </c>
      <c r="K57">
        <v>82</v>
      </c>
      <c r="L57">
        <v>76</v>
      </c>
      <c r="M57">
        <v>63</v>
      </c>
      <c r="N57">
        <v>39</v>
      </c>
      <c r="O57">
        <v>296</v>
      </c>
      <c r="P57">
        <v>59.2</v>
      </c>
      <c r="Q57" t="s">
        <v>31</v>
      </c>
      <c r="R57" t="s">
        <v>41</v>
      </c>
      <c r="S57">
        <v>2996</v>
      </c>
      <c r="T57" t="s">
        <v>28</v>
      </c>
      <c r="U57" t="str">
        <f t="shared" si="0"/>
        <v>Pass</v>
      </c>
    </row>
    <row r="58" spans="1:21">
      <c r="A58" t="s">
        <v>201</v>
      </c>
      <c r="B58" t="s">
        <v>202</v>
      </c>
      <c r="C58" t="s">
        <v>37</v>
      </c>
      <c r="D58">
        <v>6</v>
      </c>
      <c r="E58" t="s">
        <v>47</v>
      </c>
      <c r="F58">
        <v>12</v>
      </c>
      <c r="G58" t="s">
        <v>54</v>
      </c>
      <c r="H58" t="s">
        <v>203</v>
      </c>
      <c r="I58">
        <v>72</v>
      </c>
      <c r="J58">
        <v>80</v>
      </c>
      <c r="K58">
        <v>78</v>
      </c>
      <c r="L58">
        <v>47</v>
      </c>
      <c r="M58">
        <v>37</v>
      </c>
      <c r="N58">
        <v>35</v>
      </c>
      <c r="O58">
        <v>277</v>
      </c>
      <c r="P58">
        <v>55.4</v>
      </c>
      <c r="Q58" t="s">
        <v>31</v>
      </c>
      <c r="R58" t="s">
        <v>27</v>
      </c>
      <c r="S58">
        <v>1589</v>
      </c>
      <c r="T58" t="s">
        <v>28</v>
      </c>
      <c r="U58" t="str">
        <f t="shared" si="0"/>
        <v>Pass</v>
      </c>
    </row>
    <row r="59" spans="1:21">
      <c r="A59" t="s">
        <v>204</v>
      </c>
      <c r="B59" t="s">
        <v>205</v>
      </c>
      <c r="C59" t="s">
        <v>22</v>
      </c>
      <c r="D59">
        <v>10</v>
      </c>
      <c r="E59" t="s">
        <v>47</v>
      </c>
      <c r="F59">
        <v>15</v>
      </c>
      <c r="G59" t="s">
        <v>24</v>
      </c>
      <c r="H59" t="s">
        <v>206</v>
      </c>
      <c r="I59">
        <v>72</v>
      </c>
      <c r="J59">
        <v>75</v>
      </c>
      <c r="K59">
        <v>70</v>
      </c>
      <c r="L59">
        <v>50</v>
      </c>
      <c r="M59">
        <v>67</v>
      </c>
      <c r="N59">
        <v>92</v>
      </c>
      <c r="O59">
        <v>354</v>
      </c>
      <c r="P59">
        <v>70.8</v>
      </c>
      <c r="Q59" t="s">
        <v>40</v>
      </c>
      <c r="R59" t="s">
        <v>27</v>
      </c>
      <c r="S59">
        <v>3133</v>
      </c>
      <c r="T59" t="s">
        <v>42</v>
      </c>
      <c r="U59" t="str">
        <f t="shared" si="0"/>
        <v>Pass</v>
      </c>
    </row>
    <row r="60" spans="1:21">
      <c r="A60" t="s">
        <v>207</v>
      </c>
      <c r="B60" t="s">
        <v>208</v>
      </c>
      <c r="C60" t="s">
        <v>37</v>
      </c>
      <c r="D60">
        <v>1</v>
      </c>
      <c r="E60" t="s">
        <v>47</v>
      </c>
      <c r="F60">
        <v>6</v>
      </c>
      <c r="G60" t="s">
        <v>32</v>
      </c>
      <c r="H60" t="s">
        <v>209</v>
      </c>
      <c r="I60">
        <v>80</v>
      </c>
      <c r="J60">
        <v>39</v>
      </c>
      <c r="K60">
        <v>46</v>
      </c>
      <c r="L60">
        <v>91</v>
      </c>
      <c r="M60">
        <v>74</v>
      </c>
      <c r="N60">
        <v>85</v>
      </c>
      <c r="O60">
        <v>335</v>
      </c>
      <c r="P60">
        <v>67</v>
      </c>
      <c r="Q60" t="s">
        <v>26</v>
      </c>
      <c r="R60" t="s">
        <v>41</v>
      </c>
      <c r="S60">
        <v>2062</v>
      </c>
      <c r="T60" t="s">
        <v>66</v>
      </c>
      <c r="U60" t="str">
        <f t="shared" si="0"/>
        <v>Pass</v>
      </c>
    </row>
    <row r="61" spans="1:21">
      <c r="A61" t="s">
        <v>210</v>
      </c>
      <c r="B61" t="s">
        <v>211</v>
      </c>
      <c r="C61" t="s">
        <v>22</v>
      </c>
      <c r="D61">
        <v>2</v>
      </c>
      <c r="E61" t="s">
        <v>26</v>
      </c>
      <c r="F61">
        <v>6</v>
      </c>
      <c r="G61" t="s">
        <v>45</v>
      </c>
      <c r="H61" t="s">
        <v>212</v>
      </c>
      <c r="I61">
        <v>61</v>
      </c>
      <c r="J61">
        <v>41</v>
      </c>
      <c r="K61">
        <v>66</v>
      </c>
      <c r="L61">
        <v>58</v>
      </c>
      <c r="M61">
        <v>38</v>
      </c>
      <c r="N61">
        <v>88</v>
      </c>
      <c r="O61">
        <v>291</v>
      </c>
      <c r="P61">
        <v>58.2</v>
      </c>
      <c r="Q61" t="s">
        <v>31</v>
      </c>
      <c r="R61" t="s">
        <v>27</v>
      </c>
      <c r="S61">
        <v>1517</v>
      </c>
      <c r="T61" t="s">
        <v>28</v>
      </c>
      <c r="U61" t="str">
        <f t="shared" si="0"/>
        <v>Pass</v>
      </c>
    </row>
    <row r="62" spans="1:21">
      <c r="A62" t="s">
        <v>213</v>
      </c>
      <c r="B62" t="s">
        <v>214</v>
      </c>
      <c r="C62" t="s">
        <v>22</v>
      </c>
      <c r="D62">
        <v>6</v>
      </c>
      <c r="E62" t="s">
        <v>23</v>
      </c>
      <c r="F62">
        <v>10</v>
      </c>
      <c r="G62" t="s">
        <v>38</v>
      </c>
      <c r="H62" t="s">
        <v>215</v>
      </c>
      <c r="I62">
        <v>80</v>
      </c>
      <c r="J62">
        <v>94</v>
      </c>
      <c r="K62">
        <v>52</v>
      </c>
      <c r="L62">
        <v>76</v>
      </c>
      <c r="M62">
        <v>65</v>
      </c>
      <c r="N62">
        <v>97</v>
      </c>
      <c r="O62">
        <v>384</v>
      </c>
      <c r="P62">
        <v>76.8</v>
      </c>
      <c r="Q62" t="s">
        <v>40</v>
      </c>
      <c r="R62" t="s">
        <v>41</v>
      </c>
      <c r="S62">
        <v>4766</v>
      </c>
      <c r="T62" t="s">
        <v>48</v>
      </c>
      <c r="U62" t="str">
        <f t="shared" si="0"/>
        <v>Pass</v>
      </c>
    </row>
    <row r="63" spans="1:21">
      <c r="A63" t="s">
        <v>216</v>
      </c>
      <c r="B63" t="s">
        <v>90</v>
      </c>
      <c r="C63" t="s">
        <v>22</v>
      </c>
      <c r="D63">
        <v>11</v>
      </c>
      <c r="E63" t="s">
        <v>47</v>
      </c>
      <c r="F63">
        <v>15</v>
      </c>
      <c r="G63" t="s">
        <v>64</v>
      </c>
      <c r="H63" t="s">
        <v>217</v>
      </c>
      <c r="I63">
        <v>86</v>
      </c>
      <c r="J63">
        <v>89</v>
      </c>
      <c r="K63">
        <v>43</v>
      </c>
      <c r="L63">
        <v>45</v>
      </c>
      <c r="M63">
        <v>59</v>
      </c>
      <c r="N63">
        <v>44</v>
      </c>
      <c r="O63">
        <v>280</v>
      </c>
      <c r="P63">
        <v>56</v>
      </c>
      <c r="Q63" t="s">
        <v>31</v>
      </c>
      <c r="R63" t="s">
        <v>41</v>
      </c>
      <c r="S63">
        <v>1685</v>
      </c>
      <c r="T63" t="s">
        <v>28</v>
      </c>
      <c r="U63" t="str">
        <f t="shared" si="0"/>
        <v>Pass</v>
      </c>
    </row>
    <row r="64" spans="1:21">
      <c r="A64" t="s">
        <v>218</v>
      </c>
      <c r="B64" t="s">
        <v>219</v>
      </c>
      <c r="C64" t="s">
        <v>22</v>
      </c>
      <c r="D64">
        <v>3</v>
      </c>
      <c r="E64" t="s">
        <v>31</v>
      </c>
      <c r="F64">
        <v>7</v>
      </c>
      <c r="G64" t="s">
        <v>32</v>
      </c>
      <c r="H64" t="s">
        <v>220</v>
      </c>
      <c r="I64">
        <v>85</v>
      </c>
      <c r="J64">
        <v>48</v>
      </c>
      <c r="K64">
        <v>100</v>
      </c>
      <c r="L64">
        <v>57</v>
      </c>
      <c r="M64">
        <v>40</v>
      </c>
      <c r="N64">
        <v>97</v>
      </c>
      <c r="O64">
        <v>342</v>
      </c>
      <c r="P64">
        <v>68.400000000000006</v>
      </c>
      <c r="Q64" t="s">
        <v>26</v>
      </c>
      <c r="R64" t="s">
        <v>41</v>
      </c>
      <c r="S64">
        <v>3818</v>
      </c>
      <c r="T64" t="s">
        <v>42</v>
      </c>
      <c r="U64" t="str">
        <f t="shared" si="0"/>
        <v>Pass</v>
      </c>
    </row>
    <row r="65" spans="1:21">
      <c r="A65" t="s">
        <v>221</v>
      </c>
      <c r="B65" t="s">
        <v>196</v>
      </c>
      <c r="C65" t="s">
        <v>37</v>
      </c>
      <c r="D65">
        <v>6</v>
      </c>
      <c r="E65" t="s">
        <v>26</v>
      </c>
      <c r="F65">
        <v>12</v>
      </c>
      <c r="G65" t="s">
        <v>58</v>
      </c>
      <c r="H65" t="s">
        <v>222</v>
      </c>
      <c r="I65">
        <v>73</v>
      </c>
      <c r="J65">
        <v>55</v>
      </c>
      <c r="K65">
        <v>48</v>
      </c>
      <c r="L65">
        <v>100</v>
      </c>
      <c r="M65">
        <v>44</v>
      </c>
      <c r="N65">
        <v>43</v>
      </c>
      <c r="O65">
        <v>290</v>
      </c>
      <c r="P65">
        <v>58</v>
      </c>
      <c r="Q65" t="s">
        <v>31</v>
      </c>
      <c r="R65" t="s">
        <v>41</v>
      </c>
      <c r="S65">
        <v>3941</v>
      </c>
      <c r="T65" t="s">
        <v>42</v>
      </c>
      <c r="U65" t="str">
        <f t="shared" si="0"/>
        <v>Pass</v>
      </c>
    </row>
    <row r="66" spans="1:21">
      <c r="A66" t="s">
        <v>223</v>
      </c>
      <c r="B66" t="s">
        <v>68</v>
      </c>
      <c r="C66" t="s">
        <v>22</v>
      </c>
      <c r="D66">
        <v>12</v>
      </c>
      <c r="E66" t="s">
        <v>31</v>
      </c>
      <c r="F66">
        <v>17</v>
      </c>
      <c r="G66" t="s">
        <v>45</v>
      </c>
      <c r="H66" t="s">
        <v>224</v>
      </c>
      <c r="I66">
        <v>86</v>
      </c>
      <c r="J66">
        <v>89</v>
      </c>
      <c r="K66">
        <v>74</v>
      </c>
      <c r="L66">
        <v>42</v>
      </c>
      <c r="M66">
        <v>93</v>
      </c>
      <c r="N66">
        <v>68</v>
      </c>
      <c r="O66">
        <v>366</v>
      </c>
      <c r="P66">
        <v>73.2</v>
      </c>
      <c r="Q66" t="s">
        <v>40</v>
      </c>
      <c r="R66" t="s">
        <v>27</v>
      </c>
      <c r="S66">
        <v>1816</v>
      </c>
      <c r="T66" t="s">
        <v>34</v>
      </c>
      <c r="U66" t="str">
        <f t="shared" si="0"/>
        <v>Pass</v>
      </c>
    </row>
    <row r="67" spans="1:21">
      <c r="A67" t="s">
        <v>225</v>
      </c>
      <c r="B67" t="s">
        <v>226</v>
      </c>
      <c r="C67" t="s">
        <v>22</v>
      </c>
      <c r="D67">
        <v>4</v>
      </c>
      <c r="E67" t="s">
        <v>31</v>
      </c>
      <c r="F67">
        <v>10</v>
      </c>
      <c r="G67" t="s">
        <v>58</v>
      </c>
      <c r="H67" t="s">
        <v>227</v>
      </c>
      <c r="I67">
        <v>93</v>
      </c>
      <c r="J67">
        <v>61</v>
      </c>
      <c r="K67">
        <v>86</v>
      </c>
      <c r="L67">
        <v>56</v>
      </c>
      <c r="M67">
        <v>42</v>
      </c>
      <c r="N67">
        <v>42</v>
      </c>
      <c r="O67">
        <v>287</v>
      </c>
      <c r="P67">
        <v>57.4</v>
      </c>
      <c r="Q67" t="s">
        <v>31</v>
      </c>
      <c r="R67" t="s">
        <v>41</v>
      </c>
      <c r="S67">
        <v>2750</v>
      </c>
      <c r="T67" t="s">
        <v>34</v>
      </c>
      <c r="U67" t="str">
        <f t="shared" ref="U67:U130" si="1">IF(P67&gt;55,"Pass","Fail")</f>
        <v>Pass</v>
      </c>
    </row>
    <row r="68" spans="1:21">
      <c r="A68" t="s">
        <v>228</v>
      </c>
      <c r="B68" t="s">
        <v>131</v>
      </c>
      <c r="C68" t="s">
        <v>37</v>
      </c>
      <c r="D68">
        <v>7</v>
      </c>
      <c r="E68" t="s">
        <v>26</v>
      </c>
      <c r="F68">
        <v>11</v>
      </c>
      <c r="G68" t="s">
        <v>38</v>
      </c>
      <c r="H68" t="s">
        <v>229</v>
      </c>
      <c r="I68">
        <v>63</v>
      </c>
      <c r="J68">
        <v>94</v>
      </c>
      <c r="K68">
        <v>85</v>
      </c>
      <c r="L68">
        <v>90</v>
      </c>
      <c r="M68">
        <v>38</v>
      </c>
      <c r="N68">
        <v>78</v>
      </c>
      <c r="O68">
        <v>385</v>
      </c>
      <c r="P68">
        <v>77</v>
      </c>
      <c r="Q68" t="s">
        <v>40</v>
      </c>
      <c r="R68" t="s">
        <v>41</v>
      </c>
      <c r="S68">
        <v>1911</v>
      </c>
      <c r="T68" t="s">
        <v>66</v>
      </c>
      <c r="U68" t="str">
        <f t="shared" si="1"/>
        <v>Pass</v>
      </c>
    </row>
    <row r="69" spans="1:21">
      <c r="A69" t="s">
        <v>230</v>
      </c>
      <c r="B69" t="s">
        <v>231</v>
      </c>
      <c r="C69" t="s">
        <v>37</v>
      </c>
      <c r="D69">
        <v>4</v>
      </c>
      <c r="E69" t="s">
        <v>31</v>
      </c>
      <c r="F69">
        <v>8</v>
      </c>
      <c r="G69" t="s">
        <v>38</v>
      </c>
      <c r="H69" t="s">
        <v>232</v>
      </c>
      <c r="I69">
        <v>76</v>
      </c>
      <c r="J69">
        <v>96</v>
      </c>
      <c r="K69">
        <v>95</v>
      </c>
      <c r="L69">
        <v>78</v>
      </c>
      <c r="M69">
        <v>43</v>
      </c>
      <c r="N69">
        <v>54</v>
      </c>
      <c r="O69">
        <v>366</v>
      </c>
      <c r="P69">
        <v>73.2</v>
      </c>
      <c r="Q69" t="s">
        <v>40</v>
      </c>
      <c r="R69" t="s">
        <v>27</v>
      </c>
      <c r="S69">
        <v>3153</v>
      </c>
      <c r="T69" t="s">
        <v>34</v>
      </c>
      <c r="U69" t="str">
        <f t="shared" si="1"/>
        <v>Pass</v>
      </c>
    </row>
    <row r="70" spans="1:21">
      <c r="A70" t="s">
        <v>233</v>
      </c>
      <c r="B70" t="s">
        <v>226</v>
      </c>
      <c r="C70" t="s">
        <v>37</v>
      </c>
      <c r="D70">
        <v>8</v>
      </c>
      <c r="E70" t="s">
        <v>31</v>
      </c>
      <c r="F70">
        <v>13</v>
      </c>
      <c r="G70" t="s">
        <v>54</v>
      </c>
      <c r="H70" t="s">
        <v>234</v>
      </c>
      <c r="I70">
        <v>78</v>
      </c>
      <c r="J70">
        <v>70</v>
      </c>
      <c r="K70">
        <v>87</v>
      </c>
      <c r="L70">
        <v>69</v>
      </c>
      <c r="M70">
        <v>37</v>
      </c>
      <c r="N70">
        <v>57</v>
      </c>
      <c r="O70">
        <v>320</v>
      </c>
      <c r="P70">
        <v>64</v>
      </c>
      <c r="Q70" t="s">
        <v>26</v>
      </c>
      <c r="R70" t="s">
        <v>27</v>
      </c>
      <c r="S70">
        <v>3263</v>
      </c>
      <c r="T70" t="s">
        <v>66</v>
      </c>
      <c r="U70" t="str">
        <f t="shared" si="1"/>
        <v>Pass</v>
      </c>
    </row>
    <row r="71" spans="1:21">
      <c r="A71" t="s">
        <v>235</v>
      </c>
      <c r="B71" t="s">
        <v>236</v>
      </c>
      <c r="C71" t="s">
        <v>22</v>
      </c>
      <c r="D71">
        <v>4</v>
      </c>
      <c r="E71" t="s">
        <v>31</v>
      </c>
      <c r="F71">
        <v>8</v>
      </c>
      <c r="G71" t="s">
        <v>58</v>
      </c>
      <c r="H71" t="s">
        <v>237</v>
      </c>
      <c r="I71">
        <v>70</v>
      </c>
      <c r="J71">
        <v>48</v>
      </c>
      <c r="K71">
        <v>91</v>
      </c>
      <c r="L71">
        <v>55</v>
      </c>
      <c r="M71">
        <v>81</v>
      </c>
      <c r="N71">
        <v>79</v>
      </c>
      <c r="O71">
        <v>354</v>
      </c>
      <c r="P71">
        <v>70.8</v>
      </c>
      <c r="Q71" t="s">
        <v>40</v>
      </c>
      <c r="R71" t="s">
        <v>27</v>
      </c>
      <c r="S71">
        <v>3991</v>
      </c>
      <c r="T71" t="s">
        <v>48</v>
      </c>
      <c r="U71" t="str">
        <f t="shared" si="1"/>
        <v>Pass</v>
      </c>
    </row>
    <row r="72" spans="1:21">
      <c r="A72" t="s">
        <v>238</v>
      </c>
      <c r="B72" t="s">
        <v>239</v>
      </c>
      <c r="C72" t="s">
        <v>37</v>
      </c>
      <c r="D72">
        <v>8</v>
      </c>
      <c r="E72" t="s">
        <v>47</v>
      </c>
      <c r="F72">
        <v>14</v>
      </c>
      <c r="G72" t="s">
        <v>58</v>
      </c>
      <c r="H72" t="s">
        <v>240</v>
      </c>
      <c r="I72">
        <v>100</v>
      </c>
      <c r="J72">
        <v>81</v>
      </c>
      <c r="K72">
        <v>41</v>
      </c>
      <c r="L72">
        <v>97</v>
      </c>
      <c r="M72">
        <v>92</v>
      </c>
      <c r="N72">
        <v>71</v>
      </c>
      <c r="O72">
        <v>382</v>
      </c>
      <c r="P72">
        <v>76.400000000000006</v>
      </c>
      <c r="Q72" t="s">
        <v>40</v>
      </c>
      <c r="R72" t="s">
        <v>27</v>
      </c>
      <c r="S72">
        <v>3024</v>
      </c>
      <c r="T72" t="s">
        <v>42</v>
      </c>
      <c r="U72" t="str">
        <f t="shared" si="1"/>
        <v>Pass</v>
      </c>
    </row>
    <row r="73" spans="1:21">
      <c r="A73" t="s">
        <v>241</v>
      </c>
      <c r="B73" t="s">
        <v>242</v>
      </c>
      <c r="C73" t="s">
        <v>37</v>
      </c>
      <c r="D73">
        <v>7</v>
      </c>
      <c r="E73" t="s">
        <v>31</v>
      </c>
      <c r="F73">
        <v>12</v>
      </c>
      <c r="G73" t="s">
        <v>32</v>
      </c>
      <c r="H73" t="s">
        <v>243</v>
      </c>
      <c r="I73">
        <v>82</v>
      </c>
      <c r="J73">
        <v>54</v>
      </c>
      <c r="K73">
        <v>90</v>
      </c>
      <c r="L73">
        <v>37</v>
      </c>
      <c r="M73">
        <v>43</v>
      </c>
      <c r="N73">
        <v>50</v>
      </c>
      <c r="O73">
        <v>274</v>
      </c>
      <c r="P73">
        <v>54.8</v>
      </c>
      <c r="Q73" t="s">
        <v>31</v>
      </c>
      <c r="R73" t="s">
        <v>41</v>
      </c>
      <c r="S73">
        <v>3757</v>
      </c>
      <c r="T73" t="s">
        <v>28</v>
      </c>
      <c r="U73" t="str">
        <f t="shared" si="1"/>
        <v>Fail</v>
      </c>
    </row>
    <row r="74" spans="1:21">
      <c r="A74" t="s">
        <v>244</v>
      </c>
      <c r="B74" t="s">
        <v>93</v>
      </c>
      <c r="C74" t="s">
        <v>22</v>
      </c>
      <c r="D74">
        <v>6</v>
      </c>
      <c r="E74" t="s">
        <v>26</v>
      </c>
      <c r="F74">
        <v>11</v>
      </c>
      <c r="G74" t="s">
        <v>32</v>
      </c>
      <c r="H74" t="s">
        <v>245</v>
      </c>
      <c r="I74">
        <v>70</v>
      </c>
      <c r="J74">
        <v>67</v>
      </c>
      <c r="K74">
        <v>91</v>
      </c>
      <c r="L74">
        <v>64</v>
      </c>
      <c r="M74">
        <v>72</v>
      </c>
      <c r="N74">
        <v>51</v>
      </c>
      <c r="O74">
        <v>345</v>
      </c>
      <c r="P74">
        <v>69</v>
      </c>
      <c r="Q74" t="s">
        <v>26</v>
      </c>
      <c r="R74" t="s">
        <v>41</v>
      </c>
      <c r="S74">
        <v>4575</v>
      </c>
      <c r="T74" t="s">
        <v>66</v>
      </c>
      <c r="U74" t="str">
        <f t="shared" si="1"/>
        <v>Pass</v>
      </c>
    </row>
    <row r="75" spans="1:21">
      <c r="A75" t="s">
        <v>246</v>
      </c>
      <c r="B75" t="s">
        <v>247</v>
      </c>
      <c r="C75" t="s">
        <v>22</v>
      </c>
      <c r="D75">
        <v>11</v>
      </c>
      <c r="E75" t="s">
        <v>23</v>
      </c>
      <c r="F75">
        <v>17</v>
      </c>
      <c r="G75" t="s">
        <v>58</v>
      </c>
      <c r="H75" t="s">
        <v>248</v>
      </c>
      <c r="I75">
        <v>84</v>
      </c>
      <c r="J75">
        <v>67</v>
      </c>
      <c r="K75">
        <v>49</v>
      </c>
      <c r="L75">
        <v>84</v>
      </c>
      <c r="M75">
        <v>89</v>
      </c>
      <c r="N75">
        <v>71</v>
      </c>
      <c r="O75">
        <v>360</v>
      </c>
      <c r="P75">
        <v>72</v>
      </c>
      <c r="Q75" t="s">
        <v>40</v>
      </c>
      <c r="R75" t="s">
        <v>41</v>
      </c>
      <c r="S75">
        <v>2023</v>
      </c>
      <c r="T75" t="s">
        <v>66</v>
      </c>
      <c r="U75" t="str">
        <f t="shared" si="1"/>
        <v>Pass</v>
      </c>
    </row>
    <row r="76" spans="1:21">
      <c r="A76" t="s">
        <v>249</v>
      </c>
      <c r="B76" t="s">
        <v>250</v>
      </c>
      <c r="C76" t="s">
        <v>22</v>
      </c>
      <c r="D76">
        <v>3</v>
      </c>
      <c r="E76" t="s">
        <v>47</v>
      </c>
      <c r="F76">
        <v>8</v>
      </c>
      <c r="G76" t="s">
        <v>64</v>
      </c>
      <c r="H76" t="s">
        <v>251</v>
      </c>
      <c r="I76">
        <v>76</v>
      </c>
      <c r="J76">
        <v>57</v>
      </c>
      <c r="K76">
        <v>73</v>
      </c>
      <c r="L76">
        <v>84</v>
      </c>
      <c r="M76">
        <v>46</v>
      </c>
      <c r="N76">
        <v>35</v>
      </c>
      <c r="O76">
        <v>295</v>
      </c>
      <c r="P76">
        <v>59</v>
      </c>
      <c r="Q76" t="s">
        <v>31</v>
      </c>
      <c r="R76" t="s">
        <v>41</v>
      </c>
      <c r="S76">
        <v>4121</v>
      </c>
      <c r="T76" t="s">
        <v>28</v>
      </c>
      <c r="U76" t="str">
        <f t="shared" si="1"/>
        <v>Pass</v>
      </c>
    </row>
    <row r="77" spans="1:21">
      <c r="A77" t="s">
        <v>252</v>
      </c>
      <c r="B77" t="s">
        <v>253</v>
      </c>
      <c r="C77" t="s">
        <v>37</v>
      </c>
      <c r="D77">
        <v>4</v>
      </c>
      <c r="E77" t="s">
        <v>47</v>
      </c>
      <c r="F77">
        <v>9</v>
      </c>
      <c r="G77" t="s">
        <v>32</v>
      </c>
      <c r="H77" t="s">
        <v>254</v>
      </c>
      <c r="I77">
        <v>86</v>
      </c>
      <c r="J77">
        <v>40</v>
      </c>
      <c r="K77">
        <v>71</v>
      </c>
      <c r="L77">
        <v>47</v>
      </c>
      <c r="M77">
        <v>43</v>
      </c>
      <c r="N77">
        <v>50</v>
      </c>
      <c r="O77">
        <v>251</v>
      </c>
      <c r="P77">
        <v>50.2</v>
      </c>
      <c r="Q77" t="s">
        <v>31</v>
      </c>
      <c r="R77" t="s">
        <v>27</v>
      </c>
      <c r="S77">
        <v>2581</v>
      </c>
      <c r="T77" t="s">
        <v>48</v>
      </c>
      <c r="U77" t="str">
        <f t="shared" si="1"/>
        <v>Fail</v>
      </c>
    </row>
    <row r="78" spans="1:21">
      <c r="A78" t="s">
        <v>255</v>
      </c>
      <c r="B78" t="s">
        <v>256</v>
      </c>
      <c r="C78" t="s">
        <v>22</v>
      </c>
      <c r="D78">
        <v>2</v>
      </c>
      <c r="E78" t="s">
        <v>47</v>
      </c>
      <c r="F78">
        <v>8</v>
      </c>
      <c r="G78" t="s">
        <v>64</v>
      </c>
      <c r="H78" t="s">
        <v>138</v>
      </c>
      <c r="I78">
        <v>75</v>
      </c>
      <c r="J78">
        <v>73</v>
      </c>
      <c r="K78">
        <v>82</v>
      </c>
      <c r="L78">
        <v>46</v>
      </c>
      <c r="M78">
        <v>42</v>
      </c>
      <c r="N78">
        <v>63</v>
      </c>
      <c r="O78">
        <v>306</v>
      </c>
      <c r="P78">
        <v>61.2</v>
      </c>
      <c r="Q78" t="s">
        <v>26</v>
      </c>
      <c r="R78" t="s">
        <v>27</v>
      </c>
      <c r="S78">
        <v>3598</v>
      </c>
      <c r="T78" t="s">
        <v>42</v>
      </c>
      <c r="U78" t="str">
        <f t="shared" si="1"/>
        <v>Pass</v>
      </c>
    </row>
    <row r="79" spans="1:21">
      <c r="A79" t="s">
        <v>257</v>
      </c>
      <c r="B79" t="s">
        <v>258</v>
      </c>
      <c r="C79" t="s">
        <v>22</v>
      </c>
      <c r="D79">
        <v>11</v>
      </c>
      <c r="E79" t="s">
        <v>23</v>
      </c>
      <c r="F79">
        <v>15</v>
      </c>
      <c r="G79" t="s">
        <v>58</v>
      </c>
      <c r="H79" t="s">
        <v>259</v>
      </c>
      <c r="I79">
        <v>94</v>
      </c>
      <c r="J79">
        <v>73</v>
      </c>
      <c r="K79">
        <v>55</v>
      </c>
      <c r="L79">
        <v>40</v>
      </c>
      <c r="M79">
        <v>55</v>
      </c>
      <c r="N79">
        <v>66</v>
      </c>
      <c r="O79">
        <v>289</v>
      </c>
      <c r="P79">
        <v>57.8</v>
      </c>
      <c r="Q79" t="s">
        <v>31</v>
      </c>
      <c r="R79" t="s">
        <v>41</v>
      </c>
      <c r="S79">
        <v>1591</v>
      </c>
      <c r="T79" t="s">
        <v>42</v>
      </c>
      <c r="U79" t="str">
        <f t="shared" si="1"/>
        <v>Pass</v>
      </c>
    </row>
    <row r="80" spans="1:21">
      <c r="A80" t="s">
        <v>260</v>
      </c>
      <c r="B80" t="s">
        <v>261</v>
      </c>
      <c r="C80" t="s">
        <v>22</v>
      </c>
      <c r="D80">
        <v>5</v>
      </c>
      <c r="E80" t="s">
        <v>23</v>
      </c>
      <c r="F80">
        <v>9</v>
      </c>
      <c r="G80" t="s">
        <v>58</v>
      </c>
      <c r="H80" t="s">
        <v>262</v>
      </c>
      <c r="I80">
        <v>82</v>
      </c>
      <c r="J80">
        <v>83</v>
      </c>
      <c r="K80">
        <v>70</v>
      </c>
      <c r="L80">
        <v>100</v>
      </c>
      <c r="M80">
        <v>93</v>
      </c>
      <c r="N80">
        <v>84</v>
      </c>
      <c r="O80">
        <v>430</v>
      </c>
      <c r="P80">
        <v>86</v>
      </c>
      <c r="Q80" t="s">
        <v>47</v>
      </c>
      <c r="R80" t="s">
        <v>41</v>
      </c>
      <c r="S80">
        <v>1804</v>
      </c>
      <c r="T80" t="s">
        <v>66</v>
      </c>
      <c r="U80" t="str">
        <f t="shared" si="1"/>
        <v>Pass</v>
      </c>
    </row>
    <row r="81" spans="1:21">
      <c r="A81" t="s">
        <v>263</v>
      </c>
      <c r="B81" t="s">
        <v>21</v>
      </c>
      <c r="C81" t="s">
        <v>22</v>
      </c>
      <c r="D81">
        <v>4</v>
      </c>
      <c r="E81" t="s">
        <v>31</v>
      </c>
      <c r="F81">
        <v>8</v>
      </c>
      <c r="G81" t="s">
        <v>24</v>
      </c>
      <c r="H81" t="s">
        <v>264</v>
      </c>
      <c r="I81">
        <v>80</v>
      </c>
      <c r="J81">
        <v>50</v>
      </c>
      <c r="K81">
        <v>77</v>
      </c>
      <c r="L81">
        <v>69</v>
      </c>
      <c r="M81">
        <v>72</v>
      </c>
      <c r="N81">
        <v>100</v>
      </c>
      <c r="O81">
        <v>368</v>
      </c>
      <c r="P81">
        <v>73.599999999999994</v>
      </c>
      <c r="Q81" t="s">
        <v>40</v>
      </c>
      <c r="R81" t="s">
        <v>41</v>
      </c>
      <c r="S81">
        <v>3634</v>
      </c>
      <c r="T81" t="s">
        <v>34</v>
      </c>
      <c r="U81" t="str">
        <f t="shared" si="1"/>
        <v>Pass</v>
      </c>
    </row>
    <row r="82" spans="1:21">
      <c r="A82" t="s">
        <v>265</v>
      </c>
      <c r="B82" t="s">
        <v>44</v>
      </c>
      <c r="C82" t="s">
        <v>22</v>
      </c>
      <c r="D82">
        <v>9</v>
      </c>
      <c r="E82" t="s">
        <v>26</v>
      </c>
      <c r="F82">
        <v>15</v>
      </c>
      <c r="G82" t="s">
        <v>24</v>
      </c>
      <c r="H82" t="s">
        <v>266</v>
      </c>
      <c r="I82">
        <v>73</v>
      </c>
      <c r="J82">
        <v>74</v>
      </c>
      <c r="K82">
        <v>35</v>
      </c>
      <c r="L82">
        <v>90</v>
      </c>
      <c r="M82">
        <v>96</v>
      </c>
      <c r="N82">
        <v>39</v>
      </c>
      <c r="O82">
        <v>334</v>
      </c>
      <c r="P82">
        <v>66.8</v>
      </c>
      <c r="Q82" t="s">
        <v>26</v>
      </c>
      <c r="R82" t="s">
        <v>27</v>
      </c>
      <c r="S82">
        <v>3872</v>
      </c>
      <c r="T82" t="s">
        <v>48</v>
      </c>
      <c r="U82" t="str">
        <f t="shared" si="1"/>
        <v>Pass</v>
      </c>
    </row>
    <row r="83" spans="1:21">
      <c r="A83" t="s">
        <v>267</v>
      </c>
      <c r="B83" t="s">
        <v>226</v>
      </c>
      <c r="C83" t="s">
        <v>22</v>
      </c>
      <c r="D83">
        <v>10</v>
      </c>
      <c r="E83" t="s">
        <v>26</v>
      </c>
      <c r="F83">
        <v>15</v>
      </c>
      <c r="G83" t="s">
        <v>45</v>
      </c>
      <c r="H83" t="s">
        <v>268</v>
      </c>
      <c r="I83">
        <v>72</v>
      </c>
      <c r="J83">
        <v>70</v>
      </c>
      <c r="K83">
        <v>49</v>
      </c>
      <c r="L83">
        <v>74</v>
      </c>
      <c r="M83">
        <v>58</v>
      </c>
      <c r="N83">
        <v>46</v>
      </c>
      <c r="O83">
        <v>297</v>
      </c>
      <c r="P83">
        <v>59.4</v>
      </c>
      <c r="Q83" t="s">
        <v>31</v>
      </c>
      <c r="R83" t="s">
        <v>41</v>
      </c>
      <c r="S83">
        <v>3782</v>
      </c>
      <c r="T83" t="s">
        <v>48</v>
      </c>
      <c r="U83" t="str">
        <f t="shared" si="1"/>
        <v>Pass</v>
      </c>
    </row>
    <row r="84" spans="1:21">
      <c r="A84" t="s">
        <v>269</v>
      </c>
      <c r="B84" t="s">
        <v>50</v>
      </c>
      <c r="C84" t="s">
        <v>37</v>
      </c>
      <c r="D84">
        <v>5</v>
      </c>
      <c r="E84" t="s">
        <v>26</v>
      </c>
      <c r="F84">
        <v>10</v>
      </c>
      <c r="G84" t="s">
        <v>32</v>
      </c>
      <c r="H84" t="s">
        <v>270</v>
      </c>
      <c r="I84">
        <v>91</v>
      </c>
      <c r="J84">
        <v>56</v>
      </c>
      <c r="K84">
        <v>89</v>
      </c>
      <c r="L84">
        <v>89</v>
      </c>
      <c r="M84">
        <v>65</v>
      </c>
      <c r="N84">
        <v>40</v>
      </c>
      <c r="O84">
        <v>339</v>
      </c>
      <c r="P84">
        <v>67.8</v>
      </c>
      <c r="Q84" t="s">
        <v>26</v>
      </c>
      <c r="R84" t="s">
        <v>41</v>
      </c>
      <c r="S84">
        <v>4697</v>
      </c>
      <c r="T84" t="s">
        <v>34</v>
      </c>
      <c r="U84" t="str">
        <f t="shared" si="1"/>
        <v>Pass</v>
      </c>
    </row>
    <row r="85" spans="1:21">
      <c r="A85" t="s">
        <v>271</v>
      </c>
      <c r="B85" t="s">
        <v>137</v>
      </c>
      <c r="C85" t="s">
        <v>22</v>
      </c>
      <c r="D85">
        <v>11</v>
      </c>
      <c r="E85" t="s">
        <v>47</v>
      </c>
      <c r="F85">
        <v>17</v>
      </c>
      <c r="G85" t="s">
        <v>54</v>
      </c>
      <c r="H85" t="s">
        <v>272</v>
      </c>
      <c r="I85">
        <v>77</v>
      </c>
      <c r="J85">
        <v>63</v>
      </c>
      <c r="K85">
        <v>97</v>
      </c>
      <c r="L85">
        <v>48</v>
      </c>
      <c r="M85">
        <v>80</v>
      </c>
      <c r="N85">
        <v>77</v>
      </c>
      <c r="O85">
        <v>365</v>
      </c>
      <c r="P85">
        <v>73</v>
      </c>
      <c r="Q85" t="s">
        <v>40</v>
      </c>
      <c r="R85" t="s">
        <v>27</v>
      </c>
      <c r="S85">
        <v>4144</v>
      </c>
      <c r="T85" t="s">
        <v>48</v>
      </c>
      <c r="U85" t="str">
        <f t="shared" si="1"/>
        <v>Pass</v>
      </c>
    </row>
    <row r="86" spans="1:21">
      <c r="A86" t="s">
        <v>273</v>
      </c>
      <c r="B86" t="s">
        <v>274</v>
      </c>
      <c r="C86" t="s">
        <v>37</v>
      </c>
      <c r="D86">
        <v>4</v>
      </c>
      <c r="E86" t="s">
        <v>31</v>
      </c>
      <c r="F86">
        <v>8</v>
      </c>
      <c r="G86" t="s">
        <v>24</v>
      </c>
      <c r="H86" t="s">
        <v>275</v>
      </c>
      <c r="I86">
        <v>100</v>
      </c>
      <c r="J86">
        <v>55</v>
      </c>
      <c r="K86">
        <v>67</v>
      </c>
      <c r="L86">
        <v>61</v>
      </c>
      <c r="M86">
        <v>97</v>
      </c>
      <c r="N86">
        <v>55</v>
      </c>
      <c r="O86">
        <v>335</v>
      </c>
      <c r="P86">
        <v>67</v>
      </c>
      <c r="Q86" t="s">
        <v>26</v>
      </c>
      <c r="R86" t="s">
        <v>27</v>
      </c>
      <c r="S86">
        <v>3108</v>
      </c>
      <c r="T86" t="s">
        <v>34</v>
      </c>
      <c r="U86" t="str">
        <f t="shared" si="1"/>
        <v>Pass</v>
      </c>
    </row>
    <row r="87" spans="1:21">
      <c r="A87" t="s">
        <v>276</v>
      </c>
      <c r="B87" t="s">
        <v>277</v>
      </c>
      <c r="C87" t="s">
        <v>22</v>
      </c>
      <c r="D87">
        <v>6</v>
      </c>
      <c r="E87" t="s">
        <v>31</v>
      </c>
      <c r="F87">
        <v>10</v>
      </c>
      <c r="G87" t="s">
        <v>54</v>
      </c>
      <c r="H87" t="s">
        <v>278</v>
      </c>
      <c r="I87">
        <v>83</v>
      </c>
      <c r="J87">
        <v>61</v>
      </c>
      <c r="K87">
        <v>55</v>
      </c>
      <c r="L87">
        <v>67</v>
      </c>
      <c r="M87">
        <v>40</v>
      </c>
      <c r="N87">
        <v>72</v>
      </c>
      <c r="O87">
        <v>295</v>
      </c>
      <c r="P87">
        <v>59</v>
      </c>
      <c r="Q87" t="s">
        <v>31</v>
      </c>
      <c r="R87" t="s">
        <v>41</v>
      </c>
      <c r="S87">
        <v>4024</v>
      </c>
      <c r="T87" t="s">
        <v>70</v>
      </c>
      <c r="U87" t="str">
        <f t="shared" si="1"/>
        <v>Pass</v>
      </c>
    </row>
    <row r="88" spans="1:21">
      <c r="A88" t="s">
        <v>279</v>
      </c>
      <c r="B88" t="s">
        <v>280</v>
      </c>
      <c r="C88" t="s">
        <v>22</v>
      </c>
      <c r="D88">
        <v>6</v>
      </c>
      <c r="E88" t="s">
        <v>26</v>
      </c>
      <c r="F88">
        <v>12</v>
      </c>
      <c r="G88" t="s">
        <v>64</v>
      </c>
      <c r="H88" t="s">
        <v>281</v>
      </c>
      <c r="I88">
        <v>71</v>
      </c>
      <c r="J88">
        <v>73</v>
      </c>
      <c r="K88">
        <v>83</v>
      </c>
      <c r="L88">
        <v>66</v>
      </c>
      <c r="M88">
        <v>57</v>
      </c>
      <c r="N88">
        <v>85</v>
      </c>
      <c r="O88">
        <v>364</v>
      </c>
      <c r="P88">
        <v>72.8</v>
      </c>
      <c r="Q88" t="s">
        <v>40</v>
      </c>
      <c r="R88" t="s">
        <v>27</v>
      </c>
      <c r="S88">
        <v>4344</v>
      </c>
      <c r="T88" t="s">
        <v>28</v>
      </c>
      <c r="U88" t="str">
        <f t="shared" si="1"/>
        <v>Pass</v>
      </c>
    </row>
    <row r="89" spans="1:21">
      <c r="A89" t="s">
        <v>282</v>
      </c>
      <c r="B89" t="s">
        <v>148</v>
      </c>
      <c r="C89" t="s">
        <v>22</v>
      </c>
      <c r="D89">
        <v>5</v>
      </c>
      <c r="E89" t="s">
        <v>47</v>
      </c>
      <c r="F89">
        <v>11</v>
      </c>
      <c r="G89" t="s">
        <v>54</v>
      </c>
      <c r="H89" t="s">
        <v>283</v>
      </c>
      <c r="I89">
        <v>75</v>
      </c>
      <c r="J89">
        <v>95</v>
      </c>
      <c r="K89">
        <v>49</v>
      </c>
      <c r="L89">
        <v>74</v>
      </c>
      <c r="M89">
        <v>39</v>
      </c>
      <c r="N89">
        <v>84</v>
      </c>
      <c r="O89">
        <v>341</v>
      </c>
      <c r="P89">
        <v>68.2</v>
      </c>
      <c r="Q89" t="s">
        <v>26</v>
      </c>
      <c r="R89" t="s">
        <v>27</v>
      </c>
      <c r="S89">
        <v>1867</v>
      </c>
      <c r="T89" t="s">
        <v>34</v>
      </c>
      <c r="U89" t="str">
        <f t="shared" si="1"/>
        <v>Pass</v>
      </c>
    </row>
    <row r="90" spans="1:21">
      <c r="A90" t="s">
        <v>284</v>
      </c>
      <c r="B90" t="s">
        <v>274</v>
      </c>
      <c r="C90" t="s">
        <v>37</v>
      </c>
      <c r="D90">
        <v>10</v>
      </c>
      <c r="E90" t="s">
        <v>31</v>
      </c>
      <c r="F90">
        <v>16</v>
      </c>
      <c r="G90" t="s">
        <v>24</v>
      </c>
      <c r="H90" t="s">
        <v>285</v>
      </c>
      <c r="I90">
        <v>82</v>
      </c>
      <c r="J90">
        <v>82</v>
      </c>
      <c r="K90">
        <v>67</v>
      </c>
      <c r="L90">
        <v>68</v>
      </c>
      <c r="M90">
        <v>89</v>
      </c>
      <c r="N90">
        <v>74</v>
      </c>
      <c r="O90">
        <v>380</v>
      </c>
      <c r="P90">
        <v>76</v>
      </c>
      <c r="Q90" t="s">
        <v>40</v>
      </c>
      <c r="R90" t="s">
        <v>27</v>
      </c>
      <c r="S90">
        <v>4831</v>
      </c>
      <c r="T90" t="s">
        <v>66</v>
      </c>
      <c r="U90" t="str">
        <f t="shared" si="1"/>
        <v>Pass</v>
      </c>
    </row>
    <row r="91" spans="1:21">
      <c r="A91" t="s">
        <v>286</v>
      </c>
      <c r="B91" t="s">
        <v>75</v>
      </c>
      <c r="C91" t="s">
        <v>37</v>
      </c>
      <c r="D91">
        <v>6</v>
      </c>
      <c r="E91" t="s">
        <v>47</v>
      </c>
      <c r="F91">
        <v>10</v>
      </c>
      <c r="G91" t="s">
        <v>24</v>
      </c>
      <c r="H91" t="s">
        <v>287</v>
      </c>
      <c r="I91">
        <v>78</v>
      </c>
      <c r="J91">
        <v>38</v>
      </c>
      <c r="K91">
        <v>53</v>
      </c>
      <c r="L91">
        <v>99</v>
      </c>
      <c r="M91">
        <v>66</v>
      </c>
      <c r="N91">
        <v>89</v>
      </c>
      <c r="O91">
        <v>345</v>
      </c>
      <c r="P91">
        <v>69</v>
      </c>
      <c r="Q91" t="s">
        <v>26</v>
      </c>
      <c r="R91" t="s">
        <v>41</v>
      </c>
      <c r="S91">
        <v>3536</v>
      </c>
      <c r="T91" t="s">
        <v>34</v>
      </c>
      <c r="U91" t="str">
        <f t="shared" si="1"/>
        <v>Pass</v>
      </c>
    </row>
    <row r="92" spans="1:21">
      <c r="A92" t="s">
        <v>288</v>
      </c>
      <c r="B92" t="s">
        <v>289</v>
      </c>
      <c r="C92" t="s">
        <v>37</v>
      </c>
      <c r="D92">
        <v>10</v>
      </c>
      <c r="E92" t="s">
        <v>47</v>
      </c>
      <c r="F92">
        <v>16</v>
      </c>
      <c r="G92" t="s">
        <v>45</v>
      </c>
      <c r="H92" t="s">
        <v>290</v>
      </c>
      <c r="I92">
        <v>74</v>
      </c>
      <c r="J92">
        <v>36</v>
      </c>
      <c r="K92">
        <v>38</v>
      </c>
      <c r="L92">
        <v>76</v>
      </c>
      <c r="M92">
        <v>38</v>
      </c>
      <c r="N92">
        <v>58</v>
      </c>
      <c r="O92">
        <v>246</v>
      </c>
      <c r="P92">
        <v>49.2</v>
      </c>
      <c r="Q92" t="s">
        <v>23</v>
      </c>
      <c r="R92" t="s">
        <v>27</v>
      </c>
      <c r="S92">
        <v>2236</v>
      </c>
      <c r="T92" t="s">
        <v>70</v>
      </c>
      <c r="U92" t="str">
        <f t="shared" si="1"/>
        <v>Fail</v>
      </c>
    </row>
    <row r="93" spans="1:21">
      <c r="A93" t="s">
        <v>291</v>
      </c>
      <c r="B93" t="s">
        <v>292</v>
      </c>
      <c r="C93" t="s">
        <v>37</v>
      </c>
      <c r="D93">
        <v>1</v>
      </c>
      <c r="E93" t="s">
        <v>31</v>
      </c>
      <c r="F93">
        <v>6</v>
      </c>
      <c r="G93" t="s">
        <v>38</v>
      </c>
      <c r="H93" t="s">
        <v>293</v>
      </c>
      <c r="I93">
        <v>70</v>
      </c>
      <c r="J93">
        <v>68</v>
      </c>
      <c r="K93">
        <v>63</v>
      </c>
      <c r="L93">
        <v>49</v>
      </c>
      <c r="M93">
        <v>73</v>
      </c>
      <c r="N93">
        <v>39</v>
      </c>
      <c r="O93">
        <v>292</v>
      </c>
      <c r="P93">
        <v>58.4</v>
      </c>
      <c r="Q93" t="s">
        <v>31</v>
      </c>
      <c r="R93" t="s">
        <v>41</v>
      </c>
      <c r="S93">
        <v>3473</v>
      </c>
      <c r="T93" t="s">
        <v>70</v>
      </c>
      <c r="U93" t="str">
        <f t="shared" si="1"/>
        <v>Pass</v>
      </c>
    </row>
    <row r="94" spans="1:21">
      <c r="A94" t="s">
        <v>294</v>
      </c>
      <c r="B94" t="s">
        <v>295</v>
      </c>
      <c r="C94" t="s">
        <v>37</v>
      </c>
      <c r="D94">
        <v>1</v>
      </c>
      <c r="E94" t="s">
        <v>23</v>
      </c>
      <c r="F94">
        <v>6</v>
      </c>
      <c r="G94" t="s">
        <v>45</v>
      </c>
      <c r="H94" t="s">
        <v>296</v>
      </c>
      <c r="I94">
        <v>91</v>
      </c>
      <c r="J94">
        <v>91</v>
      </c>
      <c r="K94">
        <v>86</v>
      </c>
      <c r="L94">
        <v>96</v>
      </c>
      <c r="M94">
        <v>37</v>
      </c>
      <c r="N94">
        <v>92</v>
      </c>
      <c r="O94">
        <v>402</v>
      </c>
      <c r="P94">
        <v>80.400000000000006</v>
      </c>
      <c r="Q94" t="s">
        <v>47</v>
      </c>
      <c r="R94" t="s">
        <v>27</v>
      </c>
      <c r="S94">
        <v>3667</v>
      </c>
      <c r="T94" t="s">
        <v>28</v>
      </c>
      <c r="U94" t="str">
        <f t="shared" si="1"/>
        <v>Pass</v>
      </c>
    </row>
    <row r="95" spans="1:21">
      <c r="A95" t="s">
        <v>297</v>
      </c>
      <c r="B95" t="s">
        <v>151</v>
      </c>
      <c r="C95" t="s">
        <v>37</v>
      </c>
      <c r="D95">
        <v>12</v>
      </c>
      <c r="E95" t="s">
        <v>26</v>
      </c>
      <c r="F95">
        <v>17</v>
      </c>
      <c r="G95" t="s">
        <v>64</v>
      </c>
      <c r="H95" t="s">
        <v>298</v>
      </c>
      <c r="I95">
        <v>65</v>
      </c>
      <c r="J95">
        <v>58</v>
      </c>
      <c r="K95">
        <v>55</v>
      </c>
      <c r="L95">
        <v>87</v>
      </c>
      <c r="M95">
        <v>50</v>
      </c>
      <c r="N95">
        <v>59</v>
      </c>
      <c r="O95">
        <v>309</v>
      </c>
      <c r="P95">
        <v>61.8</v>
      </c>
      <c r="Q95" t="s">
        <v>26</v>
      </c>
      <c r="R95" t="s">
        <v>41</v>
      </c>
      <c r="S95">
        <v>1825</v>
      </c>
      <c r="T95" t="s">
        <v>48</v>
      </c>
      <c r="U95" t="str">
        <f t="shared" si="1"/>
        <v>Pass</v>
      </c>
    </row>
    <row r="96" spans="1:21">
      <c r="A96" t="s">
        <v>299</v>
      </c>
      <c r="B96" t="s">
        <v>81</v>
      </c>
      <c r="C96" t="s">
        <v>37</v>
      </c>
      <c r="D96">
        <v>2</v>
      </c>
      <c r="E96" t="s">
        <v>23</v>
      </c>
      <c r="F96">
        <v>6</v>
      </c>
      <c r="G96" t="s">
        <v>24</v>
      </c>
      <c r="H96" t="s">
        <v>300</v>
      </c>
      <c r="I96">
        <v>72</v>
      </c>
      <c r="J96">
        <v>51</v>
      </c>
      <c r="K96">
        <v>77</v>
      </c>
      <c r="L96">
        <v>98</v>
      </c>
      <c r="M96">
        <v>94</v>
      </c>
      <c r="N96">
        <v>83</v>
      </c>
      <c r="O96">
        <v>403</v>
      </c>
      <c r="P96">
        <v>80.599999999999994</v>
      </c>
      <c r="Q96" t="s">
        <v>47</v>
      </c>
      <c r="R96" t="s">
        <v>41</v>
      </c>
      <c r="S96">
        <v>3848</v>
      </c>
      <c r="T96" t="s">
        <v>48</v>
      </c>
      <c r="U96" t="str">
        <f t="shared" si="1"/>
        <v>Pass</v>
      </c>
    </row>
    <row r="97" spans="1:21">
      <c r="A97" t="s">
        <v>301</v>
      </c>
      <c r="B97" t="s">
        <v>302</v>
      </c>
      <c r="C97" t="s">
        <v>22</v>
      </c>
      <c r="D97">
        <v>4</v>
      </c>
      <c r="E97" t="s">
        <v>31</v>
      </c>
      <c r="F97">
        <v>8</v>
      </c>
      <c r="G97" t="s">
        <v>45</v>
      </c>
      <c r="H97" t="s">
        <v>303</v>
      </c>
      <c r="I97">
        <v>88</v>
      </c>
      <c r="J97">
        <v>44</v>
      </c>
      <c r="K97">
        <v>36</v>
      </c>
      <c r="L97">
        <v>49</v>
      </c>
      <c r="M97">
        <v>66</v>
      </c>
      <c r="N97">
        <v>67</v>
      </c>
      <c r="O97">
        <v>262</v>
      </c>
      <c r="P97">
        <v>52.4</v>
      </c>
      <c r="Q97" t="s">
        <v>31</v>
      </c>
      <c r="R97" t="s">
        <v>27</v>
      </c>
      <c r="S97">
        <v>2581</v>
      </c>
      <c r="T97" t="s">
        <v>42</v>
      </c>
      <c r="U97" t="str">
        <f t="shared" si="1"/>
        <v>Fail</v>
      </c>
    </row>
    <row r="98" spans="1:21">
      <c r="A98" t="s">
        <v>304</v>
      </c>
      <c r="B98" t="s">
        <v>305</v>
      </c>
      <c r="C98" t="s">
        <v>37</v>
      </c>
      <c r="D98">
        <v>3</v>
      </c>
      <c r="E98" t="s">
        <v>23</v>
      </c>
      <c r="F98">
        <v>8</v>
      </c>
      <c r="G98" t="s">
        <v>24</v>
      </c>
      <c r="H98" t="s">
        <v>306</v>
      </c>
      <c r="I98">
        <v>71</v>
      </c>
      <c r="J98">
        <v>97</v>
      </c>
      <c r="K98">
        <v>56</v>
      </c>
      <c r="L98">
        <v>80</v>
      </c>
      <c r="M98">
        <v>94</v>
      </c>
      <c r="N98">
        <v>91</v>
      </c>
      <c r="O98">
        <v>418</v>
      </c>
      <c r="P98">
        <v>83.6</v>
      </c>
      <c r="Q98" t="s">
        <v>47</v>
      </c>
      <c r="R98" t="s">
        <v>27</v>
      </c>
      <c r="S98">
        <v>4535</v>
      </c>
      <c r="T98" t="s">
        <v>70</v>
      </c>
      <c r="U98" t="str">
        <f t="shared" si="1"/>
        <v>Pass</v>
      </c>
    </row>
    <row r="99" spans="1:21">
      <c r="A99" t="s">
        <v>307</v>
      </c>
      <c r="B99" t="s">
        <v>308</v>
      </c>
      <c r="C99" t="s">
        <v>22</v>
      </c>
      <c r="D99">
        <v>11</v>
      </c>
      <c r="E99" t="s">
        <v>31</v>
      </c>
      <c r="F99">
        <v>15</v>
      </c>
      <c r="G99" t="s">
        <v>64</v>
      </c>
      <c r="H99" t="s">
        <v>309</v>
      </c>
      <c r="I99">
        <v>80</v>
      </c>
      <c r="J99">
        <v>66</v>
      </c>
      <c r="K99">
        <v>87</v>
      </c>
      <c r="L99">
        <v>73</v>
      </c>
      <c r="M99">
        <v>84</v>
      </c>
      <c r="N99">
        <v>75</v>
      </c>
      <c r="O99">
        <v>385</v>
      </c>
      <c r="P99">
        <v>77</v>
      </c>
      <c r="Q99" t="s">
        <v>40</v>
      </c>
      <c r="R99" t="s">
        <v>41</v>
      </c>
      <c r="S99">
        <v>4113</v>
      </c>
      <c r="T99" t="s">
        <v>34</v>
      </c>
      <c r="U99" t="str">
        <f t="shared" si="1"/>
        <v>Pass</v>
      </c>
    </row>
    <row r="100" spans="1:21">
      <c r="A100" t="s">
        <v>310</v>
      </c>
      <c r="B100" t="s">
        <v>199</v>
      </c>
      <c r="C100" t="s">
        <v>37</v>
      </c>
      <c r="D100">
        <v>1</v>
      </c>
      <c r="E100" t="s">
        <v>26</v>
      </c>
      <c r="F100">
        <v>6</v>
      </c>
      <c r="G100" t="s">
        <v>58</v>
      </c>
      <c r="H100" t="s">
        <v>311</v>
      </c>
      <c r="I100">
        <v>76</v>
      </c>
      <c r="J100">
        <v>64</v>
      </c>
      <c r="K100">
        <v>69</v>
      </c>
      <c r="L100">
        <v>86</v>
      </c>
      <c r="M100">
        <v>48</v>
      </c>
      <c r="N100">
        <v>53</v>
      </c>
      <c r="O100">
        <v>320</v>
      </c>
      <c r="P100">
        <v>64</v>
      </c>
      <c r="Q100" t="s">
        <v>26</v>
      </c>
      <c r="R100" t="s">
        <v>41</v>
      </c>
      <c r="S100">
        <v>3756</v>
      </c>
      <c r="T100" t="s">
        <v>70</v>
      </c>
      <c r="U100" t="str">
        <f t="shared" si="1"/>
        <v>Pass</v>
      </c>
    </row>
    <row r="101" spans="1:21">
      <c r="A101" t="s">
        <v>312</v>
      </c>
      <c r="B101" t="s">
        <v>242</v>
      </c>
      <c r="C101" t="s">
        <v>37</v>
      </c>
      <c r="D101">
        <v>8</v>
      </c>
      <c r="E101" t="s">
        <v>26</v>
      </c>
      <c r="F101">
        <v>13</v>
      </c>
      <c r="G101" t="s">
        <v>54</v>
      </c>
      <c r="H101" t="s">
        <v>313</v>
      </c>
      <c r="I101">
        <v>81</v>
      </c>
      <c r="J101">
        <v>78</v>
      </c>
      <c r="K101">
        <v>43</v>
      </c>
      <c r="L101">
        <v>85</v>
      </c>
      <c r="M101">
        <v>58</v>
      </c>
      <c r="N101">
        <v>80</v>
      </c>
      <c r="O101">
        <v>344</v>
      </c>
      <c r="P101">
        <v>68.8</v>
      </c>
      <c r="Q101" t="s">
        <v>26</v>
      </c>
      <c r="R101" t="s">
        <v>41</v>
      </c>
      <c r="S101">
        <v>2237</v>
      </c>
      <c r="T101" t="s">
        <v>28</v>
      </c>
      <c r="U101" t="str">
        <f t="shared" si="1"/>
        <v>Pass</v>
      </c>
    </row>
    <row r="102" spans="1:21">
      <c r="A102" t="s">
        <v>314</v>
      </c>
      <c r="B102" t="s">
        <v>208</v>
      </c>
      <c r="C102" t="s">
        <v>37</v>
      </c>
      <c r="D102">
        <v>5</v>
      </c>
      <c r="E102" t="s">
        <v>47</v>
      </c>
      <c r="F102">
        <v>10</v>
      </c>
      <c r="G102" t="s">
        <v>32</v>
      </c>
      <c r="H102" t="s">
        <v>315</v>
      </c>
      <c r="I102">
        <v>66</v>
      </c>
      <c r="J102">
        <v>72</v>
      </c>
      <c r="K102">
        <v>61</v>
      </c>
      <c r="L102">
        <v>81</v>
      </c>
      <c r="M102">
        <v>81</v>
      </c>
      <c r="N102">
        <v>69</v>
      </c>
      <c r="O102">
        <v>364</v>
      </c>
      <c r="P102">
        <v>72.8</v>
      </c>
      <c r="Q102" t="s">
        <v>40</v>
      </c>
      <c r="R102" t="s">
        <v>27</v>
      </c>
      <c r="S102">
        <v>4163</v>
      </c>
      <c r="T102" t="s">
        <v>34</v>
      </c>
      <c r="U102" t="str">
        <f t="shared" si="1"/>
        <v>Pass</v>
      </c>
    </row>
    <row r="103" spans="1:21">
      <c r="A103" t="s">
        <v>316</v>
      </c>
      <c r="B103" t="s">
        <v>154</v>
      </c>
      <c r="C103" t="s">
        <v>22</v>
      </c>
      <c r="D103">
        <v>6</v>
      </c>
      <c r="E103" t="s">
        <v>31</v>
      </c>
      <c r="F103">
        <v>11</v>
      </c>
      <c r="G103" t="s">
        <v>38</v>
      </c>
      <c r="H103" t="s">
        <v>317</v>
      </c>
      <c r="I103">
        <v>98</v>
      </c>
      <c r="J103">
        <v>85</v>
      </c>
      <c r="K103">
        <v>91</v>
      </c>
      <c r="L103">
        <v>37</v>
      </c>
      <c r="M103">
        <v>50</v>
      </c>
      <c r="N103">
        <v>70</v>
      </c>
      <c r="O103">
        <v>333</v>
      </c>
      <c r="P103">
        <v>66.599999999999994</v>
      </c>
      <c r="Q103" t="s">
        <v>26</v>
      </c>
      <c r="R103" t="s">
        <v>27</v>
      </c>
      <c r="S103">
        <v>4765</v>
      </c>
      <c r="T103" t="s">
        <v>66</v>
      </c>
      <c r="U103" t="str">
        <f t="shared" si="1"/>
        <v>Pass</v>
      </c>
    </row>
    <row r="104" spans="1:21">
      <c r="A104" t="s">
        <v>318</v>
      </c>
      <c r="B104" t="s">
        <v>319</v>
      </c>
      <c r="C104" t="s">
        <v>22</v>
      </c>
      <c r="D104">
        <v>4</v>
      </c>
      <c r="E104" t="s">
        <v>23</v>
      </c>
      <c r="F104">
        <v>9</v>
      </c>
      <c r="G104" t="s">
        <v>24</v>
      </c>
      <c r="H104" t="s">
        <v>320</v>
      </c>
      <c r="I104">
        <v>96</v>
      </c>
      <c r="J104">
        <v>80</v>
      </c>
      <c r="K104">
        <v>44</v>
      </c>
      <c r="L104">
        <v>68</v>
      </c>
      <c r="M104">
        <v>91</v>
      </c>
      <c r="N104">
        <v>51</v>
      </c>
      <c r="O104">
        <v>334</v>
      </c>
      <c r="P104">
        <v>66.8</v>
      </c>
      <c r="Q104" t="s">
        <v>26</v>
      </c>
      <c r="R104" t="s">
        <v>41</v>
      </c>
      <c r="S104">
        <v>4550</v>
      </c>
      <c r="T104" t="s">
        <v>48</v>
      </c>
      <c r="U104" t="str">
        <f t="shared" si="1"/>
        <v>Pass</v>
      </c>
    </row>
    <row r="105" spans="1:21">
      <c r="A105" t="s">
        <v>321</v>
      </c>
      <c r="B105" t="s">
        <v>322</v>
      </c>
      <c r="C105" t="s">
        <v>37</v>
      </c>
      <c r="D105">
        <v>12</v>
      </c>
      <c r="E105" t="s">
        <v>31</v>
      </c>
      <c r="F105">
        <v>17</v>
      </c>
      <c r="G105" t="s">
        <v>24</v>
      </c>
      <c r="H105" t="s">
        <v>158</v>
      </c>
      <c r="I105">
        <v>62</v>
      </c>
      <c r="J105">
        <v>100</v>
      </c>
      <c r="K105">
        <v>66</v>
      </c>
      <c r="L105">
        <v>74</v>
      </c>
      <c r="M105">
        <v>83</v>
      </c>
      <c r="N105">
        <v>87</v>
      </c>
      <c r="O105">
        <v>410</v>
      </c>
      <c r="P105">
        <v>82</v>
      </c>
      <c r="Q105" t="s">
        <v>47</v>
      </c>
      <c r="R105" t="s">
        <v>27</v>
      </c>
      <c r="S105">
        <v>1890</v>
      </c>
      <c r="T105" t="s">
        <v>48</v>
      </c>
      <c r="U105" t="str">
        <f t="shared" si="1"/>
        <v>Pass</v>
      </c>
    </row>
    <row r="106" spans="1:21">
      <c r="A106" t="s">
        <v>323</v>
      </c>
      <c r="B106" t="s">
        <v>151</v>
      </c>
      <c r="C106" t="s">
        <v>22</v>
      </c>
      <c r="D106">
        <v>11</v>
      </c>
      <c r="E106" t="s">
        <v>26</v>
      </c>
      <c r="F106">
        <v>16</v>
      </c>
      <c r="G106" t="s">
        <v>24</v>
      </c>
      <c r="H106" t="s">
        <v>324</v>
      </c>
      <c r="I106">
        <v>71</v>
      </c>
      <c r="J106">
        <v>56</v>
      </c>
      <c r="K106">
        <v>49</v>
      </c>
      <c r="L106">
        <v>97</v>
      </c>
      <c r="M106">
        <v>65</v>
      </c>
      <c r="N106">
        <v>44</v>
      </c>
      <c r="O106">
        <v>311</v>
      </c>
      <c r="P106">
        <v>62.2</v>
      </c>
      <c r="Q106" t="s">
        <v>26</v>
      </c>
      <c r="R106" t="s">
        <v>41</v>
      </c>
      <c r="S106">
        <v>3211</v>
      </c>
      <c r="T106" t="s">
        <v>70</v>
      </c>
      <c r="U106" t="str">
        <f t="shared" si="1"/>
        <v>Pass</v>
      </c>
    </row>
    <row r="107" spans="1:21">
      <c r="A107" t="s">
        <v>325</v>
      </c>
      <c r="B107" t="s">
        <v>326</v>
      </c>
      <c r="C107" t="s">
        <v>37</v>
      </c>
      <c r="D107">
        <v>11</v>
      </c>
      <c r="E107" t="s">
        <v>31</v>
      </c>
      <c r="F107">
        <v>17</v>
      </c>
      <c r="G107" t="s">
        <v>45</v>
      </c>
      <c r="H107" t="s">
        <v>327</v>
      </c>
      <c r="I107">
        <v>63</v>
      </c>
      <c r="J107">
        <v>98</v>
      </c>
      <c r="K107">
        <v>63</v>
      </c>
      <c r="L107">
        <v>50</v>
      </c>
      <c r="M107">
        <v>40</v>
      </c>
      <c r="N107">
        <v>38</v>
      </c>
      <c r="O107">
        <v>289</v>
      </c>
      <c r="P107">
        <v>57.8</v>
      </c>
      <c r="Q107" t="s">
        <v>31</v>
      </c>
      <c r="R107" t="s">
        <v>27</v>
      </c>
      <c r="S107">
        <v>4840</v>
      </c>
      <c r="T107" t="s">
        <v>66</v>
      </c>
      <c r="U107" t="str">
        <f t="shared" si="1"/>
        <v>Pass</v>
      </c>
    </row>
    <row r="108" spans="1:21">
      <c r="A108" t="s">
        <v>328</v>
      </c>
      <c r="B108" t="s">
        <v>329</v>
      </c>
      <c r="C108" t="s">
        <v>37</v>
      </c>
      <c r="D108">
        <v>12</v>
      </c>
      <c r="E108" t="s">
        <v>31</v>
      </c>
      <c r="F108">
        <v>18</v>
      </c>
      <c r="G108" t="s">
        <v>54</v>
      </c>
      <c r="H108" t="s">
        <v>330</v>
      </c>
      <c r="I108">
        <v>84</v>
      </c>
      <c r="J108">
        <v>82</v>
      </c>
      <c r="K108">
        <v>68</v>
      </c>
      <c r="L108">
        <v>79</v>
      </c>
      <c r="M108">
        <v>95</v>
      </c>
      <c r="N108">
        <v>72</v>
      </c>
      <c r="O108">
        <v>396</v>
      </c>
      <c r="P108">
        <v>79.2</v>
      </c>
      <c r="Q108" t="s">
        <v>40</v>
      </c>
      <c r="R108" t="s">
        <v>41</v>
      </c>
      <c r="S108">
        <v>1795</v>
      </c>
      <c r="T108" t="s">
        <v>28</v>
      </c>
      <c r="U108" t="str">
        <f t="shared" si="1"/>
        <v>Pass</v>
      </c>
    </row>
    <row r="109" spans="1:21">
      <c r="A109" t="s">
        <v>331</v>
      </c>
      <c r="B109" t="s">
        <v>332</v>
      </c>
      <c r="C109" t="s">
        <v>22</v>
      </c>
      <c r="D109">
        <v>5</v>
      </c>
      <c r="E109" t="s">
        <v>23</v>
      </c>
      <c r="F109">
        <v>9</v>
      </c>
      <c r="G109" t="s">
        <v>64</v>
      </c>
      <c r="H109" t="s">
        <v>333</v>
      </c>
      <c r="I109">
        <v>75</v>
      </c>
      <c r="J109">
        <v>99</v>
      </c>
      <c r="K109">
        <v>50</v>
      </c>
      <c r="L109">
        <v>87</v>
      </c>
      <c r="M109">
        <v>35</v>
      </c>
      <c r="N109">
        <v>53</v>
      </c>
      <c r="O109">
        <v>324</v>
      </c>
      <c r="P109">
        <v>64.8</v>
      </c>
      <c r="Q109" t="s">
        <v>26</v>
      </c>
      <c r="R109" t="s">
        <v>27</v>
      </c>
      <c r="S109">
        <v>3820</v>
      </c>
      <c r="T109" t="s">
        <v>34</v>
      </c>
      <c r="U109" t="str">
        <f t="shared" si="1"/>
        <v>Pass</v>
      </c>
    </row>
    <row r="110" spans="1:21">
      <c r="A110" t="s">
        <v>334</v>
      </c>
      <c r="B110" t="s">
        <v>335</v>
      </c>
      <c r="C110" t="s">
        <v>37</v>
      </c>
      <c r="D110">
        <v>4</v>
      </c>
      <c r="E110" t="s">
        <v>31</v>
      </c>
      <c r="F110">
        <v>8</v>
      </c>
      <c r="G110" t="s">
        <v>64</v>
      </c>
      <c r="H110" t="s">
        <v>336</v>
      </c>
      <c r="I110">
        <v>77</v>
      </c>
      <c r="J110">
        <v>43</v>
      </c>
      <c r="K110">
        <v>35</v>
      </c>
      <c r="L110">
        <v>81</v>
      </c>
      <c r="M110">
        <v>60</v>
      </c>
      <c r="N110">
        <v>77</v>
      </c>
      <c r="O110">
        <v>296</v>
      </c>
      <c r="P110">
        <v>59.2</v>
      </c>
      <c r="Q110" t="s">
        <v>31</v>
      </c>
      <c r="R110" t="s">
        <v>27</v>
      </c>
      <c r="S110">
        <v>4283</v>
      </c>
      <c r="T110" t="s">
        <v>48</v>
      </c>
      <c r="U110" t="str">
        <f t="shared" si="1"/>
        <v>Pass</v>
      </c>
    </row>
    <row r="111" spans="1:21">
      <c r="A111" t="s">
        <v>337</v>
      </c>
      <c r="B111" t="s">
        <v>123</v>
      </c>
      <c r="C111" t="s">
        <v>37</v>
      </c>
      <c r="D111">
        <v>8</v>
      </c>
      <c r="E111" t="s">
        <v>47</v>
      </c>
      <c r="F111">
        <v>13</v>
      </c>
      <c r="G111" t="s">
        <v>54</v>
      </c>
      <c r="H111" t="s">
        <v>338</v>
      </c>
      <c r="I111">
        <v>66</v>
      </c>
      <c r="J111">
        <v>97</v>
      </c>
      <c r="K111">
        <v>77</v>
      </c>
      <c r="L111">
        <v>87</v>
      </c>
      <c r="M111">
        <v>39</v>
      </c>
      <c r="N111">
        <v>93</v>
      </c>
      <c r="O111">
        <v>393</v>
      </c>
      <c r="P111">
        <v>78.599999999999994</v>
      </c>
      <c r="Q111" t="s">
        <v>40</v>
      </c>
      <c r="R111" t="s">
        <v>41</v>
      </c>
      <c r="S111">
        <v>1758</v>
      </c>
      <c r="T111" t="s">
        <v>34</v>
      </c>
      <c r="U111" t="str">
        <f t="shared" si="1"/>
        <v>Pass</v>
      </c>
    </row>
    <row r="112" spans="1:21">
      <c r="A112" t="s">
        <v>339</v>
      </c>
      <c r="B112" t="s">
        <v>84</v>
      </c>
      <c r="C112" t="s">
        <v>22</v>
      </c>
      <c r="D112">
        <v>1</v>
      </c>
      <c r="E112" t="s">
        <v>31</v>
      </c>
      <c r="F112">
        <v>6</v>
      </c>
      <c r="G112" t="s">
        <v>45</v>
      </c>
      <c r="H112" t="s">
        <v>76</v>
      </c>
      <c r="I112">
        <v>98</v>
      </c>
      <c r="J112">
        <v>71</v>
      </c>
      <c r="K112">
        <v>45</v>
      </c>
      <c r="L112">
        <v>82</v>
      </c>
      <c r="M112">
        <v>42</v>
      </c>
      <c r="N112">
        <v>46</v>
      </c>
      <c r="O112">
        <v>286</v>
      </c>
      <c r="P112">
        <v>57.2</v>
      </c>
      <c r="Q112" t="s">
        <v>31</v>
      </c>
      <c r="R112" t="s">
        <v>27</v>
      </c>
      <c r="S112">
        <v>4023</v>
      </c>
      <c r="T112" t="s">
        <v>42</v>
      </c>
      <c r="U112" t="str">
        <f t="shared" si="1"/>
        <v>Pass</v>
      </c>
    </row>
    <row r="113" spans="1:21">
      <c r="A113" t="s">
        <v>340</v>
      </c>
      <c r="B113" t="s">
        <v>140</v>
      </c>
      <c r="C113" t="s">
        <v>37</v>
      </c>
      <c r="D113">
        <v>5</v>
      </c>
      <c r="E113" t="s">
        <v>31</v>
      </c>
      <c r="F113">
        <v>9</v>
      </c>
      <c r="G113" t="s">
        <v>45</v>
      </c>
      <c r="H113" t="s">
        <v>341</v>
      </c>
      <c r="I113">
        <v>69</v>
      </c>
      <c r="J113">
        <v>81</v>
      </c>
      <c r="K113">
        <v>66</v>
      </c>
      <c r="L113">
        <v>96</v>
      </c>
      <c r="M113">
        <v>44</v>
      </c>
      <c r="N113">
        <v>47</v>
      </c>
      <c r="O113">
        <v>334</v>
      </c>
      <c r="P113">
        <v>66.8</v>
      </c>
      <c r="Q113" t="s">
        <v>26</v>
      </c>
      <c r="R113" t="s">
        <v>27</v>
      </c>
      <c r="S113">
        <v>3252</v>
      </c>
      <c r="T113" t="s">
        <v>70</v>
      </c>
      <c r="U113" t="str">
        <f t="shared" si="1"/>
        <v>Pass</v>
      </c>
    </row>
    <row r="114" spans="1:21">
      <c r="A114" t="s">
        <v>342</v>
      </c>
      <c r="B114" t="s">
        <v>343</v>
      </c>
      <c r="C114" t="s">
        <v>22</v>
      </c>
      <c r="D114">
        <v>5</v>
      </c>
      <c r="E114" t="s">
        <v>26</v>
      </c>
      <c r="F114">
        <v>10</v>
      </c>
      <c r="G114" t="s">
        <v>32</v>
      </c>
      <c r="H114" t="s">
        <v>344</v>
      </c>
      <c r="I114">
        <v>89</v>
      </c>
      <c r="J114">
        <v>52</v>
      </c>
      <c r="K114">
        <v>64</v>
      </c>
      <c r="L114">
        <v>46</v>
      </c>
      <c r="M114">
        <v>96</v>
      </c>
      <c r="N114">
        <v>70</v>
      </c>
      <c r="O114">
        <v>328</v>
      </c>
      <c r="P114">
        <v>65.599999999999994</v>
      </c>
      <c r="Q114" t="s">
        <v>26</v>
      </c>
      <c r="R114" t="s">
        <v>41</v>
      </c>
      <c r="S114">
        <v>2023</v>
      </c>
      <c r="T114" t="s">
        <v>34</v>
      </c>
      <c r="U114" t="str">
        <f t="shared" si="1"/>
        <v>Pass</v>
      </c>
    </row>
    <row r="115" spans="1:21">
      <c r="A115" t="s">
        <v>345</v>
      </c>
      <c r="B115" t="s">
        <v>72</v>
      </c>
      <c r="C115" t="s">
        <v>37</v>
      </c>
      <c r="D115">
        <v>10</v>
      </c>
      <c r="E115" t="s">
        <v>31</v>
      </c>
      <c r="F115">
        <v>14</v>
      </c>
      <c r="G115" t="s">
        <v>45</v>
      </c>
      <c r="H115" t="s">
        <v>346</v>
      </c>
      <c r="I115">
        <v>69</v>
      </c>
      <c r="J115">
        <v>70</v>
      </c>
      <c r="K115">
        <v>80</v>
      </c>
      <c r="L115">
        <v>50</v>
      </c>
      <c r="M115">
        <v>80</v>
      </c>
      <c r="N115">
        <v>38</v>
      </c>
      <c r="O115">
        <v>318</v>
      </c>
      <c r="P115">
        <v>63.6</v>
      </c>
      <c r="Q115" t="s">
        <v>26</v>
      </c>
      <c r="R115" t="s">
        <v>41</v>
      </c>
      <c r="S115">
        <v>2744</v>
      </c>
      <c r="T115" t="s">
        <v>34</v>
      </c>
      <c r="U115" t="str">
        <f t="shared" si="1"/>
        <v>Pass</v>
      </c>
    </row>
    <row r="116" spans="1:21">
      <c r="A116" t="s">
        <v>347</v>
      </c>
      <c r="B116" t="s">
        <v>75</v>
      </c>
      <c r="C116" t="s">
        <v>37</v>
      </c>
      <c r="D116">
        <v>3</v>
      </c>
      <c r="E116" t="s">
        <v>47</v>
      </c>
      <c r="F116">
        <v>9</v>
      </c>
      <c r="G116" t="s">
        <v>32</v>
      </c>
      <c r="H116" t="s">
        <v>348</v>
      </c>
      <c r="I116">
        <v>70</v>
      </c>
      <c r="J116">
        <v>68</v>
      </c>
      <c r="K116">
        <v>48</v>
      </c>
      <c r="L116">
        <v>40</v>
      </c>
      <c r="M116">
        <v>57</v>
      </c>
      <c r="N116">
        <v>96</v>
      </c>
      <c r="O116">
        <v>309</v>
      </c>
      <c r="P116">
        <v>61.8</v>
      </c>
      <c r="Q116" t="s">
        <v>26</v>
      </c>
      <c r="R116" t="s">
        <v>27</v>
      </c>
      <c r="S116">
        <v>3045</v>
      </c>
      <c r="T116" t="s">
        <v>70</v>
      </c>
      <c r="U116" t="str">
        <f t="shared" si="1"/>
        <v>Pass</v>
      </c>
    </row>
    <row r="117" spans="1:21">
      <c r="A117" t="s">
        <v>349</v>
      </c>
      <c r="B117" t="s">
        <v>350</v>
      </c>
      <c r="C117" t="s">
        <v>22</v>
      </c>
      <c r="D117">
        <v>8</v>
      </c>
      <c r="E117" t="s">
        <v>26</v>
      </c>
      <c r="F117">
        <v>13</v>
      </c>
      <c r="G117" t="s">
        <v>38</v>
      </c>
      <c r="H117" t="s">
        <v>351</v>
      </c>
      <c r="I117">
        <v>81</v>
      </c>
      <c r="J117">
        <v>42</v>
      </c>
      <c r="K117">
        <v>41</v>
      </c>
      <c r="L117">
        <v>65</v>
      </c>
      <c r="M117">
        <v>85</v>
      </c>
      <c r="N117">
        <v>51</v>
      </c>
      <c r="O117">
        <v>284</v>
      </c>
      <c r="P117">
        <v>56.8</v>
      </c>
      <c r="Q117" t="s">
        <v>31</v>
      </c>
      <c r="R117" t="s">
        <v>27</v>
      </c>
      <c r="S117">
        <v>2971</v>
      </c>
      <c r="T117" t="s">
        <v>48</v>
      </c>
      <c r="U117" t="str">
        <f t="shared" si="1"/>
        <v>Pass</v>
      </c>
    </row>
    <row r="118" spans="1:21">
      <c r="A118" t="s">
        <v>352</v>
      </c>
      <c r="B118" t="s">
        <v>239</v>
      </c>
      <c r="C118" t="s">
        <v>37</v>
      </c>
      <c r="D118">
        <v>10</v>
      </c>
      <c r="E118" t="s">
        <v>31</v>
      </c>
      <c r="F118">
        <v>14</v>
      </c>
      <c r="G118" t="s">
        <v>54</v>
      </c>
      <c r="H118" t="s">
        <v>353</v>
      </c>
      <c r="I118">
        <v>72</v>
      </c>
      <c r="J118">
        <v>86</v>
      </c>
      <c r="K118">
        <v>38</v>
      </c>
      <c r="L118">
        <v>39</v>
      </c>
      <c r="M118">
        <v>46</v>
      </c>
      <c r="N118">
        <v>64</v>
      </c>
      <c r="O118">
        <v>273</v>
      </c>
      <c r="P118">
        <v>54.6</v>
      </c>
      <c r="Q118" t="s">
        <v>31</v>
      </c>
      <c r="R118" t="s">
        <v>41</v>
      </c>
      <c r="S118">
        <v>4544</v>
      </c>
      <c r="T118" t="s">
        <v>70</v>
      </c>
      <c r="U118" t="str">
        <f t="shared" si="1"/>
        <v>Fail</v>
      </c>
    </row>
    <row r="119" spans="1:21">
      <c r="A119" t="s">
        <v>354</v>
      </c>
      <c r="B119" t="s">
        <v>289</v>
      </c>
      <c r="C119" t="s">
        <v>37</v>
      </c>
      <c r="D119">
        <v>10</v>
      </c>
      <c r="E119" t="s">
        <v>26</v>
      </c>
      <c r="F119">
        <v>14</v>
      </c>
      <c r="G119" t="s">
        <v>54</v>
      </c>
      <c r="H119" t="s">
        <v>355</v>
      </c>
      <c r="I119">
        <v>96</v>
      </c>
      <c r="J119">
        <v>74</v>
      </c>
      <c r="K119">
        <v>67</v>
      </c>
      <c r="L119">
        <v>83</v>
      </c>
      <c r="M119">
        <v>39</v>
      </c>
      <c r="N119">
        <v>86</v>
      </c>
      <c r="O119">
        <v>349</v>
      </c>
      <c r="P119">
        <v>69.8</v>
      </c>
      <c r="Q119" t="s">
        <v>26</v>
      </c>
      <c r="R119" t="s">
        <v>27</v>
      </c>
      <c r="S119">
        <v>1659</v>
      </c>
      <c r="T119" t="s">
        <v>42</v>
      </c>
      <c r="U119" t="str">
        <f t="shared" si="1"/>
        <v>Pass</v>
      </c>
    </row>
    <row r="120" spans="1:21">
      <c r="A120" t="s">
        <v>356</v>
      </c>
      <c r="B120" t="s">
        <v>329</v>
      </c>
      <c r="C120" t="s">
        <v>22</v>
      </c>
      <c r="D120">
        <v>1</v>
      </c>
      <c r="E120" t="s">
        <v>26</v>
      </c>
      <c r="F120">
        <v>6</v>
      </c>
      <c r="G120" t="s">
        <v>32</v>
      </c>
      <c r="H120" t="s">
        <v>357</v>
      </c>
      <c r="I120">
        <v>69</v>
      </c>
      <c r="J120">
        <v>91</v>
      </c>
      <c r="K120">
        <v>40</v>
      </c>
      <c r="L120">
        <v>94</v>
      </c>
      <c r="M120">
        <v>84</v>
      </c>
      <c r="N120">
        <v>69</v>
      </c>
      <c r="O120">
        <v>378</v>
      </c>
      <c r="P120">
        <v>75.599999999999994</v>
      </c>
      <c r="Q120" t="s">
        <v>40</v>
      </c>
      <c r="R120" t="s">
        <v>41</v>
      </c>
      <c r="S120">
        <v>4376</v>
      </c>
      <c r="T120" t="s">
        <v>28</v>
      </c>
      <c r="U120" t="str">
        <f t="shared" si="1"/>
        <v>Pass</v>
      </c>
    </row>
    <row r="121" spans="1:21">
      <c r="A121" t="s">
        <v>358</v>
      </c>
      <c r="B121" t="s">
        <v>359</v>
      </c>
      <c r="C121" t="s">
        <v>37</v>
      </c>
      <c r="D121">
        <v>5</v>
      </c>
      <c r="E121" t="s">
        <v>26</v>
      </c>
      <c r="F121">
        <v>11</v>
      </c>
      <c r="G121" t="s">
        <v>45</v>
      </c>
      <c r="H121" t="s">
        <v>360</v>
      </c>
      <c r="I121">
        <v>81</v>
      </c>
      <c r="J121">
        <v>49</v>
      </c>
      <c r="K121">
        <v>35</v>
      </c>
      <c r="L121">
        <v>97</v>
      </c>
      <c r="M121">
        <v>66</v>
      </c>
      <c r="N121">
        <v>50</v>
      </c>
      <c r="O121">
        <v>297</v>
      </c>
      <c r="P121">
        <v>59.4</v>
      </c>
      <c r="Q121" t="s">
        <v>31</v>
      </c>
      <c r="R121" t="s">
        <v>41</v>
      </c>
      <c r="S121">
        <v>3698</v>
      </c>
      <c r="T121" t="s">
        <v>48</v>
      </c>
      <c r="U121" t="str">
        <f t="shared" si="1"/>
        <v>Pass</v>
      </c>
    </row>
    <row r="122" spans="1:21">
      <c r="A122" t="s">
        <v>361</v>
      </c>
      <c r="B122" t="s">
        <v>53</v>
      </c>
      <c r="C122" t="s">
        <v>37</v>
      </c>
      <c r="D122">
        <v>8</v>
      </c>
      <c r="E122" t="s">
        <v>26</v>
      </c>
      <c r="F122">
        <v>14</v>
      </c>
      <c r="G122" t="s">
        <v>58</v>
      </c>
      <c r="H122" t="s">
        <v>272</v>
      </c>
      <c r="I122">
        <v>74</v>
      </c>
      <c r="J122">
        <v>52</v>
      </c>
      <c r="K122">
        <v>90</v>
      </c>
      <c r="L122">
        <v>51</v>
      </c>
      <c r="M122">
        <v>54</v>
      </c>
      <c r="N122">
        <v>41</v>
      </c>
      <c r="O122">
        <v>288</v>
      </c>
      <c r="P122">
        <v>57.6</v>
      </c>
      <c r="Q122" t="s">
        <v>31</v>
      </c>
      <c r="R122" t="s">
        <v>27</v>
      </c>
      <c r="S122">
        <v>3322</v>
      </c>
      <c r="T122" t="s">
        <v>42</v>
      </c>
      <c r="U122" t="str">
        <f t="shared" si="1"/>
        <v>Pass</v>
      </c>
    </row>
    <row r="123" spans="1:21">
      <c r="A123" t="s">
        <v>362</v>
      </c>
      <c r="B123" t="s">
        <v>104</v>
      </c>
      <c r="C123" t="s">
        <v>22</v>
      </c>
      <c r="D123">
        <v>5</v>
      </c>
      <c r="E123" t="s">
        <v>31</v>
      </c>
      <c r="F123">
        <v>9</v>
      </c>
      <c r="G123" t="s">
        <v>64</v>
      </c>
      <c r="H123" t="s">
        <v>363</v>
      </c>
      <c r="I123">
        <v>71</v>
      </c>
      <c r="J123">
        <v>58</v>
      </c>
      <c r="K123">
        <v>37</v>
      </c>
      <c r="L123">
        <v>46</v>
      </c>
      <c r="M123">
        <v>54</v>
      </c>
      <c r="N123">
        <v>75</v>
      </c>
      <c r="O123">
        <v>270</v>
      </c>
      <c r="P123">
        <v>54</v>
      </c>
      <c r="Q123" t="s">
        <v>31</v>
      </c>
      <c r="R123" t="s">
        <v>41</v>
      </c>
      <c r="S123">
        <v>3107</v>
      </c>
      <c r="T123" t="s">
        <v>70</v>
      </c>
      <c r="U123" t="str">
        <f t="shared" si="1"/>
        <v>Fail</v>
      </c>
    </row>
    <row r="124" spans="1:21">
      <c r="A124" t="s">
        <v>364</v>
      </c>
      <c r="B124" t="s">
        <v>365</v>
      </c>
      <c r="C124" t="s">
        <v>37</v>
      </c>
      <c r="D124">
        <v>10</v>
      </c>
      <c r="E124" t="s">
        <v>31</v>
      </c>
      <c r="F124">
        <v>14</v>
      </c>
      <c r="G124" t="s">
        <v>38</v>
      </c>
      <c r="H124" t="s">
        <v>366</v>
      </c>
      <c r="I124">
        <v>99</v>
      </c>
      <c r="J124">
        <v>43</v>
      </c>
      <c r="K124">
        <v>85</v>
      </c>
      <c r="L124">
        <v>89</v>
      </c>
      <c r="M124">
        <v>77</v>
      </c>
      <c r="N124">
        <v>87</v>
      </c>
      <c r="O124">
        <v>381</v>
      </c>
      <c r="P124">
        <v>76.2</v>
      </c>
      <c r="Q124" t="s">
        <v>40</v>
      </c>
      <c r="R124" t="s">
        <v>41</v>
      </c>
      <c r="S124">
        <v>2283</v>
      </c>
      <c r="T124" t="s">
        <v>34</v>
      </c>
      <c r="U124" t="str">
        <f t="shared" si="1"/>
        <v>Pass</v>
      </c>
    </row>
    <row r="125" spans="1:21">
      <c r="A125" t="s">
        <v>367</v>
      </c>
      <c r="B125" t="s">
        <v>277</v>
      </c>
      <c r="C125" t="s">
        <v>22</v>
      </c>
      <c r="D125">
        <v>11</v>
      </c>
      <c r="E125" t="s">
        <v>47</v>
      </c>
      <c r="F125">
        <v>16</v>
      </c>
      <c r="G125" t="s">
        <v>58</v>
      </c>
      <c r="H125" t="s">
        <v>368</v>
      </c>
      <c r="I125">
        <v>96</v>
      </c>
      <c r="J125">
        <v>45</v>
      </c>
      <c r="K125">
        <v>87</v>
      </c>
      <c r="L125">
        <v>79</v>
      </c>
      <c r="M125">
        <v>64</v>
      </c>
      <c r="N125">
        <v>83</v>
      </c>
      <c r="O125">
        <v>358</v>
      </c>
      <c r="P125">
        <v>71.599999999999994</v>
      </c>
      <c r="Q125" t="s">
        <v>40</v>
      </c>
      <c r="R125" t="s">
        <v>27</v>
      </c>
      <c r="S125">
        <v>4790</v>
      </c>
      <c r="T125" t="s">
        <v>34</v>
      </c>
      <c r="U125" t="str">
        <f t="shared" si="1"/>
        <v>Pass</v>
      </c>
    </row>
    <row r="126" spans="1:21">
      <c r="A126" t="s">
        <v>369</v>
      </c>
      <c r="B126" t="s">
        <v>370</v>
      </c>
      <c r="C126" t="s">
        <v>22</v>
      </c>
      <c r="D126">
        <v>7</v>
      </c>
      <c r="E126" t="s">
        <v>31</v>
      </c>
      <c r="F126">
        <v>11</v>
      </c>
      <c r="G126" t="s">
        <v>54</v>
      </c>
      <c r="H126" t="s">
        <v>371</v>
      </c>
      <c r="I126">
        <v>96</v>
      </c>
      <c r="J126">
        <v>81</v>
      </c>
      <c r="K126">
        <v>52</v>
      </c>
      <c r="L126">
        <v>38</v>
      </c>
      <c r="M126">
        <v>72</v>
      </c>
      <c r="N126">
        <v>43</v>
      </c>
      <c r="O126">
        <v>286</v>
      </c>
      <c r="P126">
        <v>57.2</v>
      </c>
      <c r="Q126" t="s">
        <v>31</v>
      </c>
      <c r="R126" t="s">
        <v>27</v>
      </c>
      <c r="S126">
        <v>2352</v>
      </c>
      <c r="T126" t="s">
        <v>42</v>
      </c>
      <c r="U126" t="str">
        <f t="shared" si="1"/>
        <v>Pass</v>
      </c>
    </row>
    <row r="127" spans="1:21">
      <c r="A127" t="s">
        <v>372</v>
      </c>
      <c r="B127" t="s">
        <v>373</v>
      </c>
      <c r="C127" t="s">
        <v>37</v>
      </c>
      <c r="D127">
        <v>2</v>
      </c>
      <c r="E127" t="s">
        <v>23</v>
      </c>
      <c r="F127">
        <v>7</v>
      </c>
      <c r="G127" t="s">
        <v>24</v>
      </c>
      <c r="H127" t="s">
        <v>143</v>
      </c>
      <c r="I127">
        <v>92</v>
      </c>
      <c r="J127">
        <v>81</v>
      </c>
      <c r="K127">
        <v>61</v>
      </c>
      <c r="L127">
        <v>65</v>
      </c>
      <c r="M127">
        <v>92</v>
      </c>
      <c r="N127">
        <v>39</v>
      </c>
      <c r="O127">
        <v>338</v>
      </c>
      <c r="P127">
        <v>67.599999999999994</v>
      </c>
      <c r="Q127" t="s">
        <v>26</v>
      </c>
      <c r="R127" t="s">
        <v>27</v>
      </c>
      <c r="S127">
        <v>1955</v>
      </c>
      <c r="T127" t="s">
        <v>42</v>
      </c>
      <c r="U127" t="str">
        <f t="shared" si="1"/>
        <v>Pass</v>
      </c>
    </row>
    <row r="128" spans="1:21">
      <c r="A128" t="s">
        <v>374</v>
      </c>
      <c r="B128" t="s">
        <v>375</v>
      </c>
      <c r="C128" t="s">
        <v>22</v>
      </c>
      <c r="D128">
        <v>5</v>
      </c>
      <c r="E128" t="s">
        <v>47</v>
      </c>
      <c r="F128">
        <v>11</v>
      </c>
      <c r="G128" t="s">
        <v>64</v>
      </c>
      <c r="H128" t="s">
        <v>376</v>
      </c>
      <c r="I128">
        <v>94</v>
      </c>
      <c r="J128">
        <v>79</v>
      </c>
      <c r="K128">
        <v>50</v>
      </c>
      <c r="L128">
        <v>81</v>
      </c>
      <c r="M128">
        <v>38</v>
      </c>
      <c r="N128">
        <v>53</v>
      </c>
      <c r="O128">
        <v>301</v>
      </c>
      <c r="P128">
        <v>60.2</v>
      </c>
      <c r="Q128" t="s">
        <v>26</v>
      </c>
      <c r="R128" t="s">
        <v>27</v>
      </c>
      <c r="S128">
        <v>3746</v>
      </c>
      <c r="T128" t="s">
        <v>34</v>
      </c>
      <c r="U128" t="str">
        <f t="shared" si="1"/>
        <v>Pass</v>
      </c>
    </row>
    <row r="129" spans="1:21">
      <c r="A129" t="s">
        <v>377</v>
      </c>
      <c r="B129" t="s">
        <v>378</v>
      </c>
      <c r="C129" t="s">
        <v>22</v>
      </c>
      <c r="D129">
        <v>5</v>
      </c>
      <c r="E129" t="s">
        <v>23</v>
      </c>
      <c r="F129">
        <v>9</v>
      </c>
      <c r="G129" t="s">
        <v>38</v>
      </c>
      <c r="H129" t="s">
        <v>379</v>
      </c>
      <c r="I129">
        <v>97</v>
      </c>
      <c r="J129">
        <v>91</v>
      </c>
      <c r="K129">
        <v>86</v>
      </c>
      <c r="L129">
        <v>43</v>
      </c>
      <c r="M129">
        <v>76</v>
      </c>
      <c r="N129">
        <v>79</v>
      </c>
      <c r="O129">
        <v>375</v>
      </c>
      <c r="P129">
        <v>75</v>
      </c>
      <c r="Q129" t="s">
        <v>40</v>
      </c>
      <c r="R129" t="s">
        <v>27</v>
      </c>
      <c r="S129">
        <v>2128</v>
      </c>
      <c r="T129" t="s">
        <v>34</v>
      </c>
      <c r="U129" t="str">
        <f t="shared" si="1"/>
        <v>Pass</v>
      </c>
    </row>
    <row r="130" spans="1:21">
      <c r="A130" t="s">
        <v>380</v>
      </c>
      <c r="B130" t="s">
        <v>214</v>
      </c>
      <c r="C130" t="s">
        <v>37</v>
      </c>
      <c r="D130">
        <v>3</v>
      </c>
      <c r="E130" t="s">
        <v>47</v>
      </c>
      <c r="F130">
        <v>8</v>
      </c>
      <c r="G130" t="s">
        <v>24</v>
      </c>
      <c r="H130" t="s">
        <v>381</v>
      </c>
      <c r="I130">
        <v>87</v>
      </c>
      <c r="J130">
        <v>80</v>
      </c>
      <c r="K130">
        <v>98</v>
      </c>
      <c r="L130">
        <v>43</v>
      </c>
      <c r="M130">
        <v>68</v>
      </c>
      <c r="N130">
        <v>88</v>
      </c>
      <c r="O130">
        <v>377</v>
      </c>
      <c r="P130">
        <v>75.400000000000006</v>
      </c>
      <c r="Q130" t="s">
        <v>40</v>
      </c>
      <c r="R130" t="s">
        <v>41</v>
      </c>
      <c r="S130">
        <v>2154</v>
      </c>
      <c r="T130" t="s">
        <v>66</v>
      </c>
      <c r="U130" t="str">
        <f t="shared" si="1"/>
        <v>Pass</v>
      </c>
    </row>
    <row r="131" spans="1:21">
      <c r="A131" t="s">
        <v>382</v>
      </c>
      <c r="B131" t="s">
        <v>383</v>
      </c>
      <c r="C131" t="s">
        <v>37</v>
      </c>
      <c r="D131">
        <v>1</v>
      </c>
      <c r="E131" t="s">
        <v>26</v>
      </c>
      <c r="F131">
        <v>6</v>
      </c>
      <c r="G131" t="s">
        <v>32</v>
      </c>
      <c r="H131" t="s">
        <v>384</v>
      </c>
      <c r="I131">
        <v>79</v>
      </c>
      <c r="J131">
        <v>98</v>
      </c>
      <c r="K131">
        <v>91</v>
      </c>
      <c r="L131">
        <v>87</v>
      </c>
      <c r="M131">
        <v>99</v>
      </c>
      <c r="N131">
        <v>74</v>
      </c>
      <c r="O131">
        <v>449</v>
      </c>
      <c r="P131">
        <v>89.8</v>
      </c>
      <c r="Q131" t="s">
        <v>47</v>
      </c>
      <c r="R131" t="s">
        <v>41</v>
      </c>
      <c r="S131">
        <v>4304</v>
      </c>
      <c r="T131" t="s">
        <v>28</v>
      </c>
      <c r="U131" t="str">
        <f t="shared" ref="U131:U194" si="2">IF(P131&gt;55,"Pass","Fail")</f>
        <v>Pass</v>
      </c>
    </row>
    <row r="132" spans="1:21">
      <c r="A132" t="s">
        <v>385</v>
      </c>
      <c r="B132" t="s">
        <v>386</v>
      </c>
      <c r="C132" t="s">
        <v>22</v>
      </c>
      <c r="D132">
        <v>6</v>
      </c>
      <c r="E132" t="s">
        <v>47</v>
      </c>
      <c r="F132">
        <v>12</v>
      </c>
      <c r="G132" t="s">
        <v>32</v>
      </c>
      <c r="H132" t="s">
        <v>387</v>
      </c>
      <c r="I132">
        <v>60</v>
      </c>
      <c r="J132">
        <v>76</v>
      </c>
      <c r="K132">
        <v>49</v>
      </c>
      <c r="L132">
        <v>75</v>
      </c>
      <c r="M132">
        <v>63</v>
      </c>
      <c r="N132">
        <v>91</v>
      </c>
      <c r="O132">
        <v>354</v>
      </c>
      <c r="P132">
        <v>70.8</v>
      </c>
      <c r="Q132" t="s">
        <v>40</v>
      </c>
      <c r="R132" t="s">
        <v>41</v>
      </c>
      <c r="S132">
        <v>3268</v>
      </c>
      <c r="T132" t="s">
        <v>48</v>
      </c>
      <c r="U132" t="str">
        <f t="shared" si="2"/>
        <v>Pass</v>
      </c>
    </row>
    <row r="133" spans="1:21">
      <c r="A133" t="s">
        <v>388</v>
      </c>
      <c r="B133" t="s">
        <v>389</v>
      </c>
      <c r="C133" t="s">
        <v>22</v>
      </c>
      <c r="D133">
        <v>12</v>
      </c>
      <c r="E133" t="s">
        <v>47</v>
      </c>
      <c r="F133">
        <v>17</v>
      </c>
      <c r="G133" t="s">
        <v>64</v>
      </c>
      <c r="H133" t="s">
        <v>390</v>
      </c>
      <c r="I133">
        <v>76</v>
      </c>
      <c r="J133">
        <v>93</v>
      </c>
      <c r="K133">
        <v>71</v>
      </c>
      <c r="L133">
        <v>86</v>
      </c>
      <c r="M133">
        <v>45</v>
      </c>
      <c r="N133">
        <v>66</v>
      </c>
      <c r="O133">
        <v>361</v>
      </c>
      <c r="P133">
        <v>72.2</v>
      </c>
      <c r="Q133" t="s">
        <v>40</v>
      </c>
      <c r="R133" t="s">
        <v>27</v>
      </c>
      <c r="S133">
        <v>2365</v>
      </c>
      <c r="T133" t="s">
        <v>66</v>
      </c>
      <c r="U133" t="str">
        <f t="shared" si="2"/>
        <v>Pass</v>
      </c>
    </row>
    <row r="134" spans="1:21">
      <c r="A134" t="s">
        <v>391</v>
      </c>
      <c r="B134" t="s">
        <v>214</v>
      </c>
      <c r="C134" t="s">
        <v>37</v>
      </c>
      <c r="D134">
        <v>4</v>
      </c>
      <c r="E134" t="s">
        <v>31</v>
      </c>
      <c r="F134">
        <v>8</v>
      </c>
      <c r="G134" t="s">
        <v>58</v>
      </c>
      <c r="H134" t="s">
        <v>392</v>
      </c>
      <c r="I134">
        <v>95</v>
      </c>
      <c r="J134">
        <v>86</v>
      </c>
      <c r="K134">
        <v>39</v>
      </c>
      <c r="L134">
        <v>42</v>
      </c>
      <c r="M134">
        <v>52</v>
      </c>
      <c r="N134">
        <v>47</v>
      </c>
      <c r="O134">
        <v>266</v>
      </c>
      <c r="P134">
        <v>53.2</v>
      </c>
      <c r="Q134" t="s">
        <v>31</v>
      </c>
      <c r="R134" t="s">
        <v>41</v>
      </c>
      <c r="S134">
        <v>3276</v>
      </c>
      <c r="T134" t="s">
        <v>70</v>
      </c>
      <c r="U134" t="str">
        <f t="shared" si="2"/>
        <v>Fail</v>
      </c>
    </row>
    <row r="135" spans="1:21">
      <c r="A135" t="s">
        <v>393</v>
      </c>
      <c r="B135" t="s">
        <v>84</v>
      </c>
      <c r="C135" t="s">
        <v>37</v>
      </c>
      <c r="D135">
        <v>8</v>
      </c>
      <c r="E135" t="s">
        <v>47</v>
      </c>
      <c r="F135">
        <v>12</v>
      </c>
      <c r="G135" t="s">
        <v>38</v>
      </c>
      <c r="H135" t="s">
        <v>394</v>
      </c>
      <c r="I135">
        <v>67</v>
      </c>
      <c r="J135">
        <v>100</v>
      </c>
      <c r="K135">
        <v>75</v>
      </c>
      <c r="L135">
        <v>74</v>
      </c>
      <c r="M135">
        <v>80</v>
      </c>
      <c r="N135">
        <v>78</v>
      </c>
      <c r="O135">
        <v>407</v>
      </c>
      <c r="P135">
        <v>81.400000000000006</v>
      </c>
      <c r="Q135" t="s">
        <v>47</v>
      </c>
      <c r="R135" t="s">
        <v>27</v>
      </c>
      <c r="S135">
        <v>2927</v>
      </c>
      <c r="T135" t="s">
        <v>28</v>
      </c>
      <c r="U135" t="str">
        <f t="shared" si="2"/>
        <v>Pass</v>
      </c>
    </row>
    <row r="136" spans="1:21">
      <c r="A136" t="s">
        <v>395</v>
      </c>
      <c r="B136" t="s">
        <v>75</v>
      </c>
      <c r="C136" t="s">
        <v>22</v>
      </c>
      <c r="D136">
        <v>3</v>
      </c>
      <c r="E136" t="s">
        <v>26</v>
      </c>
      <c r="F136">
        <v>9</v>
      </c>
      <c r="G136" t="s">
        <v>24</v>
      </c>
      <c r="H136" t="s">
        <v>396</v>
      </c>
      <c r="I136">
        <v>81</v>
      </c>
      <c r="J136">
        <v>51</v>
      </c>
      <c r="K136">
        <v>57</v>
      </c>
      <c r="L136">
        <v>87</v>
      </c>
      <c r="M136">
        <v>36</v>
      </c>
      <c r="N136">
        <v>89</v>
      </c>
      <c r="O136">
        <v>320</v>
      </c>
      <c r="P136">
        <v>64</v>
      </c>
      <c r="Q136" t="s">
        <v>26</v>
      </c>
      <c r="R136" t="s">
        <v>41</v>
      </c>
      <c r="S136">
        <v>1714</v>
      </c>
      <c r="T136" t="s">
        <v>28</v>
      </c>
      <c r="U136" t="str">
        <f t="shared" si="2"/>
        <v>Pass</v>
      </c>
    </row>
    <row r="137" spans="1:21">
      <c r="A137" t="s">
        <v>397</v>
      </c>
      <c r="B137" t="s">
        <v>231</v>
      </c>
      <c r="C137" t="s">
        <v>37</v>
      </c>
      <c r="D137">
        <v>9</v>
      </c>
      <c r="E137" t="s">
        <v>26</v>
      </c>
      <c r="F137">
        <v>14</v>
      </c>
      <c r="G137" t="s">
        <v>24</v>
      </c>
      <c r="H137" t="s">
        <v>398</v>
      </c>
      <c r="I137">
        <v>85</v>
      </c>
      <c r="J137">
        <v>58</v>
      </c>
      <c r="K137">
        <v>56</v>
      </c>
      <c r="L137">
        <v>41</v>
      </c>
      <c r="M137">
        <v>88</v>
      </c>
      <c r="N137">
        <v>63</v>
      </c>
      <c r="O137">
        <v>306</v>
      </c>
      <c r="P137">
        <v>61.2</v>
      </c>
      <c r="Q137" t="s">
        <v>26</v>
      </c>
      <c r="R137" t="s">
        <v>41</v>
      </c>
      <c r="S137">
        <v>2843</v>
      </c>
      <c r="T137" t="s">
        <v>28</v>
      </c>
      <c r="U137" t="str">
        <f t="shared" si="2"/>
        <v>Pass</v>
      </c>
    </row>
    <row r="138" spans="1:21">
      <c r="A138" t="s">
        <v>399</v>
      </c>
      <c r="B138" t="s">
        <v>219</v>
      </c>
      <c r="C138" t="s">
        <v>37</v>
      </c>
      <c r="D138">
        <v>1</v>
      </c>
      <c r="E138" t="s">
        <v>23</v>
      </c>
      <c r="F138">
        <v>6</v>
      </c>
      <c r="G138" t="s">
        <v>45</v>
      </c>
      <c r="H138" t="s">
        <v>400</v>
      </c>
      <c r="I138">
        <v>88</v>
      </c>
      <c r="J138">
        <v>42</v>
      </c>
      <c r="K138">
        <v>72</v>
      </c>
      <c r="L138">
        <v>51</v>
      </c>
      <c r="M138">
        <v>78</v>
      </c>
      <c r="N138">
        <v>39</v>
      </c>
      <c r="O138">
        <v>282</v>
      </c>
      <c r="P138">
        <v>56.4</v>
      </c>
      <c r="Q138" t="s">
        <v>31</v>
      </c>
      <c r="R138" t="s">
        <v>27</v>
      </c>
      <c r="S138">
        <v>2083</v>
      </c>
      <c r="T138" t="s">
        <v>34</v>
      </c>
      <c r="U138" t="str">
        <f t="shared" si="2"/>
        <v>Pass</v>
      </c>
    </row>
    <row r="139" spans="1:21">
      <c r="A139" t="s">
        <v>401</v>
      </c>
      <c r="B139" t="s">
        <v>322</v>
      </c>
      <c r="C139" t="s">
        <v>37</v>
      </c>
      <c r="D139">
        <v>6</v>
      </c>
      <c r="E139" t="s">
        <v>23</v>
      </c>
      <c r="F139">
        <v>12</v>
      </c>
      <c r="G139" t="s">
        <v>64</v>
      </c>
      <c r="H139" t="s">
        <v>402</v>
      </c>
      <c r="I139">
        <v>85</v>
      </c>
      <c r="J139">
        <v>48</v>
      </c>
      <c r="K139">
        <v>53</v>
      </c>
      <c r="L139">
        <v>43</v>
      </c>
      <c r="M139">
        <v>78</v>
      </c>
      <c r="N139">
        <v>96</v>
      </c>
      <c r="O139">
        <v>318</v>
      </c>
      <c r="P139">
        <v>63.6</v>
      </c>
      <c r="Q139" t="s">
        <v>26</v>
      </c>
      <c r="R139" t="s">
        <v>27</v>
      </c>
      <c r="S139">
        <v>2268</v>
      </c>
      <c r="T139" t="s">
        <v>48</v>
      </c>
      <c r="U139" t="str">
        <f t="shared" si="2"/>
        <v>Pass</v>
      </c>
    </row>
    <row r="140" spans="1:21">
      <c r="A140" t="s">
        <v>403</v>
      </c>
      <c r="B140" t="s">
        <v>145</v>
      </c>
      <c r="C140" t="s">
        <v>37</v>
      </c>
      <c r="D140">
        <v>3</v>
      </c>
      <c r="E140" t="s">
        <v>31</v>
      </c>
      <c r="F140">
        <v>8</v>
      </c>
      <c r="G140" t="s">
        <v>38</v>
      </c>
      <c r="H140" t="s">
        <v>404</v>
      </c>
      <c r="I140">
        <v>88</v>
      </c>
      <c r="J140">
        <v>83</v>
      </c>
      <c r="K140">
        <v>51</v>
      </c>
      <c r="L140">
        <v>82</v>
      </c>
      <c r="M140">
        <v>81</v>
      </c>
      <c r="N140">
        <v>82</v>
      </c>
      <c r="O140">
        <v>379</v>
      </c>
      <c r="P140">
        <v>75.8</v>
      </c>
      <c r="Q140" t="s">
        <v>40</v>
      </c>
      <c r="R140" t="s">
        <v>41</v>
      </c>
      <c r="S140">
        <v>4382</v>
      </c>
      <c r="T140" t="s">
        <v>42</v>
      </c>
      <c r="U140" t="str">
        <f t="shared" si="2"/>
        <v>Pass</v>
      </c>
    </row>
    <row r="141" spans="1:21">
      <c r="A141" t="s">
        <v>405</v>
      </c>
      <c r="B141" t="s">
        <v>175</v>
      </c>
      <c r="C141" t="s">
        <v>37</v>
      </c>
      <c r="D141">
        <v>7</v>
      </c>
      <c r="E141" t="s">
        <v>31</v>
      </c>
      <c r="F141">
        <v>11</v>
      </c>
      <c r="G141" t="s">
        <v>45</v>
      </c>
      <c r="H141" t="s">
        <v>406</v>
      </c>
      <c r="I141">
        <v>75</v>
      </c>
      <c r="J141">
        <v>83</v>
      </c>
      <c r="K141">
        <v>48</v>
      </c>
      <c r="L141">
        <v>61</v>
      </c>
      <c r="M141">
        <v>80</v>
      </c>
      <c r="N141">
        <v>64</v>
      </c>
      <c r="O141">
        <v>336</v>
      </c>
      <c r="P141">
        <v>67.2</v>
      </c>
      <c r="Q141" t="s">
        <v>26</v>
      </c>
      <c r="R141" t="s">
        <v>41</v>
      </c>
      <c r="S141">
        <v>4171</v>
      </c>
      <c r="T141" t="s">
        <v>34</v>
      </c>
      <c r="U141" t="str">
        <f t="shared" si="2"/>
        <v>Pass</v>
      </c>
    </row>
    <row r="142" spans="1:21">
      <c r="A142" t="s">
        <v>407</v>
      </c>
      <c r="B142" t="s">
        <v>408</v>
      </c>
      <c r="C142" t="s">
        <v>22</v>
      </c>
      <c r="D142">
        <v>6</v>
      </c>
      <c r="E142" t="s">
        <v>47</v>
      </c>
      <c r="F142">
        <v>11</v>
      </c>
      <c r="G142" t="s">
        <v>24</v>
      </c>
      <c r="H142" t="s">
        <v>409</v>
      </c>
      <c r="I142">
        <v>100</v>
      </c>
      <c r="J142">
        <v>41</v>
      </c>
      <c r="K142">
        <v>56</v>
      </c>
      <c r="L142">
        <v>67</v>
      </c>
      <c r="M142">
        <v>71</v>
      </c>
      <c r="N142">
        <v>91</v>
      </c>
      <c r="O142">
        <v>326</v>
      </c>
      <c r="P142">
        <v>65.2</v>
      </c>
      <c r="Q142" t="s">
        <v>26</v>
      </c>
      <c r="R142" t="s">
        <v>41</v>
      </c>
      <c r="S142">
        <v>2899</v>
      </c>
      <c r="T142" t="s">
        <v>34</v>
      </c>
      <c r="U142" t="str">
        <f t="shared" si="2"/>
        <v>Pass</v>
      </c>
    </row>
    <row r="143" spans="1:21">
      <c r="A143" t="s">
        <v>410</v>
      </c>
      <c r="B143" t="s">
        <v>168</v>
      </c>
      <c r="C143" t="s">
        <v>37</v>
      </c>
      <c r="D143">
        <v>11</v>
      </c>
      <c r="E143" t="s">
        <v>47</v>
      </c>
      <c r="F143">
        <v>17</v>
      </c>
      <c r="G143" t="s">
        <v>54</v>
      </c>
      <c r="H143" t="s">
        <v>411</v>
      </c>
      <c r="I143">
        <v>74</v>
      </c>
      <c r="J143">
        <v>71</v>
      </c>
      <c r="K143">
        <v>77</v>
      </c>
      <c r="L143">
        <v>42</v>
      </c>
      <c r="M143">
        <v>74</v>
      </c>
      <c r="N143">
        <v>60</v>
      </c>
      <c r="O143">
        <v>324</v>
      </c>
      <c r="P143">
        <v>64.8</v>
      </c>
      <c r="Q143" t="s">
        <v>26</v>
      </c>
      <c r="R143" t="s">
        <v>27</v>
      </c>
      <c r="S143">
        <v>2896</v>
      </c>
      <c r="T143" t="s">
        <v>70</v>
      </c>
      <c r="U143" t="str">
        <f t="shared" si="2"/>
        <v>Pass</v>
      </c>
    </row>
    <row r="144" spans="1:21">
      <c r="A144" t="s">
        <v>412</v>
      </c>
      <c r="B144" t="s">
        <v>178</v>
      </c>
      <c r="C144" t="s">
        <v>22</v>
      </c>
      <c r="D144">
        <v>1</v>
      </c>
      <c r="E144" t="s">
        <v>47</v>
      </c>
      <c r="F144">
        <v>7</v>
      </c>
      <c r="G144" t="s">
        <v>45</v>
      </c>
      <c r="H144" t="s">
        <v>413</v>
      </c>
      <c r="I144">
        <v>96</v>
      </c>
      <c r="J144">
        <v>62</v>
      </c>
      <c r="K144">
        <v>62</v>
      </c>
      <c r="L144">
        <v>53</v>
      </c>
      <c r="M144">
        <v>69</v>
      </c>
      <c r="N144">
        <v>64</v>
      </c>
      <c r="O144">
        <v>310</v>
      </c>
      <c r="P144">
        <v>62</v>
      </c>
      <c r="Q144" t="s">
        <v>26</v>
      </c>
      <c r="R144" t="s">
        <v>27</v>
      </c>
      <c r="S144">
        <v>2575</v>
      </c>
      <c r="T144" t="s">
        <v>48</v>
      </c>
      <c r="U144" t="str">
        <f t="shared" si="2"/>
        <v>Pass</v>
      </c>
    </row>
    <row r="145" spans="1:21">
      <c r="A145" t="s">
        <v>414</v>
      </c>
      <c r="B145" t="s">
        <v>289</v>
      </c>
      <c r="C145" t="s">
        <v>22</v>
      </c>
      <c r="D145">
        <v>7</v>
      </c>
      <c r="E145" t="s">
        <v>47</v>
      </c>
      <c r="F145">
        <v>13</v>
      </c>
      <c r="G145" t="s">
        <v>64</v>
      </c>
      <c r="H145" t="s">
        <v>390</v>
      </c>
      <c r="I145">
        <v>98</v>
      </c>
      <c r="J145">
        <v>82</v>
      </c>
      <c r="K145">
        <v>65</v>
      </c>
      <c r="L145">
        <v>75</v>
      </c>
      <c r="M145">
        <v>63</v>
      </c>
      <c r="N145">
        <v>61</v>
      </c>
      <c r="O145">
        <v>346</v>
      </c>
      <c r="P145">
        <v>69.2</v>
      </c>
      <c r="Q145" t="s">
        <v>26</v>
      </c>
      <c r="R145" t="s">
        <v>41</v>
      </c>
      <c r="S145">
        <v>4549</v>
      </c>
      <c r="T145" t="s">
        <v>48</v>
      </c>
      <c r="U145" t="str">
        <f t="shared" si="2"/>
        <v>Pass</v>
      </c>
    </row>
    <row r="146" spans="1:21">
      <c r="A146" t="s">
        <v>415</v>
      </c>
      <c r="B146" t="s">
        <v>416</v>
      </c>
      <c r="C146" t="s">
        <v>37</v>
      </c>
      <c r="D146">
        <v>7</v>
      </c>
      <c r="E146" t="s">
        <v>47</v>
      </c>
      <c r="F146">
        <v>12</v>
      </c>
      <c r="G146" t="s">
        <v>64</v>
      </c>
      <c r="H146" t="s">
        <v>417</v>
      </c>
      <c r="I146">
        <v>91</v>
      </c>
      <c r="J146">
        <v>56</v>
      </c>
      <c r="K146">
        <v>60</v>
      </c>
      <c r="L146">
        <v>63</v>
      </c>
      <c r="M146">
        <v>77</v>
      </c>
      <c r="N146">
        <v>78</v>
      </c>
      <c r="O146">
        <v>334</v>
      </c>
      <c r="P146">
        <v>66.8</v>
      </c>
      <c r="Q146" t="s">
        <v>26</v>
      </c>
      <c r="R146" t="s">
        <v>27</v>
      </c>
      <c r="S146">
        <v>2387</v>
      </c>
      <c r="T146" t="s">
        <v>70</v>
      </c>
      <c r="U146" t="str">
        <f t="shared" si="2"/>
        <v>Pass</v>
      </c>
    </row>
    <row r="147" spans="1:21">
      <c r="A147" t="s">
        <v>418</v>
      </c>
      <c r="B147" t="s">
        <v>419</v>
      </c>
      <c r="C147" t="s">
        <v>37</v>
      </c>
      <c r="D147">
        <v>3</v>
      </c>
      <c r="E147" t="s">
        <v>47</v>
      </c>
      <c r="F147">
        <v>7</v>
      </c>
      <c r="G147" t="s">
        <v>38</v>
      </c>
      <c r="H147" t="s">
        <v>420</v>
      </c>
      <c r="I147">
        <v>62</v>
      </c>
      <c r="J147">
        <v>63</v>
      </c>
      <c r="K147">
        <v>68</v>
      </c>
      <c r="L147">
        <v>37</v>
      </c>
      <c r="M147">
        <v>77</v>
      </c>
      <c r="N147">
        <v>88</v>
      </c>
      <c r="O147">
        <v>333</v>
      </c>
      <c r="P147">
        <v>66.599999999999994</v>
      </c>
      <c r="Q147" t="s">
        <v>26</v>
      </c>
      <c r="R147" t="s">
        <v>41</v>
      </c>
      <c r="S147">
        <v>3576</v>
      </c>
      <c r="T147" t="s">
        <v>42</v>
      </c>
      <c r="U147" t="str">
        <f t="shared" si="2"/>
        <v>Pass</v>
      </c>
    </row>
    <row r="148" spans="1:21">
      <c r="A148" t="s">
        <v>421</v>
      </c>
      <c r="B148" t="s">
        <v>93</v>
      </c>
      <c r="C148" t="s">
        <v>37</v>
      </c>
      <c r="D148">
        <v>4</v>
      </c>
      <c r="E148" t="s">
        <v>47</v>
      </c>
      <c r="F148">
        <v>8</v>
      </c>
      <c r="G148" t="s">
        <v>58</v>
      </c>
      <c r="H148" t="s">
        <v>422</v>
      </c>
      <c r="I148">
        <v>69</v>
      </c>
      <c r="J148">
        <v>48</v>
      </c>
      <c r="K148">
        <v>43</v>
      </c>
      <c r="L148">
        <v>46</v>
      </c>
      <c r="M148">
        <v>95</v>
      </c>
      <c r="N148">
        <v>44</v>
      </c>
      <c r="O148">
        <v>276</v>
      </c>
      <c r="P148">
        <v>55.2</v>
      </c>
      <c r="Q148" t="s">
        <v>31</v>
      </c>
      <c r="R148" t="s">
        <v>41</v>
      </c>
      <c r="S148">
        <v>2004</v>
      </c>
      <c r="T148" t="s">
        <v>66</v>
      </c>
      <c r="U148" t="str">
        <f t="shared" si="2"/>
        <v>Pass</v>
      </c>
    </row>
    <row r="149" spans="1:21">
      <c r="A149" t="s">
        <v>423</v>
      </c>
      <c r="B149" t="s">
        <v>104</v>
      </c>
      <c r="C149" t="s">
        <v>22</v>
      </c>
      <c r="D149">
        <v>7</v>
      </c>
      <c r="E149" t="s">
        <v>26</v>
      </c>
      <c r="F149">
        <v>13</v>
      </c>
      <c r="G149" t="s">
        <v>64</v>
      </c>
      <c r="H149" t="s">
        <v>424</v>
      </c>
      <c r="I149">
        <v>92</v>
      </c>
      <c r="J149">
        <v>75</v>
      </c>
      <c r="K149">
        <v>85</v>
      </c>
      <c r="L149">
        <v>87</v>
      </c>
      <c r="M149">
        <v>79</v>
      </c>
      <c r="N149">
        <v>38</v>
      </c>
      <c r="O149">
        <v>364</v>
      </c>
      <c r="P149">
        <v>72.8</v>
      </c>
      <c r="Q149" t="s">
        <v>40</v>
      </c>
      <c r="R149" t="s">
        <v>41</v>
      </c>
      <c r="S149">
        <v>2325</v>
      </c>
      <c r="T149" t="s">
        <v>42</v>
      </c>
      <c r="U149" t="str">
        <f t="shared" si="2"/>
        <v>Pass</v>
      </c>
    </row>
    <row r="150" spans="1:21">
      <c r="A150" t="s">
        <v>425</v>
      </c>
      <c r="B150" t="s">
        <v>426</v>
      </c>
      <c r="C150" t="s">
        <v>37</v>
      </c>
      <c r="D150">
        <v>10</v>
      </c>
      <c r="E150" t="s">
        <v>47</v>
      </c>
      <c r="F150">
        <v>16</v>
      </c>
      <c r="G150" t="s">
        <v>54</v>
      </c>
      <c r="H150" t="s">
        <v>427</v>
      </c>
      <c r="I150">
        <v>72</v>
      </c>
      <c r="J150">
        <v>100</v>
      </c>
      <c r="K150">
        <v>66</v>
      </c>
      <c r="L150">
        <v>98</v>
      </c>
      <c r="M150">
        <v>77</v>
      </c>
      <c r="N150">
        <v>86</v>
      </c>
      <c r="O150">
        <v>427</v>
      </c>
      <c r="P150">
        <v>85.4</v>
      </c>
      <c r="Q150" t="s">
        <v>47</v>
      </c>
      <c r="R150" t="s">
        <v>27</v>
      </c>
      <c r="S150">
        <v>4942</v>
      </c>
      <c r="T150" t="s">
        <v>66</v>
      </c>
      <c r="U150" t="str">
        <f t="shared" si="2"/>
        <v>Pass</v>
      </c>
    </row>
    <row r="151" spans="1:21">
      <c r="A151" t="s">
        <v>428</v>
      </c>
      <c r="B151" t="s">
        <v>68</v>
      </c>
      <c r="C151" t="s">
        <v>22</v>
      </c>
      <c r="D151">
        <v>7</v>
      </c>
      <c r="E151" t="s">
        <v>47</v>
      </c>
      <c r="F151">
        <v>13</v>
      </c>
      <c r="G151" t="s">
        <v>58</v>
      </c>
      <c r="H151" t="s">
        <v>429</v>
      </c>
      <c r="I151">
        <v>92</v>
      </c>
      <c r="J151">
        <v>78</v>
      </c>
      <c r="K151">
        <v>72</v>
      </c>
      <c r="L151">
        <v>38</v>
      </c>
      <c r="M151">
        <v>72</v>
      </c>
      <c r="N151">
        <v>67</v>
      </c>
      <c r="O151">
        <v>327</v>
      </c>
      <c r="P151">
        <v>65.400000000000006</v>
      </c>
      <c r="Q151" t="s">
        <v>26</v>
      </c>
      <c r="R151" t="s">
        <v>41</v>
      </c>
      <c r="S151">
        <v>3714</v>
      </c>
      <c r="T151" t="s">
        <v>66</v>
      </c>
      <c r="U151" t="str">
        <f t="shared" si="2"/>
        <v>Pass</v>
      </c>
    </row>
    <row r="152" spans="1:21">
      <c r="A152" t="s">
        <v>430</v>
      </c>
      <c r="B152" t="s">
        <v>151</v>
      </c>
      <c r="C152" t="s">
        <v>37</v>
      </c>
      <c r="D152">
        <v>10</v>
      </c>
      <c r="E152" t="s">
        <v>23</v>
      </c>
      <c r="F152">
        <v>14</v>
      </c>
      <c r="G152" t="s">
        <v>64</v>
      </c>
      <c r="H152" t="s">
        <v>431</v>
      </c>
      <c r="I152">
        <v>71</v>
      </c>
      <c r="J152">
        <v>76</v>
      </c>
      <c r="K152">
        <v>85</v>
      </c>
      <c r="L152">
        <v>50</v>
      </c>
      <c r="M152">
        <v>62</v>
      </c>
      <c r="N152">
        <v>72</v>
      </c>
      <c r="O152">
        <v>345</v>
      </c>
      <c r="P152">
        <v>69</v>
      </c>
      <c r="Q152" t="s">
        <v>26</v>
      </c>
      <c r="R152" t="s">
        <v>27</v>
      </c>
      <c r="S152">
        <v>2642</v>
      </c>
      <c r="T152" t="s">
        <v>28</v>
      </c>
      <c r="U152" t="str">
        <f t="shared" si="2"/>
        <v>Pass</v>
      </c>
    </row>
    <row r="153" spans="1:21">
      <c r="A153" t="s">
        <v>432</v>
      </c>
      <c r="B153" t="s">
        <v>274</v>
      </c>
      <c r="C153" t="s">
        <v>22</v>
      </c>
      <c r="D153">
        <v>6</v>
      </c>
      <c r="E153" t="s">
        <v>31</v>
      </c>
      <c r="F153">
        <v>12</v>
      </c>
      <c r="G153" t="s">
        <v>58</v>
      </c>
      <c r="H153" t="s">
        <v>433</v>
      </c>
      <c r="I153">
        <v>60</v>
      </c>
      <c r="J153">
        <v>43</v>
      </c>
      <c r="K153">
        <v>95</v>
      </c>
      <c r="L153">
        <v>79</v>
      </c>
      <c r="M153">
        <v>84</v>
      </c>
      <c r="N153">
        <v>53</v>
      </c>
      <c r="O153">
        <v>354</v>
      </c>
      <c r="P153">
        <v>70.8</v>
      </c>
      <c r="Q153" t="s">
        <v>40</v>
      </c>
      <c r="R153" t="s">
        <v>27</v>
      </c>
      <c r="S153">
        <v>1554</v>
      </c>
      <c r="T153" t="s">
        <v>42</v>
      </c>
      <c r="U153" t="str">
        <f t="shared" si="2"/>
        <v>Pass</v>
      </c>
    </row>
    <row r="154" spans="1:21">
      <c r="A154" t="s">
        <v>434</v>
      </c>
      <c r="B154" t="s">
        <v>426</v>
      </c>
      <c r="C154" t="s">
        <v>37</v>
      </c>
      <c r="D154">
        <v>3</v>
      </c>
      <c r="E154" t="s">
        <v>26</v>
      </c>
      <c r="F154">
        <v>8</v>
      </c>
      <c r="G154" t="s">
        <v>45</v>
      </c>
      <c r="H154" t="s">
        <v>435</v>
      </c>
      <c r="I154">
        <v>92</v>
      </c>
      <c r="J154">
        <v>36</v>
      </c>
      <c r="K154">
        <v>97</v>
      </c>
      <c r="L154">
        <v>64</v>
      </c>
      <c r="M154">
        <v>91</v>
      </c>
      <c r="N154">
        <v>68</v>
      </c>
      <c r="O154">
        <v>356</v>
      </c>
      <c r="P154">
        <v>71.2</v>
      </c>
      <c r="Q154" t="s">
        <v>40</v>
      </c>
      <c r="R154" t="s">
        <v>27</v>
      </c>
      <c r="S154">
        <v>4081</v>
      </c>
      <c r="T154" t="s">
        <v>34</v>
      </c>
      <c r="U154" t="str">
        <f t="shared" si="2"/>
        <v>Pass</v>
      </c>
    </row>
    <row r="155" spans="1:21">
      <c r="A155" t="s">
        <v>436</v>
      </c>
      <c r="B155" t="s">
        <v>261</v>
      </c>
      <c r="C155" t="s">
        <v>37</v>
      </c>
      <c r="D155">
        <v>7</v>
      </c>
      <c r="E155" t="s">
        <v>47</v>
      </c>
      <c r="F155">
        <v>13</v>
      </c>
      <c r="G155" t="s">
        <v>32</v>
      </c>
      <c r="H155" t="s">
        <v>437</v>
      </c>
      <c r="I155">
        <v>72</v>
      </c>
      <c r="J155">
        <v>49</v>
      </c>
      <c r="K155">
        <v>94</v>
      </c>
      <c r="L155">
        <v>87</v>
      </c>
      <c r="M155">
        <v>84</v>
      </c>
      <c r="N155">
        <v>69</v>
      </c>
      <c r="O155">
        <v>383</v>
      </c>
      <c r="P155">
        <v>76.599999999999994</v>
      </c>
      <c r="Q155" t="s">
        <v>40</v>
      </c>
      <c r="R155" t="s">
        <v>41</v>
      </c>
      <c r="S155">
        <v>4856</v>
      </c>
      <c r="T155" t="s">
        <v>66</v>
      </c>
      <c r="U155" t="str">
        <f t="shared" si="2"/>
        <v>Pass</v>
      </c>
    </row>
    <row r="156" spans="1:21">
      <c r="A156" t="s">
        <v>438</v>
      </c>
      <c r="B156" t="s">
        <v>439</v>
      </c>
      <c r="C156" t="s">
        <v>22</v>
      </c>
      <c r="D156">
        <v>9</v>
      </c>
      <c r="E156" t="s">
        <v>26</v>
      </c>
      <c r="F156">
        <v>14</v>
      </c>
      <c r="G156" t="s">
        <v>38</v>
      </c>
      <c r="H156" t="s">
        <v>440</v>
      </c>
      <c r="I156">
        <v>74</v>
      </c>
      <c r="J156">
        <v>38</v>
      </c>
      <c r="K156">
        <v>78</v>
      </c>
      <c r="L156">
        <v>57</v>
      </c>
      <c r="M156">
        <v>50</v>
      </c>
      <c r="N156">
        <v>91</v>
      </c>
      <c r="O156">
        <v>314</v>
      </c>
      <c r="P156">
        <v>62.8</v>
      </c>
      <c r="Q156" t="s">
        <v>26</v>
      </c>
      <c r="R156" t="s">
        <v>41</v>
      </c>
      <c r="S156">
        <v>4837</v>
      </c>
      <c r="T156" t="s">
        <v>42</v>
      </c>
      <c r="U156" t="str">
        <f t="shared" si="2"/>
        <v>Pass</v>
      </c>
    </row>
    <row r="157" spans="1:21">
      <c r="A157" t="s">
        <v>441</v>
      </c>
      <c r="B157" t="s">
        <v>226</v>
      </c>
      <c r="C157" t="s">
        <v>37</v>
      </c>
      <c r="D157">
        <v>9</v>
      </c>
      <c r="E157" t="s">
        <v>47</v>
      </c>
      <c r="F157">
        <v>15</v>
      </c>
      <c r="G157" t="s">
        <v>45</v>
      </c>
      <c r="H157" t="s">
        <v>442</v>
      </c>
      <c r="I157">
        <v>66</v>
      </c>
      <c r="J157">
        <v>41</v>
      </c>
      <c r="K157">
        <v>46</v>
      </c>
      <c r="L157">
        <v>73</v>
      </c>
      <c r="M157">
        <v>67</v>
      </c>
      <c r="N157">
        <v>90</v>
      </c>
      <c r="O157">
        <v>317</v>
      </c>
      <c r="P157">
        <v>63.4</v>
      </c>
      <c r="Q157" t="s">
        <v>26</v>
      </c>
      <c r="R157" t="s">
        <v>41</v>
      </c>
      <c r="S157">
        <v>3321</v>
      </c>
      <c r="T157" t="s">
        <v>48</v>
      </c>
      <c r="U157" t="str">
        <f t="shared" si="2"/>
        <v>Pass</v>
      </c>
    </row>
    <row r="158" spans="1:21">
      <c r="A158" t="s">
        <v>443</v>
      </c>
      <c r="B158" t="s">
        <v>131</v>
      </c>
      <c r="C158" t="s">
        <v>37</v>
      </c>
      <c r="D158">
        <v>1</v>
      </c>
      <c r="E158" t="s">
        <v>31</v>
      </c>
      <c r="F158">
        <v>6</v>
      </c>
      <c r="G158" t="s">
        <v>38</v>
      </c>
      <c r="H158" t="s">
        <v>158</v>
      </c>
      <c r="I158">
        <v>79</v>
      </c>
      <c r="J158">
        <v>54</v>
      </c>
      <c r="K158">
        <v>93</v>
      </c>
      <c r="L158">
        <v>44</v>
      </c>
      <c r="M158">
        <v>72</v>
      </c>
      <c r="N158">
        <v>46</v>
      </c>
      <c r="O158">
        <v>309</v>
      </c>
      <c r="P158">
        <v>61.8</v>
      </c>
      <c r="Q158" t="s">
        <v>26</v>
      </c>
      <c r="R158" t="s">
        <v>41</v>
      </c>
      <c r="S158">
        <v>2715</v>
      </c>
      <c r="T158" t="s">
        <v>28</v>
      </c>
      <c r="U158" t="str">
        <f t="shared" si="2"/>
        <v>Pass</v>
      </c>
    </row>
    <row r="159" spans="1:21">
      <c r="A159" t="s">
        <v>444</v>
      </c>
      <c r="B159" t="s">
        <v>445</v>
      </c>
      <c r="C159" t="s">
        <v>22</v>
      </c>
      <c r="D159">
        <v>5</v>
      </c>
      <c r="E159" t="s">
        <v>47</v>
      </c>
      <c r="F159">
        <v>10</v>
      </c>
      <c r="G159" t="s">
        <v>64</v>
      </c>
      <c r="H159" t="s">
        <v>446</v>
      </c>
      <c r="I159">
        <v>62</v>
      </c>
      <c r="J159">
        <v>40</v>
      </c>
      <c r="K159">
        <v>64</v>
      </c>
      <c r="L159">
        <v>74</v>
      </c>
      <c r="M159">
        <v>67</v>
      </c>
      <c r="N159">
        <v>44</v>
      </c>
      <c r="O159">
        <v>289</v>
      </c>
      <c r="P159">
        <v>57.8</v>
      </c>
      <c r="Q159" t="s">
        <v>31</v>
      </c>
      <c r="R159" t="s">
        <v>27</v>
      </c>
      <c r="S159">
        <v>4026</v>
      </c>
      <c r="T159" t="s">
        <v>28</v>
      </c>
      <c r="U159" t="str">
        <f t="shared" si="2"/>
        <v>Pass</v>
      </c>
    </row>
    <row r="160" spans="1:21">
      <c r="A160" t="s">
        <v>447</v>
      </c>
      <c r="B160" t="s">
        <v>448</v>
      </c>
      <c r="C160" t="s">
        <v>22</v>
      </c>
      <c r="D160">
        <v>7</v>
      </c>
      <c r="E160" t="s">
        <v>31</v>
      </c>
      <c r="F160">
        <v>12</v>
      </c>
      <c r="G160" t="s">
        <v>64</v>
      </c>
      <c r="H160" t="s">
        <v>449</v>
      </c>
      <c r="I160">
        <v>81</v>
      </c>
      <c r="J160">
        <v>59</v>
      </c>
      <c r="K160">
        <v>44</v>
      </c>
      <c r="L160">
        <v>53</v>
      </c>
      <c r="M160">
        <v>71</v>
      </c>
      <c r="N160">
        <v>96</v>
      </c>
      <c r="O160">
        <v>323</v>
      </c>
      <c r="P160">
        <v>64.599999999999994</v>
      </c>
      <c r="Q160" t="s">
        <v>26</v>
      </c>
      <c r="R160" t="s">
        <v>27</v>
      </c>
      <c r="S160">
        <v>2681</v>
      </c>
      <c r="T160" t="s">
        <v>48</v>
      </c>
      <c r="U160" t="str">
        <f t="shared" si="2"/>
        <v>Pass</v>
      </c>
    </row>
    <row r="161" spans="1:21">
      <c r="A161" t="s">
        <v>450</v>
      </c>
      <c r="B161" t="s">
        <v>30</v>
      </c>
      <c r="C161" t="s">
        <v>37</v>
      </c>
      <c r="D161">
        <v>1</v>
      </c>
      <c r="E161" t="s">
        <v>26</v>
      </c>
      <c r="F161">
        <v>6</v>
      </c>
      <c r="G161" t="s">
        <v>24</v>
      </c>
      <c r="H161" t="s">
        <v>451</v>
      </c>
      <c r="I161">
        <v>91</v>
      </c>
      <c r="J161">
        <v>41</v>
      </c>
      <c r="K161">
        <v>88</v>
      </c>
      <c r="L161">
        <v>51</v>
      </c>
      <c r="M161">
        <v>72</v>
      </c>
      <c r="N161">
        <v>63</v>
      </c>
      <c r="O161">
        <v>315</v>
      </c>
      <c r="P161">
        <v>63</v>
      </c>
      <c r="Q161" t="s">
        <v>26</v>
      </c>
      <c r="R161" t="s">
        <v>41</v>
      </c>
      <c r="S161">
        <v>2321</v>
      </c>
      <c r="T161" t="s">
        <v>28</v>
      </c>
      <c r="U161" t="str">
        <f t="shared" si="2"/>
        <v>Pass</v>
      </c>
    </row>
    <row r="162" spans="1:21">
      <c r="A162" t="s">
        <v>452</v>
      </c>
      <c r="B162" t="s">
        <v>242</v>
      </c>
      <c r="C162" t="s">
        <v>22</v>
      </c>
      <c r="D162">
        <v>6</v>
      </c>
      <c r="E162" t="s">
        <v>26</v>
      </c>
      <c r="F162">
        <v>10</v>
      </c>
      <c r="G162" t="s">
        <v>54</v>
      </c>
      <c r="H162" t="s">
        <v>453</v>
      </c>
      <c r="I162">
        <v>89</v>
      </c>
      <c r="J162">
        <v>67</v>
      </c>
      <c r="K162">
        <v>55</v>
      </c>
      <c r="L162">
        <v>38</v>
      </c>
      <c r="M162">
        <v>68</v>
      </c>
      <c r="N162">
        <v>64</v>
      </c>
      <c r="O162">
        <v>292</v>
      </c>
      <c r="P162">
        <v>58.4</v>
      </c>
      <c r="Q162" t="s">
        <v>31</v>
      </c>
      <c r="R162" t="s">
        <v>41</v>
      </c>
      <c r="S162">
        <v>2878</v>
      </c>
      <c r="T162" t="s">
        <v>66</v>
      </c>
      <c r="U162" t="str">
        <f t="shared" si="2"/>
        <v>Pass</v>
      </c>
    </row>
    <row r="163" spans="1:21">
      <c r="A163" t="s">
        <v>454</v>
      </c>
      <c r="B163" t="s">
        <v>445</v>
      </c>
      <c r="C163" t="s">
        <v>37</v>
      </c>
      <c r="D163">
        <v>11</v>
      </c>
      <c r="E163" t="s">
        <v>26</v>
      </c>
      <c r="F163">
        <v>15</v>
      </c>
      <c r="G163" t="s">
        <v>64</v>
      </c>
      <c r="H163" t="s">
        <v>455</v>
      </c>
      <c r="I163">
        <v>87</v>
      </c>
      <c r="J163">
        <v>41</v>
      </c>
      <c r="K163">
        <v>73</v>
      </c>
      <c r="L163">
        <v>97</v>
      </c>
      <c r="M163">
        <v>46</v>
      </c>
      <c r="N163">
        <v>94</v>
      </c>
      <c r="O163">
        <v>351</v>
      </c>
      <c r="P163">
        <v>70.2</v>
      </c>
      <c r="Q163" t="s">
        <v>40</v>
      </c>
      <c r="R163" t="s">
        <v>41</v>
      </c>
      <c r="S163">
        <v>1843</v>
      </c>
      <c r="T163" t="s">
        <v>48</v>
      </c>
      <c r="U163" t="str">
        <f t="shared" si="2"/>
        <v>Pass</v>
      </c>
    </row>
    <row r="164" spans="1:21">
      <c r="A164" t="s">
        <v>456</v>
      </c>
      <c r="B164" t="s">
        <v>389</v>
      </c>
      <c r="C164" t="s">
        <v>37</v>
      </c>
      <c r="D164">
        <v>8</v>
      </c>
      <c r="E164" t="s">
        <v>47</v>
      </c>
      <c r="F164">
        <v>13</v>
      </c>
      <c r="G164" t="s">
        <v>32</v>
      </c>
      <c r="H164" t="s">
        <v>457</v>
      </c>
      <c r="I164">
        <v>77</v>
      </c>
      <c r="J164">
        <v>100</v>
      </c>
      <c r="K164">
        <v>47</v>
      </c>
      <c r="L164">
        <v>80</v>
      </c>
      <c r="M164">
        <v>43</v>
      </c>
      <c r="N164">
        <v>58</v>
      </c>
      <c r="O164">
        <v>328</v>
      </c>
      <c r="P164">
        <v>65.599999999999994</v>
      </c>
      <c r="Q164" t="s">
        <v>26</v>
      </c>
      <c r="R164" t="s">
        <v>27</v>
      </c>
      <c r="S164">
        <v>2378</v>
      </c>
      <c r="T164" t="s">
        <v>28</v>
      </c>
      <c r="U164" t="str">
        <f t="shared" si="2"/>
        <v>Pass</v>
      </c>
    </row>
    <row r="165" spans="1:21">
      <c r="A165" t="s">
        <v>458</v>
      </c>
      <c r="B165" t="s">
        <v>253</v>
      </c>
      <c r="C165" t="s">
        <v>37</v>
      </c>
      <c r="D165">
        <v>10</v>
      </c>
      <c r="E165" t="s">
        <v>23</v>
      </c>
      <c r="F165">
        <v>14</v>
      </c>
      <c r="G165" t="s">
        <v>54</v>
      </c>
      <c r="H165" t="s">
        <v>459</v>
      </c>
      <c r="I165">
        <v>88</v>
      </c>
      <c r="J165">
        <v>37</v>
      </c>
      <c r="K165">
        <v>91</v>
      </c>
      <c r="L165">
        <v>79</v>
      </c>
      <c r="M165">
        <v>52</v>
      </c>
      <c r="N165">
        <v>59</v>
      </c>
      <c r="O165">
        <v>318</v>
      </c>
      <c r="P165">
        <v>63.6</v>
      </c>
      <c r="Q165" t="s">
        <v>26</v>
      </c>
      <c r="R165" t="s">
        <v>41</v>
      </c>
      <c r="S165">
        <v>3428</v>
      </c>
      <c r="T165" t="s">
        <v>34</v>
      </c>
      <c r="U165" t="str">
        <f t="shared" si="2"/>
        <v>Pass</v>
      </c>
    </row>
    <row r="166" spans="1:21">
      <c r="A166" t="s">
        <v>460</v>
      </c>
      <c r="B166" t="s">
        <v>461</v>
      </c>
      <c r="C166" t="s">
        <v>37</v>
      </c>
      <c r="D166">
        <v>7</v>
      </c>
      <c r="E166" t="s">
        <v>26</v>
      </c>
      <c r="F166">
        <v>13</v>
      </c>
      <c r="G166" t="s">
        <v>58</v>
      </c>
      <c r="H166" t="s">
        <v>462</v>
      </c>
      <c r="I166">
        <v>90</v>
      </c>
      <c r="J166">
        <v>63</v>
      </c>
      <c r="K166">
        <v>45</v>
      </c>
      <c r="L166">
        <v>87</v>
      </c>
      <c r="M166">
        <v>94</v>
      </c>
      <c r="N166">
        <v>83</v>
      </c>
      <c r="O166">
        <v>372</v>
      </c>
      <c r="P166">
        <v>74.400000000000006</v>
      </c>
      <c r="Q166" t="s">
        <v>40</v>
      </c>
      <c r="R166" t="s">
        <v>41</v>
      </c>
      <c r="S166">
        <v>4698</v>
      </c>
      <c r="T166" t="s">
        <v>48</v>
      </c>
      <c r="U166" t="str">
        <f t="shared" si="2"/>
        <v>Pass</v>
      </c>
    </row>
    <row r="167" spans="1:21">
      <c r="A167" t="s">
        <v>463</v>
      </c>
      <c r="B167" t="s">
        <v>81</v>
      </c>
      <c r="C167" t="s">
        <v>22</v>
      </c>
      <c r="D167">
        <v>12</v>
      </c>
      <c r="E167" t="s">
        <v>26</v>
      </c>
      <c r="F167">
        <v>16</v>
      </c>
      <c r="G167" t="s">
        <v>38</v>
      </c>
      <c r="H167" t="s">
        <v>464</v>
      </c>
      <c r="I167">
        <v>82</v>
      </c>
      <c r="J167">
        <v>83</v>
      </c>
      <c r="K167">
        <v>93</v>
      </c>
      <c r="L167">
        <v>98</v>
      </c>
      <c r="M167">
        <v>82</v>
      </c>
      <c r="N167">
        <v>43</v>
      </c>
      <c r="O167">
        <v>399</v>
      </c>
      <c r="P167">
        <v>79.8</v>
      </c>
      <c r="Q167" t="s">
        <v>40</v>
      </c>
      <c r="R167" t="s">
        <v>41</v>
      </c>
      <c r="S167">
        <v>2087</v>
      </c>
      <c r="T167" t="s">
        <v>28</v>
      </c>
      <c r="U167" t="str">
        <f t="shared" si="2"/>
        <v>Pass</v>
      </c>
    </row>
    <row r="168" spans="1:21">
      <c r="A168" t="s">
        <v>465</v>
      </c>
      <c r="B168" t="s">
        <v>53</v>
      </c>
      <c r="C168" t="s">
        <v>37</v>
      </c>
      <c r="D168">
        <v>4</v>
      </c>
      <c r="E168" t="s">
        <v>31</v>
      </c>
      <c r="F168">
        <v>9</v>
      </c>
      <c r="G168" t="s">
        <v>38</v>
      </c>
      <c r="H168" t="s">
        <v>466</v>
      </c>
      <c r="I168">
        <v>77</v>
      </c>
      <c r="J168">
        <v>84</v>
      </c>
      <c r="K168">
        <v>43</v>
      </c>
      <c r="L168">
        <v>82</v>
      </c>
      <c r="M168">
        <v>84</v>
      </c>
      <c r="N168">
        <v>63</v>
      </c>
      <c r="O168">
        <v>356</v>
      </c>
      <c r="P168">
        <v>71.2</v>
      </c>
      <c r="Q168" t="s">
        <v>40</v>
      </c>
      <c r="R168" t="s">
        <v>41</v>
      </c>
      <c r="S168">
        <v>1986</v>
      </c>
      <c r="T168" t="s">
        <v>34</v>
      </c>
      <c r="U168" t="str">
        <f t="shared" si="2"/>
        <v>Pass</v>
      </c>
    </row>
    <row r="169" spans="1:21">
      <c r="A169" t="s">
        <v>467</v>
      </c>
      <c r="B169" t="s">
        <v>280</v>
      </c>
      <c r="C169" t="s">
        <v>22</v>
      </c>
      <c r="D169">
        <v>5</v>
      </c>
      <c r="E169" t="s">
        <v>47</v>
      </c>
      <c r="F169">
        <v>10</v>
      </c>
      <c r="G169" t="s">
        <v>54</v>
      </c>
      <c r="H169" t="s">
        <v>468</v>
      </c>
      <c r="I169">
        <v>68</v>
      </c>
      <c r="J169">
        <v>42</v>
      </c>
      <c r="K169">
        <v>57</v>
      </c>
      <c r="L169">
        <v>35</v>
      </c>
      <c r="M169">
        <v>56</v>
      </c>
      <c r="N169">
        <v>64</v>
      </c>
      <c r="O169">
        <v>254</v>
      </c>
      <c r="P169">
        <v>50.8</v>
      </c>
      <c r="Q169" t="s">
        <v>31</v>
      </c>
      <c r="R169" t="s">
        <v>41</v>
      </c>
      <c r="S169">
        <v>3908</v>
      </c>
      <c r="T169" t="s">
        <v>66</v>
      </c>
      <c r="U169" t="str">
        <f t="shared" si="2"/>
        <v>Fail</v>
      </c>
    </row>
    <row r="170" spans="1:21">
      <c r="A170" t="s">
        <v>469</v>
      </c>
      <c r="B170" t="s">
        <v>332</v>
      </c>
      <c r="C170" t="s">
        <v>37</v>
      </c>
      <c r="D170">
        <v>3</v>
      </c>
      <c r="E170" t="s">
        <v>26</v>
      </c>
      <c r="F170">
        <v>7</v>
      </c>
      <c r="G170" t="s">
        <v>32</v>
      </c>
      <c r="H170" t="s">
        <v>470</v>
      </c>
      <c r="I170">
        <v>85</v>
      </c>
      <c r="J170">
        <v>37</v>
      </c>
      <c r="K170">
        <v>78</v>
      </c>
      <c r="L170">
        <v>37</v>
      </c>
      <c r="M170">
        <v>54</v>
      </c>
      <c r="N170">
        <v>67</v>
      </c>
      <c r="O170">
        <v>273</v>
      </c>
      <c r="P170">
        <v>54.6</v>
      </c>
      <c r="Q170" t="s">
        <v>31</v>
      </c>
      <c r="R170" t="s">
        <v>27</v>
      </c>
      <c r="S170">
        <v>2437</v>
      </c>
      <c r="T170" t="s">
        <v>48</v>
      </c>
      <c r="U170" t="str">
        <f t="shared" si="2"/>
        <v>Fail</v>
      </c>
    </row>
    <row r="171" spans="1:21">
      <c r="A171" t="s">
        <v>471</v>
      </c>
      <c r="B171" t="s">
        <v>205</v>
      </c>
      <c r="C171" t="s">
        <v>37</v>
      </c>
      <c r="D171">
        <v>5</v>
      </c>
      <c r="E171" t="s">
        <v>26</v>
      </c>
      <c r="F171">
        <v>9</v>
      </c>
      <c r="G171" t="s">
        <v>32</v>
      </c>
      <c r="H171" t="s">
        <v>472</v>
      </c>
      <c r="I171">
        <v>62</v>
      </c>
      <c r="J171">
        <v>61</v>
      </c>
      <c r="K171">
        <v>64</v>
      </c>
      <c r="L171">
        <v>49</v>
      </c>
      <c r="M171">
        <v>88</v>
      </c>
      <c r="N171">
        <v>96</v>
      </c>
      <c r="O171">
        <v>358</v>
      </c>
      <c r="P171">
        <v>71.599999999999994</v>
      </c>
      <c r="Q171" t="s">
        <v>40</v>
      </c>
      <c r="R171" t="s">
        <v>27</v>
      </c>
      <c r="S171">
        <v>4104</v>
      </c>
      <c r="T171" t="s">
        <v>48</v>
      </c>
      <c r="U171" t="str">
        <f t="shared" si="2"/>
        <v>Pass</v>
      </c>
    </row>
    <row r="172" spans="1:21">
      <c r="A172" t="s">
        <v>473</v>
      </c>
      <c r="B172" t="s">
        <v>137</v>
      </c>
      <c r="C172" t="s">
        <v>22</v>
      </c>
      <c r="D172">
        <v>8</v>
      </c>
      <c r="E172" t="s">
        <v>26</v>
      </c>
      <c r="F172">
        <v>14</v>
      </c>
      <c r="G172" t="s">
        <v>58</v>
      </c>
      <c r="H172" t="s">
        <v>474</v>
      </c>
      <c r="I172">
        <v>94</v>
      </c>
      <c r="J172">
        <v>47</v>
      </c>
      <c r="K172">
        <v>91</v>
      </c>
      <c r="L172">
        <v>61</v>
      </c>
      <c r="M172">
        <v>58</v>
      </c>
      <c r="N172">
        <v>90</v>
      </c>
      <c r="O172">
        <v>347</v>
      </c>
      <c r="P172">
        <v>69.400000000000006</v>
      </c>
      <c r="Q172" t="s">
        <v>26</v>
      </c>
      <c r="R172" t="s">
        <v>41</v>
      </c>
      <c r="S172">
        <v>4350</v>
      </c>
      <c r="T172" t="s">
        <v>48</v>
      </c>
      <c r="U172" t="str">
        <f t="shared" si="2"/>
        <v>Pass</v>
      </c>
    </row>
    <row r="173" spans="1:21">
      <c r="A173" t="s">
        <v>475</v>
      </c>
      <c r="B173" t="s">
        <v>126</v>
      </c>
      <c r="C173" t="s">
        <v>22</v>
      </c>
      <c r="D173">
        <v>6</v>
      </c>
      <c r="E173" t="s">
        <v>47</v>
      </c>
      <c r="F173">
        <v>11</v>
      </c>
      <c r="G173" t="s">
        <v>64</v>
      </c>
      <c r="H173" t="s">
        <v>476</v>
      </c>
      <c r="I173">
        <v>63</v>
      </c>
      <c r="J173">
        <v>48</v>
      </c>
      <c r="K173">
        <v>39</v>
      </c>
      <c r="L173">
        <v>35</v>
      </c>
      <c r="M173">
        <v>61</v>
      </c>
      <c r="N173">
        <v>70</v>
      </c>
      <c r="O173">
        <v>253</v>
      </c>
      <c r="P173">
        <v>50.6</v>
      </c>
      <c r="Q173" t="s">
        <v>31</v>
      </c>
      <c r="R173" t="s">
        <v>27</v>
      </c>
      <c r="S173">
        <v>4356</v>
      </c>
      <c r="T173" t="s">
        <v>42</v>
      </c>
      <c r="U173" t="str">
        <f t="shared" si="2"/>
        <v>Fail</v>
      </c>
    </row>
    <row r="174" spans="1:21">
      <c r="A174" t="s">
        <v>477</v>
      </c>
      <c r="B174" t="s">
        <v>389</v>
      </c>
      <c r="C174" t="s">
        <v>22</v>
      </c>
      <c r="D174">
        <v>1</v>
      </c>
      <c r="E174" t="s">
        <v>47</v>
      </c>
      <c r="F174">
        <v>6</v>
      </c>
      <c r="G174" t="s">
        <v>54</v>
      </c>
      <c r="H174" t="s">
        <v>478</v>
      </c>
      <c r="I174">
        <v>90</v>
      </c>
      <c r="J174">
        <v>46</v>
      </c>
      <c r="K174">
        <v>74</v>
      </c>
      <c r="L174">
        <v>65</v>
      </c>
      <c r="M174">
        <v>72</v>
      </c>
      <c r="N174">
        <v>64</v>
      </c>
      <c r="O174">
        <v>321</v>
      </c>
      <c r="P174">
        <v>64.2</v>
      </c>
      <c r="Q174" t="s">
        <v>26</v>
      </c>
      <c r="R174" t="s">
        <v>41</v>
      </c>
      <c r="S174">
        <v>4258</v>
      </c>
      <c r="T174" t="s">
        <v>28</v>
      </c>
      <c r="U174" t="str">
        <f t="shared" si="2"/>
        <v>Pass</v>
      </c>
    </row>
    <row r="175" spans="1:21">
      <c r="A175" t="s">
        <v>479</v>
      </c>
      <c r="B175" t="s">
        <v>239</v>
      </c>
      <c r="C175" t="s">
        <v>37</v>
      </c>
      <c r="D175">
        <v>6</v>
      </c>
      <c r="E175" t="s">
        <v>26</v>
      </c>
      <c r="F175">
        <v>10</v>
      </c>
      <c r="G175" t="s">
        <v>38</v>
      </c>
      <c r="H175" t="s">
        <v>480</v>
      </c>
      <c r="I175">
        <v>70</v>
      </c>
      <c r="J175">
        <v>98</v>
      </c>
      <c r="K175">
        <v>69</v>
      </c>
      <c r="L175">
        <v>69</v>
      </c>
      <c r="M175">
        <v>49</v>
      </c>
      <c r="N175">
        <v>49</v>
      </c>
      <c r="O175">
        <v>334</v>
      </c>
      <c r="P175">
        <v>66.8</v>
      </c>
      <c r="Q175" t="s">
        <v>26</v>
      </c>
      <c r="R175" t="s">
        <v>41</v>
      </c>
      <c r="S175">
        <v>1969</v>
      </c>
      <c r="T175" t="s">
        <v>42</v>
      </c>
      <c r="U175" t="str">
        <f t="shared" si="2"/>
        <v>Pass</v>
      </c>
    </row>
    <row r="176" spans="1:21">
      <c r="A176" t="s">
        <v>481</v>
      </c>
      <c r="B176" t="s">
        <v>439</v>
      </c>
      <c r="C176" t="s">
        <v>22</v>
      </c>
      <c r="D176">
        <v>8</v>
      </c>
      <c r="E176" t="s">
        <v>31</v>
      </c>
      <c r="F176">
        <v>13</v>
      </c>
      <c r="G176" t="s">
        <v>38</v>
      </c>
      <c r="H176" t="s">
        <v>482</v>
      </c>
      <c r="I176">
        <v>73</v>
      </c>
      <c r="J176">
        <v>87</v>
      </c>
      <c r="K176">
        <v>77</v>
      </c>
      <c r="L176">
        <v>96</v>
      </c>
      <c r="M176">
        <v>98</v>
      </c>
      <c r="N176">
        <v>47</v>
      </c>
      <c r="O176">
        <v>405</v>
      </c>
      <c r="P176">
        <v>81</v>
      </c>
      <c r="Q176" t="s">
        <v>47</v>
      </c>
      <c r="R176" t="s">
        <v>41</v>
      </c>
      <c r="S176">
        <v>3376</v>
      </c>
      <c r="T176" t="s">
        <v>42</v>
      </c>
      <c r="U176" t="str">
        <f t="shared" si="2"/>
        <v>Pass</v>
      </c>
    </row>
    <row r="177" spans="1:21">
      <c r="A177" t="s">
        <v>483</v>
      </c>
      <c r="B177" t="s">
        <v>123</v>
      </c>
      <c r="C177" t="s">
        <v>37</v>
      </c>
      <c r="D177">
        <v>10</v>
      </c>
      <c r="E177" t="s">
        <v>31</v>
      </c>
      <c r="F177">
        <v>15</v>
      </c>
      <c r="G177" t="s">
        <v>38</v>
      </c>
      <c r="H177" t="s">
        <v>484</v>
      </c>
      <c r="I177">
        <v>74</v>
      </c>
      <c r="J177">
        <v>95</v>
      </c>
      <c r="K177">
        <v>46</v>
      </c>
      <c r="L177">
        <v>74</v>
      </c>
      <c r="M177">
        <v>70</v>
      </c>
      <c r="N177">
        <v>85</v>
      </c>
      <c r="O177">
        <v>370</v>
      </c>
      <c r="P177">
        <v>74</v>
      </c>
      <c r="Q177" t="s">
        <v>40</v>
      </c>
      <c r="R177" t="s">
        <v>27</v>
      </c>
      <c r="S177">
        <v>4159</v>
      </c>
      <c r="T177" t="s">
        <v>28</v>
      </c>
      <c r="U177" t="str">
        <f t="shared" si="2"/>
        <v>Pass</v>
      </c>
    </row>
    <row r="178" spans="1:21">
      <c r="A178" t="s">
        <v>485</v>
      </c>
      <c r="B178" t="s">
        <v>81</v>
      </c>
      <c r="C178" t="s">
        <v>22</v>
      </c>
      <c r="D178">
        <v>1</v>
      </c>
      <c r="E178" t="s">
        <v>31</v>
      </c>
      <c r="F178">
        <v>7</v>
      </c>
      <c r="G178" t="s">
        <v>58</v>
      </c>
      <c r="H178" t="s">
        <v>486</v>
      </c>
      <c r="I178">
        <v>62</v>
      </c>
      <c r="J178">
        <v>87</v>
      </c>
      <c r="K178">
        <v>44</v>
      </c>
      <c r="L178">
        <v>73</v>
      </c>
      <c r="M178">
        <v>55</v>
      </c>
      <c r="N178">
        <v>46</v>
      </c>
      <c r="O178">
        <v>305</v>
      </c>
      <c r="P178">
        <v>61</v>
      </c>
      <c r="Q178" t="s">
        <v>26</v>
      </c>
      <c r="R178" t="s">
        <v>41</v>
      </c>
      <c r="S178">
        <v>4927</v>
      </c>
      <c r="T178" t="s">
        <v>28</v>
      </c>
      <c r="U178" t="str">
        <f t="shared" si="2"/>
        <v>Pass</v>
      </c>
    </row>
    <row r="179" spans="1:21">
      <c r="A179" t="s">
        <v>487</v>
      </c>
      <c r="B179" t="s">
        <v>78</v>
      </c>
      <c r="C179" t="s">
        <v>37</v>
      </c>
      <c r="D179">
        <v>11</v>
      </c>
      <c r="E179" t="s">
        <v>47</v>
      </c>
      <c r="F179">
        <v>17</v>
      </c>
      <c r="G179" t="s">
        <v>45</v>
      </c>
      <c r="H179" t="s">
        <v>488</v>
      </c>
      <c r="I179">
        <v>83</v>
      </c>
      <c r="J179">
        <v>81</v>
      </c>
      <c r="K179">
        <v>100</v>
      </c>
      <c r="L179">
        <v>91</v>
      </c>
      <c r="M179">
        <v>72</v>
      </c>
      <c r="N179">
        <v>62</v>
      </c>
      <c r="O179">
        <v>406</v>
      </c>
      <c r="P179">
        <v>81.2</v>
      </c>
      <c r="Q179" t="s">
        <v>47</v>
      </c>
      <c r="R179" t="s">
        <v>41</v>
      </c>
      <c r="S179">
        <v>4947</v>
      </c>
      <c r="T179" t="s">
        <v>70</v>
      </c>
      <c r="U179" t="str">
        <f t="shared" si="2"/>
        <v>Pass</v>
      </c>
    </row>
    <row r="180" spans="1:21">
      <c r="A180" t="s">
        <v>489</v>
      </c>
      <c r="B180" t="s">
        <v>490</v>
      </c>
      <c r="C180" t="s">
        <v>37</v>
      </c>
      <c r="D180">
        <v>8</v>
      </c>
      <c r="E180" t="s">
        <v>23</v>
      </c>
      <c r="F180">
        <v>13</v>
      </c>
      <c r="G180" t="s">
        <v>38</v>
      </c>
      <c r="H180" t="s">
        <v>491</v>
      </c>
      <c r="I180">
        <v>64</v>
      </c>
      <c r="J180">
        <v>35</v>
      </c>
      <c r="K180">
        <v>95</v>
      </c>
      <c r="L180">
        <v>73</v>
      </c>
      <c r="M180">
        <v>76</v>
      </c>
      <c r="N180">
        <v>61</v>
      </c>
      <c r="O180">
        <v>340</v>
      </c>
      <c r="P180">
        <v>68</v>
      </c>
      <c r="Q180" t="s">
        <v>26</v>
      </c>
      <c r="R180" t="s">
        <v>41</v>
      </c>
      <c r="S180">
        <v>1789</v>
      </c>
      <c r="T180" t="s">
        <v>28</v>
      </c>
      <c r="U180" t="str">
        <f t="shared" si="2"/>
        <v>Pass</v>
      </c>
    </row>
    <row r="181" spans="1:21">
      <c r="A181" t="s">
        <v>492</v>
      </c>
      <c r="B181" t="s">
        <v>493</v>
      </c>
      <c r="C181" t="s">
        <v>22</v>
      </c>
      <c r="D181">
        <v>1</v>
      </c>
      <c r="E181" t="s">
        <v>31</v>
      </c>
      <c r="F181">
        <v>6</v>
      </c>
      <c r="G181" t="s">
        <v>24</v>
      </c>
      <c r="H181" t="s">
        <v>494</v>
      </c>
      <c r="I181">
        <v>71</v>
      </c>
      <c r="J181">
        <v>55</v>
      </c>
      <c r="K181">
        <v>43</v>
      </c>
      <c r="L181">
        <v>89</v>
      </c>
      <c r="M181">
        <v>64</v>
      </c>
      <c r="N181">
        <v>67</v>
      </c>
      <c r="O181">
        <v>318</v>
      </c>
      <c r="P181">
        <v>63.6</v>
      </c>
      <c r="Q181" t="s">
        <v>26</v>
      </c>
      <c r="R181" t="s">
        <v>27</v>
      </c>
      <c r="S181">
        <v>3727</v>
      </c>
      <c r="T181" t="s">
        <v>70</v>
      </c>
      <c r="U181" t="str">
        <f t="shared" si="2"/>
        <v>Pass</v>
      </c>
    </row>
    <row r="182" spans="1:21">
      <c r="A182" t="s">
        <v>495</v>
      </c>
      <c r="B182" t="s">
        <v>184</v>
      </c>
      <c r="C182" t="s">
        <v>37</v>
      </c>
      <c r="D182">
        <v>11</v>
      </c>
      <c r="E182" t="s">
        <v>31</v>
      </c>
      <c r="F182">
        <v>15</v>
      </c>
      <c r="G182" t="s">
        <v>58</v>
      </c>
      <c r="H182" t="s">
        <v>496</v>
      </c>
      <c r="I182">
        <v>75</v>
      </c>
      <c r="J182">
        <v>43</v>
      </c>
      <c r="K182">
        <v>38</v>
      </c>
      <c r="L182">
        <v>56</v>
      </c>
      <c r="M182">
        <v>61</v>
      </c>
      <c r="N182">
        <v>55</v>
      </c>
      <c r="O182">
        <v>253</v>
      </c>
      <c r="P182">
        <v>50.6</v>
      </c>
      <c r="Q182" t="s">
        <v>31</v>
      </c>
      <c r="R182" t="s">
        <v>27</v>
      </c>
      <c r="S182">
        <v>2112</v>
      </c>
      <c r="T182" t="s">
        <v>42</v>
      </c>
      <c r="U182" t="str">
        <f t="shared" si="2"/>
        <v>Fail</v>
      </c>
    </row>
    <row r="183" spans="1:21">
      <c r="A183" t="s">
        <v>497</v>
      </c>
      <c r="B183" t="s">
        <v>187</v>
      </c>
      <c r="C183" t="s">
        <v>37</v>
      </c>
      <c r="D183">
        <v>2</v>
      </c>
      <c r="E183" t="s">
        <v>47</v>
      </c>
      <c r="F183">
        <v>8</v>
      </c>
      <c r="G183" t="s">
        <v>64</v>
      </c>
      <c r="H183" t="s">
        <v>498</v>
      </c>
      <c r="I183">
        <v>93</v>
      </c>
      <c r="J183">
        <v>97</v>
      </c>
      <c r="K183">
        <v>39</v>
      </c>
      <c r="L183">
        <v>60</v>
      </c>
      <c r="M183">
        <v>57</v>
      </c>
      <c r="N183">
        <v>90</v>
      </c>
      <c r="O183">
        <v>343</v>
      </c>
      <c r="P183">
        <v>68.599999999999994</v>
      </c>
      <c r="Q183" t="s">
        <v>26</v>
      </c>
      <c r="R183" t="s">
        <v>41</v>
      </c>
      <c r="S183">
        <v>2762</v>
      </c>
      <c r="T183" t="s">
        <v>34</v>
      </c>
      <c r="U183" t="str">
        <f t="shared" si="2"/>
        <v>Pass</v>
      </c>
    </row>
    <row r="184" spans="1:21">
      <c r="A184" t="s">
        <v>499</v>
      </c>
      <c r="B184" t="s">
        <v>365</v>
      </c>
      <c r="C184" t="s">
        <v>37</v>
      </c>
      <c r="D184">
        <v>8</v>
      </c>
      <c r="E184" t="s">
        <v>31</v>
      </c>
      <c r="F184">
        <v>13</v>
      </c>
      <c r="G184" t="s">
        <v>54</v>
      </c>
      <c r="H184" t="s">
        <v>500</v>
      </c>
      <c r="I184">
        <v>70</v>
      </c>
      <c r="J184">
        <v>61</v>
      </c>
      <c r="K184">
        <v>73</v>
      </c>
      <c r="L184">
        <v>52</v>
      </c>
      <c r="M184">
        <v>40</v>
      </c>
      <c r="N184">
        <v>92</v>
      </c>
      <c r="O184">
        <v>318</v>
      </c>
      <c r="P184">
        <v>63.6</v>
      </c>
      <c r="Q184" t="s">
        <v>26</v>
      </c>
      <c r="R184" t="s">
        <v>27</v>
      </c>
      <c r="S184">
        <v>4922</v>
      </c>
      <c r="T184" t="s">
        <v>28</v>
      </c>
      <c r="U184" t="str">
        <f t="shared" si="2"/>
        <v>Pass</v>
      </c>
    </row>
    <row r="185" spans="1:21">
      <c r="A185" t="s">
        <v>501</v>
      </c>
      <c r="B185" t="s">
        <v>219</v>
      </c>
      <c r="C185" t="s">
        <v>22</v>
      </c>
      <c r="D185">
        <v>5</v>
      </c>
      <c r="E185" t="s">
        <v>23</v>
      </c>
      <c r="F185">
        <v>11</v>
      </c>
      <c r="G185" t="s">
        <v>58</v>
      </c>
      <c r="H185" t="s">
        <v>502</v>
      </c>
      <c r="I185">
        <v>73</v>
      </c>
      <c r="J185">
        <v>81</v>
      </c>
      <c r="K185">
        <v>83</v>
      </c>
      <c r="L185">
        <v>62</v>
      </c>
      <c r="M185">
        <v>42</v>
      </c>
      <c r="N185">
        <v>59</v>
      </c>
      <c r="O185">
        <v>327</v>
      </c>
      <c r="P185">
        <v>65.400000000000006</v>
      </c>
      <c r="Q185" t="s">
        <v>26</v>
      </c>
      <c r="R185" t="s">
        <v>27</v>
      </c>
      <c r="S185">
        <v>1885</v>
      </c>
      <c r="T185" t="s">
        <v>28</v>
      </c>
      <c r="U185" t="str">
        <f t="shared" si="2"/>
        <v>Pass</v>
      </c>
    </row>
    <row r="186" spans="1:21">
      <c r="A186" t="s">
        <v>503</v>
      </c>
      <c r="B186" t="s">
        <v>280</v>
      </c>
      <c r="C186" t="s">
        <v>22</v>
      </c>
      <c r="D186">
        <v>12</v>
      </c>
      <c r="E186" t="s">
        <v>47</v>
      </c>
      <c r="F186">
        <v>17</v>
      </c>
      <c r="G186" t="s">
        <v>54</v>
      </c>
      <c r="H186" t="s">
        <v>504</v>
      </c>
      <c r="I186">
        <v>94</v>
      </c>
      <c r="J186">
        <v>52</v>
      </c>
      <c r="K186">
        <v>49</v>
      </c>
      <c r="L186">
        <v>60</v>
      </c>
      <c r="M186">
        <v>80</v>
      </c>
      <c r="N186">
        <v>50</v>
      </c>
      <c r="O186">
        <v>291</v>
      </c>
      <c r="P186">
        <v>58.2</v>
      </c>
      <c r="Q186" t="s">
        <v>31</v>
      </c>
      <c r="R186" t="s">
        <v>41</v>
      </c>
      <c r="S186">
        <v>3606</v>
      </c>
      <c r="T186" t="s">
        <v>34</v>
      </c>
      <c r="U186" t="str">
        <f t="shared" si="2"/>
        <v>Pass</v>
      </c>
    </row>
    <row r="187" spans="1:21">
      <c r="A187" t="s">
        <v>505</v>
      </c>
      <c r="B187" t="s">
        <v>426</v>
      </c>
      <c r="C187" t="s">
        <v>22</v>
      </c>
      <c r="D187">
        <v>4</v>
      </c>
      <c r="E187" t="s">
        <v>26</v>
      </c>
      <c r="F187">
        <v>10</v>
      </c>
      <c r="G187" t="s">
        <v>38</v>
      </c>
      <c r="H187" t="s">
        <v>506</v>
      </c>
      <c r="I187">
        <v>79</v>
      </c>
      <c r="J187">
        <v>85</v>
      </c>
      <c r="K187">
        <v>45</v>
      </c>
      <c r="L187">
        <v>82</v>
      </c>
      <c r="M187">
        <v>65</v>
      </c>
      <c r="N187">
        <v>53</v>
      </c>
      <c r="O187">
        <v>330</v>
      </c>
      <c r="P187">
        <v>66</v>
      </c>
      <c r="Q187" t="s">
        <v>26</v>
      </c>
      <c r="R187" t="s">
        <v>41</v>
      </c>
      <c r="S187">
        <v>2497</v>
      </c>
      <c r="T187" t="s">
        <v>34</v>
      </c>
      <c r="U187" t="str">
        <f t="shared" si="2"/>
        <v>Pass</v>
      </c>
    </row>
    <row r="188" spans="1:21">
      <c r="A188" t="s">
        <v>507</v>
      </c>
      <c r="B188" t="s">
        <v>508</v>
      </c>
      <c r="C188" t="s">
        <v>22</v>
      </c>
      <c r="D188">
        <v>1</v>
      </c>
      <c r="E188" t="s">
        <v>26</v>
      </c>
      <c r="F188">
        <v>7</v>
      </c>
      <c r="G188" t="s">
        <v>58</v>
      </c>
      <c r="H188" t="s">
        <v>509</v>
      </c>
      <c r="I188">
        <v>67</v>
      </c>
      <c r="J188">
        <v>99</v>
      </c>
      <c r="K188">
        <v>44</v>
      </c>
      <c r="L188">
        <v>73</v>
      </c>
      <c r="M188">
        <v>71</v>
      </c>
      <c r="N188">
        <v>44</v>
      </c>
      <c r="O188">
        <v>331</v>
      </c>
      <c r="P188">
        <v>66.2</v>
      </c>
      <c r="Q188" t="s">
        <v>26</v>
      </c>
      <c r="R188" t="s">
        <v>41</v>
      </c>
      <c r="S188">
        <v>3345</v>
      </c>
      <c r="T188" t="s">
        <v>28</v>
      </c>
      <c r="U188" t="str">
        <f t="shared" si="2"/>
        <v>Pass</v>
      </c>
    </row>
    <row r="189" spans="1:21">
      <c r="A189" t="s">
        <v>510</v>
      </c>
      <c r="B189" t="s">
        <v>154</v>
      </c>
      <c r="C189" t="s">
        <v>37</v>
      </c>
      <c r="D189">
        <v>5</v>
      </c>
      <c r="E189" t="s">
        <v>47</v>
      </c>
      <c r="F189">
        <v>9</v>
      </c>
      <c r="G189" t="s">
        <v>32</v>
      </c>
      <c r="H189" t="s">
        <v>511</v>
      </c>
      <c r="I189">
        <v>98</v>
      </c>
      <c r="J189">
        <v>91</v>
      </c>
      <c r="K189">
        <v>89</v>
      </c>
      <c r="L189">
        <v>88</v>
      </c>
      <c r="M189">
        <v>84</v>
      </c>
      <c r="N189">
        <v>97</v>
      </c>
      <c r="O189">
        <v>449</v>
      </c>
      <c r="P189">
        <v>89.8</v>
      </c>
      <c r="Q189" t="s">
        <v>47</v>
      </c>
      <c r="R189" t="s">
        <v>41</v>
      </c>
      <c r="S189">
        <v>4135</v>
      </c>
      <c r="T189" t="s">
        <v>66</v>
      </c>
      <c r="U189" t="str">
        <f t="shared" si="2"/>
        <v>Pass</v>
      </c>
    </row>
    <row r="190" spans="1:21">
      <c r="A190" t="s">
        <v>512</v>
      </c>
      <c r="B190" t="s">
        <v>219</v>
      </c>
      <c r="C190" t="s">
        <v>22</v>
      </c>
      <c r="D190">
        <v>6</v>
      </c>
      <c r="E190" t="s">
        <v>47</v>
      </c>
      <c r="F190">
        <v>11</v>
      </c>
      <c r="G190" t="s">
        <v>64</v>
      </c>
      <c r="H190" t="s">
        <v>513</v>
      </c>
      <c r="I190">
        <v>66</v>
      </c>
      <c r="J190">
        <v>35</v>
      </c>
      <c r="K190">
        <v>38</v>
      </c>
      <c r="L190">
        <v>80</v>
      </c>
      <c r="M190">
        <v>97</v>
      </c>
      <c r="N190">
        <v>93</v>
      </c>
      <c r="O190">
        <v>343</v>
      </c>
      <c r="P190">
        <v>68.599999999999994</v>
      </c>
      <c r="Q190" t="s">
        <v>26</v>
      </c>
      <c r="R190" t="s">
        <v>27</v>
      </c>
      <c r="S190">
        <v>4074</v>
      </c>
      <c r="T190" t="s">
        <v>66</v>
      </c>
      <c r="U190" t="str">
        <f t="shared" si="2"/>
        <v>Pass</v>
      </c>
    </row>
    <row r="191" spans="1:21">
      <c r="A191" t="s">
        <v>514</v>
      </c>
      <c r="B191" t="s">
        <v>274</v>
      </c>
      <c r="C191" t="s">
        <v>37</v>
      </c>
      <c r="D191">
        <v>4</v>
      </c>
      <c r="E191" t="s">
        <v>47</v>
      </c>
      <c r="F191">
        <v>10</v>
      </c>
      <c r="G191" t="s">
        <v>32</v>
      </c>
      <c r="H191" t="s">
        <v>283</v>
      </c>
      <c r="I191">
        <v>96</v>
      </c>
      <c r="J191">
        <v>79</v>
      </c>
      <c r="K191">
        <v>79</v>
      </c>
      <c r="L191">
        <v>82</v>
      </c>
      <c r="M191">
        <v>68</v>
      </c>
      <c r="N191">
        <v>94</v>
      </c>
      <c r="O191">
        <v>402</v>
      </c>
      <c r="P191">
        <v>80.400000000000006</v>
      </c>
      <c r="Q191" t="s">
        <v>47</v>
      </c>
      <c r="R191" t="s">
        <v>41</v>
      </c>
      <c r="S191">
        <v>4603</v>
      </c>
      <c r="T191" t="s">
        <v>66</v>
      </c>
      <c r="U191" t="str">
        <f t="shared" si="2"/>
        <v>Pass</v>
      </c>
    </row>
    <row r="192" spans="1:21">
      <c r="A192" t="s">
        <v>515</v>
      </c>
      <c r="B192" t="s">
        <v>75</v>
      </c>
      <c r="C192" t="s">
        <v>22</v>
      </c>
      <c r="D192">
        <v>1</v>
      </c>
      <c r="E192" t="s">
        <v>47</v>
      </c>
      <c r="F192">
        <v>6</v>
      </c>
      <c r="G192" t="s">
        <v>45</v>
      </c>
      <c r="H192" t="s">
        <v>516</v>
      </c>
      <c r="I192">
        <v>89</v>
      </c>
      <c r="J192">
        <v>51</v>
      </c>
      <c r="K192">
        <v>85</v>
      </c>
      <c r="L192">
        <v>52</v>
      </c>
      <c r="M192">
        <v>45</v>
      </c>
      <c r="N192">
        <v>55</v>
      </c>
      <c r="O192">
        <v>288</v>
      </c>
      <c r="P192">
        <v>57.6</v>
      </c>
      <c r="Q192" t="s">
        <v>31</v>
      </c>
      <c r="R192" t="s">
        <v>41</v>
      </c>
      <c r="S192">
        <v>2521</v>
      </c>
      <c r="T192" t="s">
        <v>28</v>
      </c>
      <c r="U192" t="str">
        <f t="shared" si="2"/>
        <v>Pass</v>
      </c>
    </row>
    <row r="193" spans="1:21">
      <c r="A193" t="s">
        <v>517</v>
      </c>
      <c r="B193" t="s">
        <v>518</v>
      </c>
      <c r="C193" t="s">
        <v>37</v>
      </c>
      <c r="D193">
        <v>1</v>
      </c>
      <c r="E193" t="s">
        <v>31</v>
      </c>
      <c r="F193">
        <v>6</v>
      </c>
      <c r="G193" t="s">
        <v>24</v>
      </c>
      <c r="H193" t="s">
        <v>519</v>
      </c>
      <c r="I193">
        <v>98</v>
      </c>
      <c r="J193">
        <v>43</v>
      </c>
      <c r="K193">
        <v>58</v>
      </c>
      <c r="L193">
        <v>82</v>
      </c>
      <c r="M193">
        <v>36</v>
      </c>
      <c r="N193">
        <v>69</v>
      </c>
      <c r="O193">
        <v>288</v>
      </c>
      <c r="P193">
        <v>57.6</v>
      </c>
      <c r="Q193" t="s">
        <v>31</v>
      </c>
      <c r="R193" t="s">
        <v>41</v>
      </c>
      <c r="S193">
        <v>2626</v>
      </c>
      <c r="T193" t="s">
        <v>34</v>
      </c>
      <c r="U193" t="str">
        <f t="shared" si="2"/>
        <v>Pass</v>
      </c>
    </row>
    <row r="194" spans="1:21">
      <c r="A194" t="s">
        <v>520</v>
      </c>
      <c r="B194" t="s">
        <v>226</v>
      </c>
      <c r="C194" t="s">
        <v>22</v>
      </c>
      <c r="D194">
        <v>3</v>
      </c>
      <c r="E194" t="s">
        <v>26</v>
      </c>
      <c r="F194">
        <v>8</v>
      </c>
      <c r="G194" t="s">
        <v>45</v>
      </c>
      <c r="H194" t="s">
        <v>521</v>
      </c>
      <c r="I194">
        <v>64</v>
      </c>
      <c r="J194">
        <v>49</v>
      </c>
      <c r="K194">
        <v>46</v>
      </c>
      <c r="L194">
        <v>68</v>
      </c>
      <c r="M194">
        <v>67</v>
      </c>
      <c r="N194">
        <v>77</v>
      </c>
      <c r="O194">
        <v>307</v>
      </c>
      <c r="P194">
        <v>61.4</v>
      </c>
      <c r="Q194" t="s">
        <v>26</v>
      </c>
      <c r="R194" t="s">
        <v>41</v>
      </c>
      <c r="S194">
        <v>1778</v>
      </c>
      <c r="T194" t="s">
        <v>66</v>
      </c>
      <c r="U194" t="str">
        <f t="shared" si="2"/>
        <v>Pass</v>
      </c>
    </row>
    <row r="195" spans="1:21">
      <c r="A195" t="s">
        <v>522</v>
      </c>
      <c r="B195" t="s">
        <v>236</v>
      </c>
      <c r="C195" t="s">
        <v>37</v>
      </c>
      <c r="D195">
        <v>3</v>
      </c>
      <c r="E195" t="s">
        <v>31</v>
      </c>
      <c r="F195">
        <v>8</v>
      </c>
      <c r="G195" t="s">
        <v>64</v>
      </c>
      <c r="H195" t="s">
        <v>523</v>
      </c>
      <c r="I195">
        <v>83</v>
      </c>
      <c r="J195">
        <v>46</v>
      </c>
      <c r="K195">
        <v>88</v>
      </c>
      <c r="L195">
        <v>47</v>
      </c>
      <c r="M195">
        <v>39</v>
      </c>
      <c r="N195">
        <v>66</v>
      </c>
      <c r="O195">
        <v>286</v>
      </c>
      <c r="P195">
        <v>57.2</v>
      </c>
      <c r="Q195" t="s">
        <v>31</v>
      </c>
      <c r="R195" t="s">
        <v>27</v>
      </c>
      <c r="S195">
        <v>4029</v>
      </c>
      <c r="T195" t="s">
        <v>48</v>
      </c>
      <c r="U195" t="str">
        <f t="shared" ref="U195:U258" si="3">IF(P195&gt;55,"Pass","Fail")</f>
        <v>Pass</v>
      </c>
    </row>
    <row r="196" spans="1:21">
      <c r="A196" t="s">
        <v>524</v>
      </c>
      <c r="B196" t="s">
        <v>525</v>
      </c>
      <c r="C196" t="s">
        <v>22</v>
      </c>
      <c r="D196">
        <v>12</v>
      </c>
      <c r="E196" t="s">
        <v>23</v>
      </c>
      <c r="F196">
        <v>18</v>
      </c>
      <c r="G196" t="s">
        <v>24</v>
      </c>
      <c r="H196" t="s">
        <v>526</v>
      </c>
      <c r="I196">
        <v>65</v>
      </c>
      <c r="J196">
        <v>68</v>
      </c>
      <c r="K196">
        <v>78</v>
      </c>
      <c r="L196">
        <v>49</v>
      </c>
      <c r="M196">
        <v>95</v>
      </c>
      <c r="N196">
        <v>46</v>
      </c>
      <c r="O196">
        <v>336</v>
      </c>
      <c r="P196">
        <v>67.2</v>
      </c>
      <c r="Q196" t="s">
        <v>26</v>
      </c>
      <c r="R196" t="s">
        <v>27</v>
      </c>
      <c r="S196">
        <v>3847</v>
      </c>
      <c r="T196" t="s">
        <v>34</v>
      </c>
      <c r="U196" t="str">
        <f t="shared" si="3"/>
        <v>Pass</v>
      </c>
    </row>
    <row r="197" spans="1:21">
      <c r="A197" t="s">
        <v>527</v>
      </c>
      <c r="B197" t="s">
        <v>181</v>
      </c>
      <c r="C197" t="s">
        <v>37</v>
      </c>
      <c r="D197">
        <v>5</v>
      </c>
      <c r="E197" t="s">
        <v>31</v>
      </c>
      <c r="F197">
        <v>9</v>
      </c>
      <c r="G197" t="s">
        <v>64</v>
      </c>
      <c r="H197" t="s">
        <v>528</v>
      </c>
      <c r="I197">
        <v>89</v>
      </c>
      <c r="J197">
        <v>82</v>
      </c>
      <c r="K197">
        <v>70</v>
      </c>
      <c r="L197">
        <v>94</v>
      </c>
      <c r="M197">
        <v>58</v>
      </c>
      <c r="N197">
        <v>93</v>
      </c>
      <c r="O197">
        <v>397</v>
      </c>
      <c r="P197">
        <v>79.400000000000006</v>
      </c>
      <c r="Q197" t="s">
        <v>40</v>
      </c>
      <c r="R197" t="s">
        <v>27</v>
      </c>
      <c r="S197">
        <v>4818</v>
      </c>
      <c r="T197" t="s">
        <v>48</v>
      </c>
      <c r="U197" t="str">
        <f t="shared" si="3"/>
        <v>Pass</v>
      </c>
    </row>
    <row r="198" spans="1:21">
      <c r="A198" t="s">
        <v>529</v>
      </c>
      <c r="B198" t="s">
        <v>151</v>
      </c>
      <c r="C198" t="s">
        <v>22</v>
      </c>
      <c r="D198">
        <v>3</v>
      </c>
      <c r="E198" t="s">
        <v>31</v>
      </c>
      <c r="F198">
        <v>7</v>
      </c>
      <c r="G198" t="s">
        <v>38</v>
      </c>
      <c r="H198" t="s">
        <v>530</v>
      </c>
      <c r="I198">
        <v>62</v>
      </c>
      <c r="J198">
        <v>41</v>
      </c>
      <c r="K198">
        <v>45</v>
      </c>
      <c r="L198">
        <v>88</v>
      </c>
      <c r="M198">
        <v>71</v>
      </c>
      <c r="N198">
        <v>72</v>
      </c>
      <c r="O198">
        <v>317</v>
      </c>
      <c r="P198">
        <v>63.4</v>
      </c>
      <c r="Q198" t="s">
        <v>26</v>
      </c>
      <c r="R198" t="s">
        <v>27</v>
      </c>
      <c r="S198">
        <v>4811</v>
      </c>
      <c r="T198" t="s">
        <v>34</v>
      </c>
      <c r="U198" t="str">
        <f t="shared" si="3"/>
        <v>Pass</v>
      </c>
    </row>
    <row r="199" spans="1:21">
      <c r="A199" t="s">
        <v>531</v>
      </c>
      <c r="B199" t="s">
        <v>508</v>
      </c>
      <c r="C199" t="s">
        <v>37</v>
      </c>
      <c r="D199">
        <v>8</v>
      </c>
      <c r="E199" t="s">
        <v>26</v>
      </c>
      <c r="F199">
        <v>14</v>
      </c>
      <c r="G199" t="s">
        <v>54</v>
      </c>
      <c r="H199" t="s">
        <v>532</v>
      </c>
      <c r="I199">
        <v>74</v>
      </c>
      <c r="J199">
        <v>59</v>
      </c>
      <c r="K199">
        <v>38</v>
      </c>
      <c r="L199">
        <v>90</v>
      </c>
      <c r="M199">
        <v>79</v>
      </c>
      <c r="N199">
        <v>78</v>
      </c>
      <c r="O199">
        <v>344</v>
      </c>
      <c r="P199">
        <v>68.8</v>
      </c>
      <c r="Q199" t="s">
        <v>26</v>
      </c>
      <c r="R199" t="s">
        <v>27</v>
      </c>
      <c r="S199">
        <v>2632</v>
      </c>
      <c r="T199" t="s">
        <v>70</v>
      </c>
      <c r="U199" t="str">
        <f t="shared" si="3"/>
        <v>Pass</v>
      </c>
    </row>
    <row r="200" spans="1:21">
      <c r="A200" t="s">
        <v>533</v>
      </c>
      <c r="B200" t="s">
        <v>84</v>
      </c>
      <c r="C200" t="s">
        <v>22</v>
      </c>
      <c r="D200">
        <v>10</v>
      </c>
      <c r="E200" t="s">
        <v>31</v>
      </c>
      <c r="F200">
        <v>14</v>
      </c>
      <c r="G200" t="s">
        <v>45</v>
      </c>
      <c r="H200" t="s">
        <v>534</v>
      </c>
      <c r="I200">
        <v>86</v>
      </c>
      <c r="J200">
        <v>54</v>
      </c>
      <c r="K200">
        <v>91</v>
      </c>
      <c r="L200">
        <v>86</v>
      </c>
      <c r="M200">
        <v>71</v>
      </c>
      <c r="N200">
        <v>53</v>
      </c>
      <c r="O200">
        <v>355</v>
      </c>
      <c r="P200">
        <v>71</v>
      </c>
      <c r="Q200" t="s">
        <v>40</v>
      </c>
      <c r="R200" t="s">
        <v>41</v>
      </c>
      <c r="S200">
        <v>4084</v>
      </c>
      <c r="T200" t="s">
        <v>42</v>
      </c>
      <c r="U200" t="str">
        <f t="shared" si="3"/>
        <v>Pass</v>
      </c>
    </row>
    <row r="201" spans="1:21">
      <c r="A201" t="s">
        <v>535</v>
      </c>
      <c r="B201" t="s">
        <v>490</v>
      </c>
      <c r="C201" t="s">
        <v>37</v>
      </c>
      <c r="D201">
        <v>7</v>
      </c>
      <c r="E201" t="s">
        <v>31</v>
      </c>
      <c r="F201">
        <v>11</v>
      </c>
      <c r="G201" t="s">
        <v>24</v>
      </c>
      <c r="H201" t="s">
        <v>536</v>
      </c>
      <c r="I201">
        <v>61</v>
      </c>
      <c r="J201">
        <v>64</v>
      </c>
      <c r="K201">
        <v>35</v>
      </c>
      <c r="L201">
        <v>86</v>
      </c>
      <c r="M201">
        <v>41</v>
      </c>
      <c r="N201">
        <v>85</v>
      </c>
      <c r="O201">
        <v>311</v>
      </c>
      <c r="P201">
        <v>62.2</v>
      </c>
      <c r="Q201" t="s">
        <v>26</v>
      </c>
      <c r="R201" t="s">
        <v>41</v>
      </c>
      <c r="S201">
        <v>3221</v>
      </c>
      <c r="T201" t="s">
        <v>42</v>
      </c>
      <c r="U201" t="str">
        <f t="shared" si="3"/>
        <v>Pass</v>
      </c>
    </row>
    <row r="202" spans="1:21">
      <c r="A202" t="s">
        <v>537</v>
      </c>
      <c r="B202" t="s">
        <v>96</v>
      </c>
      <c r="C202" t="s">
        <v>22</v>
      </c>
      <c r="D202">
        <v>1</v>
      </c>
      <c r="E202" t="s">
        <v>26</v>
      </c>
      <c r="F202">
        <v>6</v>
      </c>
      <c r="G202" t="s">
        <v>54</v>
      </c>
      <c r="H202" t="s">
        <v>538</v>
      </c>
      <c r="I202">
        <v>69</v>
      </c>
      <c r="J202">
        <v>62</v>
      </c>
      <c r="K202">
        <v>35</v>
      </c>
      <c r="L202">
        <v>92</v>
      </c>
      <c r="M202">
        <v>66</v>
      </c>
      <c r="N202">
        <v>58</v>
      </c>
      <c r="O202">
        <v>313</v>
      </c>
      <c r="P202">
        <v>62.6</v>
      </c>
      <c r="Q202" t="s">
        <v>26</v>
      </c>
      <c r="R202" t="s">
        <v>41</v>
      </c>
      <c r="S202">
        <v>4786</v>
      </c>
      <c r="T202" t="s">
        <v>28</v>
      </c>
      <c r="U202" t="str">
        <f t="shared" si="3"/>
        <v>Pass</v>
      </c>
    </row>
    <row r="203" spans="1:21">
      <c r="A203" t="s">
        <v>539</v>
      </c>
      <c r="B203" t="s">
        <v>30</v>
      </c>
      <c r="C203" t="s">
        <v>37</v>
      </c>
      <c r="D203">
        <v>8</v>
      </c>
      <c r="E203" t="s">
        <v>31</v>
      </c>
      <c r="F203">
        <v>12</v>
      </c>
      <c r="G203" t="s">
        <v>32</v>
      </c>
      <c r="H203" t="s">
        <v>540</v>
      </c>
      <c r="I203">
        <v>66</v>
      </c>
      <c r="J203">
        <v>87</v>
      </c>
      <c r="K203">
        <v>100</v>
      </c>
      <c r="L203">
        <v>59</v>
      </c>
      <c r="M203">
        <v>64</v>
      </c>
      <c r="N203">
        <v>95</v>
      </c>
      <c r="O203">
        <v>405</v>
      </c>
      <c r="P203">
        <v>81</v>
      </c>
      <c r="Q203" t="s">
        <v>47</v>
      </c>
      <c r="R203" t="s">
        <v>41</v>
      </c>
      <c r="S203">
        <v>3126</v>
      </c>
      <c r="T203" t="s">
        <v>28</v>
      </c>
      <c r="U203" t="str">
        <f t="shared" si="3"/>
        <v>Pass</v>
      </c>
    </row>
    <row r="204" spans="1:21">
      <c r="A204" t="s">
        <v>541</v>
      </c>
      <c r="B204" t="s">
        <v>187</v>
      </c>
      <c r="C204" t="s">
        <v>22</v>
      </c>
      <c r="D204">
        <v>7</v>
      </c>
      <c r="E204" t="s">
        <v>47</v>
      </c>
      <c r="F204">
        <v>11</v>
      </c>
      <c r="G204" t="s">
        <v>54</v>
      </c>
      <c r="H204" t="s">
        <v>542</v>
      </c>
      <c r="I204">
        <v>97</v>
      </c>
      <c r="J204">
        <v>81</v>
      </c>
      <c r="K204">
        <v>90</v>
      </c>
      <c r="L204">
        <v>69</v>
      </c>
      <c r="M204">
        <v>72</v>
      </c>
      <c r="N204">
        <v>72</v>
      </c>
      <c r="O204">
        <v>384</v>
      </c>
      <c r="P204">
        <v>76.8</v>
      </c>
      <c r="Q204" t="s">
        <v>40</v>
      </c>
      <c r="R204" t="s">
        <v>27</v>
      </c>
      <c r="S204">
        <v>4879</v>
      </c>
      <c r="T204" t="s">
        <v>42</v>
      </c>
      <c r="U204" t="str">
        <f t="shared" si="3"/>
        <v>Pass</v>
      </c>
    </row>
    <row r="205" spans="1:21">
      <c r="A205" t="s">
        <v>543</v>
      </c>
      <c r="B205" t="s">
        <v>544</v>
      </c>
      <c r="C205" t="s">
        <v>37</v>
      </c>
      <c r="D205">
        <v>12</v>
      </c>
      <c r="E205" t="s">
        <v>26</v>
      </c>
      <c r="F205">
        <v>17</v>
      </c>
      <c r="G205" t="s">
        <v>32</v>
      </c>
      <c r="H205" t="s">
        <v>545</v>
      </c>
      <c r="I205">
        <v>91</v>
      </c>
      <c r="J205">
        <v>83</v>
      </c>
      <c r="K205">
        <v>46</v>
      </c>
      <c r="L205">
        <v>38</v>
      </c>
      <c r="M205">
        <v>44</v>
      </c>
      <c r="N205">
        <v>70</v>
      </c>
      <c r="O205">
        <v>281</v>
      </c>
      <c r="P205">
        <v>56.2</v>
      </c>
      <c r="Q205" t="s">
        <v>31</v>
      </c>
      <c r="R205" t="s">
        <v>41</v>
      </c>
      <c r="S205">
        <v>3119</v>
      </c>
      <c r="T205" t="s">
        <v>66</v>
      </c>
      <c r="U205" t="str">
        <f t="shared" si="3"/>
        <v>Pass</v>
      </c>
    </row>
    <row r="206" spans="1:21">
      <c r="A206" t="s">
        <v>546</v>
      </c>
      <c r="B206" t="s">
        <v>193</v>
      </c>
      <c r="C206" t="s">
        <v>37</v>
      </c>
      <c r="D206">
        <v>11</v>
      </c>
      <c r="E206" t="s">
        <v>23</v>
      </c>
      <c r="F206">
        <v>17</v>
      </c>
      <c r="G206" t="s">
        <v>58</v>
      </c>
      <c r="H206" t="s">
        <v>547</v>
      </c>
      <c r="I206">
        <v>100</v>
      </c>
      <c r="J206">
        <v>90</v>
      </c>
      <c r="K206">
        <v>36</v>
      </c>
      <c r="L206">
        <v>67</v>
      </c>
      <c r="M206">
        <v>61</v>
      </c>
      <c r="N206">
        <v>92</v>
      </c>
      <c r="O206">
        <v>346</v>
      </c>
      <c r="P206">
        <v>69.2</v>
      </c>
      <c r="Q206" t="s">
        <v>26</v>
      </c>
      <c r="R206" t="s">
        <v>27</v>
      </c>
      <c r="S206">
        <v>4575</v>
      </c>
      <c r="T206" t="s">
        <v>28</v>
      </c>
      <c r="U206" t="str">
        <f t="shared" si="3"/>
        <v>Pass</v>
      </c>
    </row>
    <row r="207" spans="1:21">
      <c r="A207" t="s">
        <v>548</v>
      </c>
      <c r="B207" t="s">
        <v>90</v>
      </c>
      <c r="C207" t="s">
        <v>37</v>
      </c>
      <c r="D207">
        <v>4</v>
      </c>
      <c r="E207" t="s">
        <v>23</v>
      </c>
      <c r="F207">
        <v>10</v>
      </c>
      <c r="G207" t="s">
        <v>64</v>
      </c>
      <c r="H207" t="s">
        <v>549</v>
      </c>
      <c r="I207">
        <v>100</v>
      </c>
      <c r="J207">
        <v>87</v>
      </c>
      <c r="K207">
        <v>66</v>
      </c>
      <c r="L207">
        <v>94</v>
      </c>
      <c r="M207">
        <v>67</v>
      </c>
      <c r="N207">
        <v>89</v>
      </c>
      <c r="O207">
        <v>403</v>
      </c>
      <c r="P207">
        <v>80.599999999999994</v>
      </c>
      <c r="Q207" t="s">
        <v>47</v>
      </c>
      <c r="R207" t="s">
        <v>27</v>
      </c>
      <c r="S207">
        <v>2807</v>
      </c>
      <c r="T207" t="s">
        <v>66</v>
      </c>
      <c r="U207" t="str">
        <f t="shared" si="3"/>
        <v>Pass</v>
      </c>
    </row>
    <row r="208" spans="1:21">
      <c r="A208" t="s">
        <v>550</v>
      </c>
      <c r="B208" t="s">
        <v>239</v>
      </c>
      <c r="C208" t="s">
        <v>22</v>
      </c>
      <c r="D208">
        <v>1</v>
      </c>
      <c r="E208" t="s">
        <v>31</v>
      </c>
      <c r="F208">
        <v>7</v>
      </c>
      <c r="G208" t="s">
        <v>32</v>
      </c>
      <c r="H208" t="s">
        <v>551</v>
      </c>
      <c r="I208">
        <v>81</v>
      </c>
      <c r="J208">
        <v>65</v>
      </c>
      <c r="K208">
        <v>64</v>
      </c>
      <c r="L208">
        <v>93</v>
      </c>
      <c r="M208">
        <v>97</v>
      </c>
      <c r="N208">
        <v>63</v>
      </c>
      <c r="O208">
        <v>382</v>
      </c>
      <c r="P208">
        <v>76.400000000000006</v>
      </c>
      <c r="Q208" t="s">
        <v>40</v>
      </c>
      <c r="R208" t="s">
        <v>41</v>
      </c>
      <c r="S208">
        <v>4495</v>
      </c>
      <c r="T208" t="s">
        <v>70</v>
      </c>
      <c r="U208" t="str">
        <f t="shared" si="3"/>
        <v>Pass</v>
      </c>
    </row>
    <row r="209" spans="1:21">
      <c r="A209" t="s">
        <v>552</v>
      </c>
      <c r="B209" t="s">
        <v>151</v>
      </c>
      <c r="C209" t="s">
        <v>37</v>
      </c>
      <c r="D209">
        <v>7</v>
      </c>
      <c r="E209" t="s">
        <v>31</v>
      </c>
      <c r="F209">
        <v>13</v>
      </c>
      <c r="G209" t="s">
        <v>38</v>
      </c>
      <c r="H209" t="s">
        <v>553</v>
      </c>
      <c r="I209">
        <v>97</v>
      </c>
      <c r="J209">
        <v>43</v>
      </c>
      <c r="K209">
        <v>38</v>
      </c>
      <c r="L209">
        <v>75</v>
      </c>
      <c r="M209">
        <v>72</v>
      </c>
      <c r="N209">
        <v>40</v>
      </c>
      <c r="O209">
        <v>268</v>
      </c>
      <c r="P209">
        <v>53.6</v>
      </c>
      <c r="Q209" t="s">
        <v>31</v>
      </c>
      <c r="R209" t="s">
        <v>27</v>
      </c>
      <c r="S209">
        <v>4183</v>
      </c>
      <c r="T209" t="s">
        <v>34</v>
      </c>
      <c r="U209" t="str">
        <f t="shared" si="3"/>
        <v>Fail</v>
      </c>
    </row>
    <row r="210" spans="1:21">
      <c r="A210" t="s">
        <v>554</v>
      </c>
      <c r="B210" t="s">
        <v>555</v>
      </c>
      <c r="C210" t="s">
        <v>37</v>
      </c>
      <c r="D210">
        <v>9</v>
      </c>
      <c r="E210" t="s">
        <v>26</v>
      </c>
      <c r="F210">
        <v>15</v>
      </c>
      <c r="G210" t="s">
        <v>54</v>
      </c>
      <c r="H210" t="s">
        <v>556</v>
      </c>
      <c r="I210">
        <v>67</v>
      </c>
      <c r="J210">
        <v>82</v>
      </c>
      <c r="K210">
        <v>78</v>
      </c>
      <c r="L210">
        <v>38</v>
      </c>
      <c r="M210">
        <v>47</v>
      </c>
      <c r="N210">
        <v>62</v>
      </c>
      <c r="O210">
        <v>307</v>
      </c>
      <c r="P210">
        <v>61.4</v>
      </c>
      <c r="Q210" t="s">
        <v>26</v>
      </c>
      <c r="R210" t="s">
        <v>41</v>
      </c>
      <c r="S210">
        <v>3658</v>
      </c>
      <c r="T210" t="s">
        <v>42</v>
      </c>
      <c r="U210" t="str">
        <f t="shared" si="3"/>
        <v>Pass</v>
      </c>
    </row>
    <row r="211" spans="1:21">
      <c r="A211" t="s">
        <v>557</v>
      </c>
      <c r="B211" t="s">
        <v>322</v>
      </c>
      <c r="C211" t="s">
        <v>37</v>
      </c>
      <c r="D211">
        <v>8</v>
      </c>
      <c r="E211" t="s">
        <v>26</v>
      </c>
      <c r="F211">
        <v>12</v>
      </c>
      <c r="G211" t="s">
        <v>45</v>
      </c>
      <c r="H211" t="s">
        <v>558</v>
      </c>
      <c r="I211">
        <v>84</v>
      </c>
      <c r="J211">
        <v>66</v>
      </c>
      <c r="K211">
        <v>45</v>
      </c>
      <c r="L211">
        <v>67</v>
      </c>
      <c r="M211">
        <v>53</v>
      </c>
      <c r="N211">
        <v>98</v>
      </c>
      <c r="O211">
        <v>329</v>
      </c>
      <c r="P211">
        <v>65.8</v>
      </c>
      <c r="Q211" t="s">
        <v>26</v>
      </c>
      <c r="R211" t="s">
        <v>27</v>
      </c>
      <c r="S211">
        <v>4720</v>
      </c>
      <c r="T211" t="s">
        <v>66</v>
      </c>
      <c r="U211" t="str">
        <f t="shared" si="3"/>
        <v>Pass</v>
      </c>
    </row>
    <row r="212" spans="1:21">
      <c r="A212" t="s">
        <v>559</v>
      </c>
      <c r="B212" t="s">
        <v>308</v>
      </c>
      <c r="C212" t="s">
        <v>22</v>
      </c>
      <c r="D212">
        <v>7</v>
      </c>
      <c r="E212" t="s">
        <v>31</v>
      </c>
      <c r="F212">
        <v>13</v>
      </c>
      <c r="G212" t="s">
        <v>32</v>
      </c>
      <c r="H212" t="s">
        <v>560</v>
      </c>
      <c r="I212">
        <v>81</v>
      </c>
      <c r="J212">
        <v>91</v>
      </c>
      <c r="K212">
        <v>49</v>
      </c>
      <c r="L212">
        <v>38</v>
      </c>
      <c r="M212">
        <v>97</v>
      </c>
      <c r="N212">
        <v>82</v>
      </c>
      <c r="O212">
        <v>357</v>
      </c>
      <c r="P212">
        <v>71.400000000000006</v>
      </c>
      <c r="Q212" t="s">
        <v>40</v>
      </c>
      <c r="R212" t="s">
        <v>41</v>
      </c>
      <c r="S212">
        <v>4498</v>
      </c>
      <c r="T212" t="s">
        <v>70</v>
      </c>
      <c r="U212" t="str">
        <f t="shared" si="3"/>
        <v>Pass</v>
      </c>
    </row>
    <row r="213" spans="1:21">
      <c r="A213" t="s">
        <v>561</v>
      </c>
      <c r="B213" t="s">
        <v>562</v>
      </c>
      <c r="C213" t="s">
        <v>22</v>
      </c>
      <c r="D213">
        <v>3</v>
      </c>
      <c r="E213" t="s">
        <v>23</v>
      </c>
      <c r="F213">
        <v>9</v>
      </c>
      <c r="G213" t="s">
        <v>45</v>
      </c>
      <c r="H213" t="s">
        <v>563</v>
      </c>
      <c r="I213">
        <v>89</v>
      </c>
      <c r="J213">
        <v>88</v>
      </c>
      <c r="K213">
        <v>44</v>
      </c>
      <c r="L213">
        <v>68</v>
      </c>
      <c r="M213">
        <v>37</v>
      </c>
      <c r="N213">
        <v>50</v>
      </c>
      <c r="O213">
        <v>287</v>
      </c>
      <c r="P213">
        <v>57.4</v>
      </c>
      <c r="Q213" t="s">
        <v>31</v>
      </c>
      <c r="R213" t="s">
        <v>41</v>
      </c>
      <c r="S213">
        <v>4421</v>
      </c>
      <c r="T213" t="s">
        <v>34</v>
      </c>
      <c r="U213" t="str">
        <f t="shared" si="3"/>
        <v>Pass</v>
      </c>
    </row>
    <row r="214" spans="1:21">
      <c r="A214" t="s">
        <v>564</v>
      </c>
      <c r="B214" t="s">
        <v>202</v>
      </c>
      <c r="C214" t="s">
        <v>37</v>
      </c>
      <c r="D214">
        <v>11</v>
      </c>
      <c r="E214" t="s">
        <v>31</v>
      </c>
      <c r="F214">
        <v>17</v>
      </c>
      <c r="G214" t="s">
        <v>24</v>
      </c>
      <c r="H214" t="s">
        <v>565</v>
      </c>
      <c r="I214">
        <v>77</v>
      </c>
      <c r="J214">
        <v>57</v>
      </c>
      <c r="K214">
        <v>65</v>
      </c>
      <c r="L214">
        <v>88</v>
      </c>
      <c r="M214">
        <v>79</v>
      </c>
      <c r="N214">
        <v>100</v>
      </c>
      <c r="O214">
        <v>389</v>
      </c>
      <c r="P214">
        <v>77.8</v>
      </c>
      <c r="Q214" t="s">
        <v>40</v>
      </c>
      <c r="R214" t="s">
        <v>27</v>
      </c>
      <c r="S214">
        <v>2188</v>
      </c>
      <c r="T214" t="s">
        <v>42</v>
      </c>
      <c r="U214" t="str">
        <f t="shared" si="3"/>
        <v>Pass</v>
      </c>
    </row>
    <row r="215" spans="1:21">
      <c r="A215" t="s">
        <v>566</v>
      </c>
      <c r="B215" t="s">
        <v>332</v>
      </c>
      <c r="C215" t="s">
        <v>37</v>
      </c>
      <c r="D215">
        <v>8</v>
      </c>
      <c r="E215" t="s">
        <v>47</v>
      </c>
      <c r="F215">
        <v>12</v>
      </c>
      <c r="G215" t="s">
        <v>24</v>
      </c>
      <c r="H215" t="s">
        <v>567</v>
      </c>
      <c r="I215">
        <v>97</v>
      </c>
      <c r="J215">
        <v>81</v>
      </c>
      <c r="K215">
        <v>57</v>
      </c>
      <c r="L215">
        <v>84</v>
      </c>
      <c r="M215">
        <v>55</v>
      </c>
      <c r="N215">
        <v>62</v>
      </c>
      <c r="O215">
        <v>339</v>
      </c>
      <c r="P215">
        <v>67.8</v>
      </c>
      <c r="Q215" t="s">
        <v>26</v>
      </c>
      <c r="R215" t="s">
        <v>41</v>
      </c>
      <c r="S215">
        <v>4838</v>
      </c>
      <c r="T215" t="s">
        <v>42</v>
      </c>
      <c r="U215" t="str">
        <f t="shared" si="3"/>
        <v>Pass</v>
      </c>
    </row>
    <row r="216" spans="1:21">
      <c r="A216" t="s">
        <v>568</v>
      </c>
      <c r="B216" t="s">
        <v>350</v>
      </c>
      <c r="C216" t="s">
        <v>22</v>
      </c>
      <c r="D216">
        <v>5</v>
      </c>
      <c r="E216" t="s">
        <v>23</v>
      </c>
      <c r="F216">
        <v>9</v>
      </c>
      <c r="G216" t="s">
        <v>38</v>
      </c>
      <c r="H216" t="s">
        <v>569</v>
      </c>
      <c r="I216">
        <v>69</v>
      </c>
      <c r="J216">
        <v>71</v>
      </c>
      <c r="K216">
        <v>77</v>
      </c>
      <c r="L216">
        <v>50</v>
      </c>
      <c r="M216">
        <v>48</v>
      </c>
      <c r="N216">
        <v>54</v>
      </c>
      <c r="O216">
        <v>300</v>
      </c>
      <c r="P216">
        <v>60</v>
      </c>
      <c r="Q216" t="s">
        <v>26</v>
      </c>
      <c r="R216" t="s">
        <v>41</v>
      </c>
      <c r="S216">
        <v>2740</v>
      </c>
      <c r="T216" t="s">
        <v>28</v>
      </c>
      <c r="U216" t="str">
        <f t="shared" si="3"/>
        <v>Pass</v>
      </c>
    </row>
    <row r="217" spans="1:21">
      <c r="A217" t="s">
        <v>570</v>
      </c>
      <c r="B217" t="s">
        <v>81</v>
      </c>
      <c r="C217" t="s">
        <v>37</v>
      </c>
      <c r="D217">
        <v>11</v>
      </c>
      <c r="E217" t="s">
        <v>23</v>
      </c>
      <c r="F217">
        <v>17</v>
      </c>
      <c r="G217" t="s">
        <v>58</v>
      </c>
      <c r="H217" t="s">
        <v>571</v>
      </c>
      <c r="I217">
        <v>78</v>
      </c>
      <c r="J217">
        <v>87</v>
      </c>
      <c r="K217">
        <v>40</v>
      </c>
      <c r="L217">
        <v>83</v>
      </c>
      <c r="M217">
        <v>74</v>
      </c>
      <c r="N217">
        <v>75</v>
      </c>
      <c r="O217">
        <v>359</v>
      </c>
      <c r="P217">
        <v>71.8</v>
      </c>
      <c r="Q217" t="s">
        <v>40</v>
      </c>
      <c r="R217" t="s">
        <v>41</v>
      </c>
      <c r="S217">
        <v>4461</v>
      </c>
      <c r="T217" t="s">
        <v>42</v>
      </c>
      <c r="U217" t="str">
        <f t="shared" si="3"/>
        <v>Pass</v>
      </c>
    </row>
    <row r="218" spans="1:21">
      <c r="A218" t="s">
        <v>572</v>
      </c>
      <c r="B218" t="s">
        <v>239</v>
      </c>
      <c r="C218" t="s">
        <v>22</v>
      </c>
      <c r="D218">
        <v>8</v>
      </c>
      <c r="E218" t="s">
        <v>23</v>
      </c>
      <c r="F218">
        <v>12</v>
      </c>
      <c r="G218" t="s">
        <v>58</v>
      </c>
      <c r="H218" t="s">
        <v>573</v>
      </c>
      <c r="I218">
        <v>63</v>
      </c>
      <c r="J218">
        <v>77</v>
      </c>
      <c r="K218">
        <v>91</v>
      </c>
      <c r="L218">
        <v>41</v>
      </c>
      <c r="M218">
        <v>47</v>
      </c>
      <c r="N218">
        <v>96</v>
      </c>
      <c r="O218">
        <v>352</v>
      </c>
      <c r="P218">
        <v>70.400000000000006</v>
      </c>
      <c r="Q218" t="s">
        <v>40</v>
      </c>
      <c r="R218" t="s">
        <v>27</v>
      </c>
      <c r="S218">
        <v>4800</v>
      </c>
      <c r="T218" t="s">
        <v>66</v>
      </c>
      <c r="U218" t="str">
        <f t="shared" si="3"/>
        <v>Pass</v>
      </c>
    </row>
    <row r="219" spans="1:21">
      <c r="A219" t="s">
        <v>574</v>
      </c>
      <c r="B219" t="s">
        <v>178</v>
      </c>
      <c r="C219" t="s">
        <v>37</v>
      </c>
      <c r="D219">
        <v>10</v>
      </c>
      <c r="E219" t="s">
        <v>23</v>
      </c>
      <c r="F219">
        <v>14</v>
      </c>
      <c r="G219" t="s">
        <v>54</v>
      </c>
      <c r="H219" t="s">
        <v>575</v>
      </c>
      <c r="I219">
        <v>68</v>
      </c>
      <c r="J219">
        <v>91</v>
      </c>
      <c r="K219">
        <v>89</v>
      </c>
      <c r="L219">
        <v>61</v>
      </c>
      <c r="M219">
        <v>47</v>
      </c>
      <c r="N219">
        <v>58</v>
      </c>
      <c r="O219">
        <v>346</v>
      </c>
      <c r="P219">
        <v>69.2</v>
      </c>
      <c r="Q219" t="s">
        <v>26</v>
      </c>
      <c r="R219" t="s">
        <v>41</v>
      </c>
      <c r="S219">
        <v>3999</v>
      </c>
      <c r="T219" t="s">
        <v>48</v>
      </c>
      <c r="U219" t="str">
        <f t="shared" si="3"/>
        <v>Pass</v>
      </c>
    </row>
    <row r="220" spans="1:21">
      <c r="A220" t="s">
        <v>576</v>
      </c>
      <c r="B220" t="s">
        <v>190</v>
      </c>
      <c r="C220" t="s">
        <v>37</v>
      </c>
      <c r="D220">
        <v>7</v>
      </c>
      <c r="E220" t="s">
        <v>23</v>
      </c>
      <c r="F220">
        <v>12</v>
      </c>
      <c r="G220" t="s">
        <v>45</v>
      </c>
      <c r="H220" t="s">
        <v>577</v>
      </c>
      <c r="I220">
        <v>63</v>
      </c>
      <c r="J220">
        <v>67</v>
      </c>
      <c r="K220">
        <v>48</v>
      </c>
      <c r="L220">
        <v>55</v>
      </c>
      <c r="M220">
        <v>35</v>
      </c>
      <c r="N220">
        <v>90</v>
      </c>
      <c r="O220">
        <v>295</v>
      </c>
      <c r="P220">
        <v>59</v>
      </c>
      <c r="Q220" t="s">
        <v>31</v>
      </c>
      <c r="R220" t="s">
        <v>41</v>
      </c>
      <c r="S220">
        <v>2067</v>
      </c>
      <c r="T220" t="s">
        <v>66</v>
      </c>
      <c r="U220" t="str">
        <f t="shared" si="3"/>
        <v>Pass</v>
      </c>
    </row>
    <row r="221" spans="1:21">
      <c r="A221" t="s">
        <v>578</v>
      </c>
      <c r="B221" t="s">
        <v>579</v>
      </c>
      <c r="C221" t="s">
        <v>37</v>
      </c>
      <c r="D221">
        <v>3</v>
      </c>
      <c r="E221" t="s">
        <v>26</v>
      </c>
      <c r="F221">
        <v>9</v>
      </c>
      <c r="G221" t="s">
        <v>64</v>
      </c>
      <c r="H221" t="s">
        <v>580</v>
      </c>
      <c r="I221">
        <v>86</v>
      </c>
      <c r="J221">
        <v>45</v>
      </c>
      <c r="K221">
        <v>68</v>
      </c>
      <c r="L221">
        <v>90</v>
      </c>
      <c r="M221">
        <v>61</v>
      </c>
      <c r="N221">
        <v>72</v>
      </c>
      <c r="O221">
        <v>336</v>
      </c>
      <c r="P221">
        <v>67.2</v>
      </c>
      <c r="Q221" t="s">
        <v>26</v>
      </c>
      <c r="R221" t="s">
        <v>41</v>
      </c>
      <c r="S221">
        <v>3597</v>
      </c>
      <c r="T221" t="s">
        <v>66</v>
      </c>
      <c r="U221" t="str">
        <f t="shared" si="3"/>
        <v>Pass</v>
      </c>
    </row>
    <row r="222" spans="1:21">
      <c r="A222" t="s">
        <v>581</v>
      </c>
      <c r="B222" t="s">
        <v>582</v>
      </c>
      <c r="C222" t="s">
        <v>22</v>
      </c>
      <c r="D222">
        <v>7</v>
      </c>
      <c r="E222" t="s">
        <v>26</v>
      </c>
      <c r="F222">
        <v>12</v>
      </c>
      <c r="G222" t="s">
        <v>54</v>
      </c>
      <c r="H222" t="s">
        <v>163</v>
      </c>
      <c r="I222">
        <v>73</v>
      </c>
      <c r="J222">
        <v>84</v>
      </c>
      <c r="K222">
        <v>80</v>
      </c>
      <c r="L222">
        <v>45</v>
      </c>
      <c r="M222">
        <v>90</v>
      </c>
      <c r="N222">
        <v>49</v>
      </c>
      <c r="O222">
        <v>348</v>
      </c>
      <c r="P222">
        <v>69.599999999999994</v>
      </c>
      <c r="Q222" t="s">
        <v>26</v>
      </c>
      <c r="R222" t="s">
        <v>27</v>
      </c>
      <c r="S222">
        <v>4581</v>
      </c>
      <c r="T222" t="s">
        <v>42</v>
      </c>
      <c r="U222" t="str">
        <f t="shared" si="3"/>
        <v>Pass</v>
      </c>
    </row>
    <row r="223" spans="1:21">
      <c r="A223" t="s">
        <v>583</v>
      </c>
      <c r="B223" t="s">
        <v>508</v>
      </c>
      <c r="C223" t="s">
        <v>37</v>
      </c>
      <c r="D223">
        <v>5</v>
      </c>
      <c r="E223" t="s">
        <v>26</v>
      </c>
      <c r="F223">
        <v>11</v>
      </c>
      <c r="G223" t="s">
        <v>54</v>
      </c>
      <c r="H223" t="s">
        <v>584</v>
      </c>
      <c r="I223">
        <v>78</v>
      </c>
      <c r="J223">
        <v>92</v>
      </c>
      <c r="K223">
        <v>35</v>
      </c>
      <c r="L223">
        <v>57</v>
      </c>
      <c r="M223">
        <v>73</v>
      </c>
      <c r="N223">
        <v>54</v>
      </c>
      <c r="O223">
        <v>311</v>
      </c>
      <c r="P223">
        <v>62.2</v>
      </c>
      <c r="Q223" t="s">
        <v>26</v>
      </c>
      <c r="R223" t="s">
        <v>27</v>
      </c>
      <c r="S223">
        <v>1635</v>
      </c>
      <c r="T223" t="s">
        <v>34</v>
      </c>
      <c r="U223" t="str">
        <f t="shared" si="3"/>
        <v>Pass</v>
      </c>
    </row>
    <row r="224" spans="1:21">
      <c r="A224" t="s">
        <v>585</v>
      </c>
      <c r="B224" t="s">
        <v>586</v>
      </c>
      <c r="C224" t="s">
        <v>22</v>
      </c>
      <c r="D224">
        <v>2</v>
      </c>
      <c r="E224" t="s">
        <v>23</v>
      </c>
      <c r="F224">
        <v>7</v>
      </c>
      <c r="G224" t="s">
        <v>32</v>
      </c>
      <c r="H224" t="s">
        <v>587</v>
      </c>
      <c r="I224">
        <v>84</v>
      </c>
      <c r="J224">
        <v>80</v>
      </c>
      <c r="K224">
        <v>70</v>
      </c>
      <c r="L224">
        <v>63</v>
      </c>
      <c r="M224">
        <v>73</v>
      </c>
      <c r="N224">
        <v>61</v>
      </c>
      <c r="O224">
        <v>347</v>
      </c>
      <c r="P224">
        <v>69.400000000000006</v>
      </c>
      <c r="Q224" t="s">
        <v>26</v>
      </c>
      <c r="R224" t="s">
        <v>27</v>
      </c>
      <c r="S224">
        <v>3221</v>
      </c>
      <c r="T224" t="s">
        <v>34</v>
      </c>
      <c r="U224" t="str">
        <f t="shared" si="3"/>
        <v>Pass</v>
      </c>
    </row>
    <row r="225" spans="1:21">
      <c r="A225" t="s">
        <v>588</v>
      </c>
      <c r="B225" t="s">
        <v>231</v>
      </c>
      <c r="C225" t="s">
        <v>22</v>
      </c>
      <c r="D225">
        <v>5</v>
      </c>
      <c r="E225" t="s">
        <v>47</v>
      </c>
      <c r="F225">
        <v>10</v>
      </c>
      <c r="G225" t="s">
        <v>38</v>
      </c>
      <c r="H225" t="s">
        <v>589</v>
      </c>
      <c r="I225">
        <v>62</v>
      </c>
      <c r="J225">
        <v>65</v>
      </c>
      <c r="K225">
        <v>49</v>
      </c>
      <c r="L225">
        <v>100</v>
      </c>
      <c r="M225">
        <v>94</v>
      </c>
      <c r="N225">
        <v>56</v>
      </c>
      <c r="O225">
        <v>364</v>
      </c>
      <c r="P225">
        <v>72.8</v>
      </c>
      <c r="Q225" t="s">
        <v>40</v>
      </c>
      <c r="R225" t="s">
        <v>41</v>
      </c>
      <c r="S225">
        <v>3311</v>
      </c>
      <c r="T225" t="s">
        <v>66</v>
      </c>
      <c r="U225" t="str">
        <f t="shared" si="3"/>
        <v>Pass</v>
      </c>
    </row>
    <row r="226" spans="1:21">
      <c r="A226" t="s">
        <v>590</v>
      </c>
      <c r="B226" t="s">
        <v>591</v>
      </c>
      <c r="C226" t="s">
        <v>22</v>
      </c>
      <c r="D226">
        <v>12</v>
      </c>
      <c r="E226" t="s">
        <v>47</v>
      </c>
      <c r="F226">
        <v>17</v>
      </c>
      <c r="G226" t="s">
        <v>54</v>
      </c>
      <c r="H226" t="s">
        <v>592</v>
      </c>
      <c r="I226">
        <v>84</v>
      </c>
      <c r="J226">
        <v>93</v>
      </c>
      <c r="K226">
        <v>73</v>
      </c>
      <c r="L226">
        <v>81</v>
      </c>
      <c r="M226">
        <v>60</v>
      </c>
      <c r="N226">
        <v>67</v>
      </c>
      <c r="O226">
        <v>374</v>
      </c>
      <c r="P226">
        <v>74.8</v>
      </c>
      <c r="Q226" t="s">
        <v>40</v>
      </c>
      <c r="R226" t="s">
        <v>27</v>
      </c>
      <c r="S226">
        <v>3885</v>
      </c>
      <c r="T226" t="s">
        <v>70</v>
      </c>
      <c r="U226" t="str">
        <f t="shared" si="3"/>
        <v>Pass</v>
      </c>
    </row>
    <row r="227" spans="1:21">
      <c r="A227" t="s">
        <v>593</v>
      </c>
      <c r="B227" t="s">
        <v>594</v>
      </c>
      <c r="C227" t="s">
        <v>37</v>
      </c>
      <c r="D227">
        <v>5</v>
      </c>
      <c r="E227" t="s">
        <v>47</v>
      </c>
      <c r="F227">
        <v>9</v>
      </c>
      <c r="G227" t="s">
        <v>54</v>
      </c>
      <c r="H227" t="s">
        <v>595</v>
      </c>
      <c r="I227">
        <v>69</v>
      </c>
      <c r="J227">
        <v>98</v>
      </c>
      <c r="K227">
        <v>53</v>
      </c>
      <c r="L227">
        <v>48</v>
      </c>
      <c r="M227">
        <v>91</v>
      </c>
      <c r="N227">
        <v>37</v>
      </c>
      <c r="O227">
        <v>327</v>
      </c>
      <c r="P227">
        <v>65.400000000000006</v>
      </c>
      <c r="Q227" t="s">
        <v>26</v>
      </c>
      <c r="R227" t="s">
        <v>41</v>
      </c>
      <c r="S227">
        <v>4249</v>
      </c>
      <c r="T227" t="s">
        <v>42</v>
      </c>
      <c r="U227" t="str">
        <f t="shared" si="3"/>
        <v>Pass</v>
      </c>
    </row>
    <row r="228" spans="1:21">
      <c r="A228" t="s">
        <v>596</v>
      </c>
      <c r="B228" t="s">
        <v>389</v>
      </c>
      <c r="C228" t="s">
        <v>22</v>
      </c>
      <c r="D228">
        <v>10</v>
      </c>
      <c r="E228" t="s">
        <v>23</v>
      </c>
      <c r="F228">
        <v>16</v>
      </c>
      <c r="G228" t="s">
        <v>58</v>
      </c>
      <c r="H228" t="s">
        <v>121</v>
      </c>
      <c r="I228">
        <v>93</v>
      </c>
      <c r="J228">
        <v>73</v>
      </c>
      <c r="K228">
        <v>41</v>
      </c>
      <c r="L228">
        <v>66</v>
      </c>
      <c r="M228">
        <v>91</v>
      </c>
      <c r="N228">
        <v>51</v>
      </c>
      <c r="O228">
        <v>322</v>
      </c>
      <c r="P228">
        <v>64.400000000000006</v>
      </c>
      <c r="Q228" t="s">
        <v>26</v>
      </c>
      <c r="R228" t="s">
        <v>41</v>
      </c>
      <c r="S228">
        <v>3093</v>
      </c>
      <c r="T228" t="s">
        <v>34</v>
      </c>
      <c r="U228" t="str">
        <f t="shared" si="3"/>
        <v>Pass</v>
      </c>
    </row>
    <row r="229" spans="1:21">
      <c r="A229" t="s">
        <v>597</v>
      </c>
      <c r="B229" t="s">
        <v>131</v>
      </c>
      <c r="C229" t="s">
        <v>37</v>
      </c>
      <c r="D229">
        <v>2</v>
      </c>
      <c r="E229" t="s">
        <v>47</v>
      </c>
      <c r="F229">
        <v>8</v>
      </c>
      <c r="G229" t="s">
        <v>58</v>
      </c>
      <c r="H229" t="s">
        <v>598</v>
      </c>
      <c r="I229">
        <v>95</v>
      </c>
      <c r="J229">
        <v>71</v>
      </c>
      <c r="K229">
        <v>94</v>
      </c>
      <c r="L229">
        <v>73</v>
      </c>
      <c r="M229">
        <v>55</v>
      </c>
      <c r="N229">
        <v>90</v>
      </c>
      <c r="O229">
        <v>383</v>
      </c>
      <c r="P229">
        <v>76.599999999999994</v>
      </c>
      <c r="Q229" t="s">
        <v>40</v>
      </c>
      <c r="R229" t="s">
        <v>41</v>
      </c>
      <c r="S229">
        <v>4868</v>
      </c>
      <c r="T229" t="s">
        <v>66</v>
      </c>
      <c r="U229" t="str">
        <f t="shared" si="3"/>
        <v>Pass</v>
      </c>
    </row>
    <row r="230" spans="1:21">
      <c r="A230" t="s">
        <v>599</v>
      </c>
      <c r="B230" t="s">
        <v>525</v>
      </c>
      <c r="C230" t="s">
        <v>37</v>
      </c>
      <c r="D230">
        <v>10</v>
      </c>
      <c r="E230" t="s">
        <v>23</v>
      </c>
      <c r="F230">
        <v>16</v>
      </c>
      <c r="G230" t="s">
        <v>64</v>
      </c>
      <c r="H230" t="s">
        <v>600</v>
      </c>
      <c r="I230">
        <v>79</v>
      </c>
      <c r="J230">
        <v>94</v>
      </c>
      <c r="K230">
        <v>80</v>
      </c>
      <c r="L230">
        <v>98</v>
      </c>
      <c r="M230">
        <v>51</v>
      </c>
      <c r="N230">
        <v>69</v>
      </c>
      <c r="O230">
        <v>392</v>
      </c>
      <c r="P230">
        <v>78.400000000000006</v>
      </c>
      <c r="Q230" t="s">
        <v>40</v>
      </c>
      <c r="R230" t="s">
        <v>27</v>
      </c>
      <c r="S230">
        <v>3868</v>
      </c>
      <c r="T230" t="s">
        <v>42</v>
      </c>
      <c r="U230" t="str">
        <f t="shared" si="3"/>
        <v>Pass</v>
      </c>
    </row>
    <row r="231" spans="1:21">
      <c r="A231" t="s">
        <v>601</v>
      </c>
      <c r="B231" t="s">
        <v>602</v>
      </c>
      <c r="C231" t="s">
        <v>37</v>
      </c>
      <c r="D231">
        <v>8</v>
      </c>
      <c r="E231" t="s">
        <v>23</v>
      </c>
      <c r="F231">
        <v>14</v>
      </c>
      <c r="G231" t="s">
        <v>38</v>
      </c>
      <c r="H231" t="s">
        <v>603</v>
      </c>
      <c r="I231">
        <v>74</v>
      </c>
      <c r="J231">
        <v>75</v>
      </c>
      <c r="K231">
        <v>52</v>
      </c>
      <c r="L231">
        <v>46</v>
      </c>
      <c r="M231">
        <v>86</v>
      </c>
      <c r="N231">
        <v>55</v>
      </c>
      <c r="O231">
        <v>314</v>
      </c>
      <c r="P231">
        <v>62.8</v>
      </c>
      <c r="Q231" t="s">
        <v>26</v>
      </c>
      <c r="R231" t="s">
        <v>41</v>
      </c>
      <c r="S231">
        <v>4457</v>
      </c>
      <c r="T231" t="s">
        <v>48</v>
      </c>
      <c r="U231" t="str">
        <f t="shared" si="3"/>
        <v>Pass</v>
      </c>
    </row>
    <row r="232" spans="1:21">
      <c r="A232" t="s">
        <v>604</v>
      </c>
      <c r="B232" t="s">
        <v>408</v>
      </c>
      <c r="C232" t="s">
        <v>37</v>
      </c>
      <c r="D232">
        <v>11</v>
      </c>
      <c r="E232" t="s">
        <v>47</v>
      </c>
      <c r="F232">
        <v>17</v>
      </c>
      <c r="G232" t="s">
        <v>24</v>
      </c>
      <c r="H232" t="s">
        <v>605</v>
      </c>
      <c r="I232">
        <v>96</v>
      </c>
      <c r="J232">
        <v>50</v>
      </c>
      <c r="K232">
        <v>92</v>
      </c>
      <c r="L232">
        <v>53</v>
      </c>
      <c r="M232">
        <v>39</v>
      </c>
      <c r="N232">
        <v>66</v>
      </c>
      <c r="O232">
        <v>300</v>
      </c>
      <c r="P232">
        <v>60</v>
      </c>
      <c r="Q232" t="s">
        <v>26</v>
      </c>
      <c r="R232" t="s">
        <v>41</v>
      </c>
      <c r="S232">
        <v>1850</v>
      </c>
      <c r="T232" t="s">
        <v>28</v>
      </c>
      <c r="U232" t="str">
        <f t="shared" si="3"/>
        <v>Pass</v>
      </c>
    </row>
    <row r="233" spans="1:21">
      <c r="A233" t="s">
        <v>606</v>
      </c>
      <c r="B233" t="s">
        <v>607</v>
      </c>
      <c r="C233" t="s">
        <v>37</v>
      </c>
      <c r="D233">
        <v>12</v>
      </c>
      <c r="E233" t="s">
        <v>31</v>
      </c>
      <c r="F233">
        <v>16</v>
      </c>
      <c r="G233" t="s">
        <v>32</v>
      </c>
      <c r="H233" t="s">
        <v>608</v>
      </c>
      <c r="I233">
        <v>65</v>
      </c>
      <c r="J233">
        <v>43</v>
      </c>
      <c r="K233">
        <v>63</v>
      </c>
      <c r="L233">
        <v>93</v>
      </c>
      <c r="M233">
        <v>49</v>
      </c>
      <c r="N233">
        <v>94</v>
      </c>
      <c r="O233">
        <v>342</v>
      </c>
      <c r="P233">
        <v>68.400000000000006</v>
      </c>
      <c r="Q233" t="s">
        <v>26</v>
      </c>
      <c r="R233" t="s">
        <v>41</v>
      </c>
      <c r="S233">
        <v>3974</v>
      </c>
      <c r="T233" t="s">
        <v>42</v>
      </c>
      <c r="U233" t="str">
        <f t="shared" si="3"/>
        <v>Pass</v>
      </c>
    </row>
    <row r="234" spans="1:21">
      <c r="A234" t="s">
        <v>609</v>
      </c>
      <c r="B234" t="s">
        <v>157</v>
      </c>
      <c r="C234" t="s">
        <v>22</v>
      </c>
      <c r="D234">
        <v>6</v>
      </c>
      <c r="E234" t="s">
        <v>26</v>
      </c>
      <c r="F234">
        <v>12</v>
      </c>
      <c r="G234" t="s">
        <v>38</v>
      </c>
      <c r="H234" t="s">
        <v>610</v>
      </c>
      <c r="I234">
        <v>89</v>
      </c>
      <c r="J234">
        <v>70</v>
      </c>
      <c r="K234">
        <v>96</v>
      </c>
      <c r="L234">
        <v>59</v>
      </c>
      <c r="M234">
        <v>88</v>
      </c>
      <c r="N234">
        <v>69</v>
      </c>
      <c r="O234">
        <v>382</v>
      </c>
      <c r="P234">
        <v>76.400000000000006</v>
      </c>
      <c r="Q234" t="s">
        <v>40</v>
      </c>
      <c r="R234" t="s">
        <v>27</v>
      </c>
      <c r="S234">
        <v>4040</v>
      </c>
      <c r="T234" t="s">
        <v>34</v>
      </c>
      <c r="U234" t="str">
        <f t="shared" si="3"/>
        <v>Pass</v>
      </c>
    </row>
    <row r="235" spans="1:21">
      <c r="A235" t="s">
        <v>611</v>
      </c>
      <c r="B235" t="s">
        <v>386</v>
      </c>
      <c r="C235" t="s">
        <v>37</v>
      </c>
      <c r="D235">
        <v>11</v>
      </c>
      <c r="E235" t="s">
        <v>31</v>
      </c>
      <c r="F235">
        <v>16</v>
      </c>
      <c r="G235" t="s">
        <v>32</v>
      </c>
      <c r="H235" t="s">
        <v>612</v>
      </c>
      <c r="I235">
        <v>74</v>
      </c>
      <c r="J235">
        <v>84</v>
      </c>
      <c r="K235">
        <v>36</v>
      </c>
      <c r="L235">
        <v>98</v>
      </c>
      <c r="M235">
        <v>51</v>
      </c>
      <c r="N235">
        <v>72</v>
      </c>
      <c r="O235">
        <v>341</v>
      </c>
      <c r="P235">
        <v>68.2</v>
      </c>
      <c r="Q235" t="s">
        <v>26</v>
      </c>
      <c r="R235" t="s">
        <v>27</v>
      </c>
      <c r="S235">
        <v>3118</v>
      </c>
      <c r="T235" t="s">
        <v>34</v>
      </c>
      <c r="U235" t="str">
        <f t="shared" si="3"/>
        <v>Pass</v>
      </c>
    </row>
    <row r="236" spans="1:21">
      <c r="A236" t="s">
        <v>613</v>
      </c>
      <c r="B236" t="s">
        <v>614</v>
      </c>
      <c r="C236" t="s">
        <v>37</v>
      </c>
      <c r="D236">
        <v>11</v>
      </c>
      <c r="E236" t="s">
        <v>31</v>
      </c>
      <c r="F236">
        <v>15</v>
      </c>
      <c r="G236" t="s">
        <v>58</v>
      </c>
      <c r="H236" t="s">
        <v>615</v>
      </c>
      <c r="I236">
        <v>86</v>
      </c>
      <c r="J236">
        <v>90</v>
      </c>
      <c r="K236">
        <v>42</v>
      </c>
      <c r="L236">
        <v>51</v>
      </c>
      <c r="M236">
        <v>72</v>
      </c>
      <c r="N236">
        <v>57</v>
      </c>
      <c r="O236">
        <v>312</v>
      </c>
      <c r="P236">
        <v>62.4</v>
      </c>
      <c r="Q236" t="s">
        <v>26</v>
      </c>
      <c r="R236" t="s">
        <v>27</v>
      </c>
      <c r="S236">
        <v>4997</v>
      </c>
      <c r="T236" t="s">
        <v>42</v>
      </c>
      <c r="U236" t="str">
        <f t="shared" si="3"/>
        <v>Pass</v>
      </c>
    </row>
    <row r="237" spans="1:21">
      <c r="A237" t="s">
        <v>616</v>
      </c>
      <c r="B237" t="s">
        <v>579</v>
      </c>
      <c r="C237" t="s">
        <v>37</v>
      </c>
      <c r="D237">
        <v>12</v>
      </c>
      <c r="E237" t="s">
        <v>26</v>
      </c>
      <c r="F237">
        <v>16</v>
      </c>
      <c r="G237" t="s">
        <v>24</v>
      </c>
      <c r="H237" t="s">
        <v>617</v>
      </c>
      <c r="I237">
        <v>80</v>
      </c>
      <c r="J237">
        <v>46</v>
      </c>
      <c r="K237">
        <v>99</v>
      </c>
      <c r="L237">
        <v>52</v>
      </c>
      <c r="M237">
        <v>50</v>
      </c>
      <c r="N237">
        <v>37</v>
      </c>
      <c r="O237">
        <v>284</v>
      </c>
      <c r="P237">
        <v>56.8</v>
      </c>
      <c r="Q237" t="s">
        <v>31</v>
      </c>
      <c r="R237" t="s">
        <v>27</v>
      </c>
      <c r="S237">
        <v>4757</v>
      </c>
      <c r="T237" t="s">
        <v>48</v>
      </c>
      <c r="U237" t="str">
        <f t="shared" si="3"/>
        <v>Pass</v>
      </c>
    </row>
    <row r="238" spans="1:21">
      <c r="A238" t="s">
        <v>618</v>
      </c>
      <c r="B238" t="s">
        <v>250</v>
      </c>
      <c r="C238" t="s">
        <v>22</v>
      </c>
      <c r="D238">
        <v>9</v>
      </c>
      <c r="E238" t="s">
        <v>31</v>
      </c>
      <c r="F238">
        <v>13</v>
      </c>
      <c r="G238" t="s">
        <v>24</v>
      </c>
      <c r="H238" t="s">
        <v>619</v>
      </c>
      <c r="I238">
        <v>94</v>
      </c>
      <c r="J238">
        <v>59</v>
      </c>
      <c r="K238">
        <v>40</v>
      </c>
      <c r="L238">
        <v>91</v>
      </c>
      <c r="M238">
        <v>61</v>
      </c>
      <c r="N238">
        <v>86</v>
      </c>
      <c r="O238">
        <v>337</v>
      </c>
      <c r="P238">
        <v>67.400000000000006</v>
      </c>
      <c r="Q238" t="s">
        <v>26</v>
      </c>
      <c r="R238" t="s">
        <v>27</v>
      </c>
      <c r="S238">
        <v>2851</v>
      </c>
      <c r="T238" t="s">
        <v>66</v>
      </c>
      <c r="U238" t="str">
        <f t="shared" si="3"/>
        <v>Pass</v>
      </c>
    </row>
    <row r="239" spans="1:21">
      <c r="A239" t="s">
        <v>620</v>
      </c>
      <c r="B239" t="s">
        <v>419</v>
      </c>
      <c r="C239" t="s">
        <v>37</v>
      </c>
      <c r="D239">
        <v>5</v>
      </c>
      <c r="E239" t="s">
        <v>26</v>
      </c>
      <c r="F239">
        <v>11</v>
      </c>
      <c r="G239" t="s">
        <v>58</v>
      </c>
      <c r="H239" t="s">
        <v>433</v>
      </c>
      <c r="I239">
        <v>83</v>
      </c>
      <c r="J239">
        <v>76</v>
      </c>
      <c r="K239">
        <v>47</v>
      </c>
      <c r="L239">
        <v>98</v>
      </c>
      <c r="M239">
        <v>63</v>
      </c>
      <c r="N239">
        <v>40</v>
      </c>
      <c r="O239">
        <v>324</v>
      </c>
      <c r="P239">
        <v>64.8</v>
      </c>
      <c r="Q239" t="s">
        <v>26</v>
      </c>
      <c r="R239" t="s">
        <v>27</v>
      </c>
      <c r="S239">
        <v>2001</v>
      </c>
      <c r="T239" t="s">
        <v>42</v>
      </c>
      <c r="U239" t="str">
        <f t="shared" si="3"/>
        <v>Pass</v>
      </c>
    </row>
    <row r="240" spans="1:21">
      <c r="A240" t="s">
        <v>621</v>
      </c>
      <c r="B240" t="s">
        <v>622</v>
      </c>
      <c r="C240" t="s">
        <v>37</v>
      </c>
      <c r="D240">
        <v>8</v>
      </c>
      <c r="E240" t="s">
        <v>23</v>
      </c>
      <c r="F240">
        <v>13</v>
      </c>
      <c r="G240" t="s">
        <v>38</v>
      </c>
      <c r="H240" t="s">
        <v>623</v>
      </c>
      <c r="I240">
        <v>76</v>
      </c>
      <c r="J240">
        <v>48</v>
      </c>
      <c r="K240">
        <v>88</v>
      </c>
      <c r="L240">
        <v>77</v>
      </c>
      <c r="M240">
        <v>77</v>
      </c>
      <c r="N240">
        <v>47</v>
      </c>
      <c r="O240">
        <v>337</v>
      </c>
      <c r="P240">
        <v>67.400000000000006</v>
      </c>
      <c r="Q240" t="s">
        <v>26</v>
      </c>
      <c r="R240" t="s">
        <v>27</v>
      </c>
      <c r="S240">
        <v>2099</v>
      </c>
      <c r="T240" t="s">
        <v>42</v>
      </c>
      <c r="U240" t="str">
        <f t="shared" si="3"/>
        <v>Pass</v>
      </c>
    </row>
    <row r="241" spans="1:21">
      <c r="A241" t="s">
        <v>624</v>
      </c>
      <c r="B241" t="s">
        <v>625</v>
      </c>
      <c r="C241" t="s">
        <v>37</v>
      </c>
      <c r="D241">
        <v>2</v>
      </c>
      <c r="E241" t="s">
        <v>23</v>
      </c>
      <c r="F241">
        <v>8</v>
      </c>
      <c r="G241" t="s">
        <v>38</v>
      </c>
      <c r="H241" t="s">
        <v>626</v>
      </c>
      <c r="I241">
        <v>79</v>
      </c>
      <c r="J241">
        <v>82</v>
      </c>
      <c r="K241">
        <v>63</v>
      </c>
      <c r="L241">
        <v>38</v>
      </c>
      <c r="M241">
        <v>83</v>
      </c>
      <c r="N241">
        <v>95</v>
      </c>
      <c r="O241">
        <v>361</v>
      </c>
      <c r="P241">
        <v>72.2</v>
      </c>
      <c r="Q241" t="s">
        <v>40</v>
      </c>
      <c r="R241" t="s">
        <v>41</v>
      </c>
      <c r="S241">
        <v>2647</v>
      </c>
      <c r="T241" t="s">
        <v>28</v>
      </c>
      <c r="U241" t="str">
        <f t="shared" si="3"/>
        <v>Pass</v>
      </c>
    </row>
    <row r="242" spans="1:21">
      <c r="A242" t="s">
        <v>627</v>
      </c>
      <c r="B242" t="s">
        <v>628</v>
      </c>
      <c r="C242" t="s">
        <v>22</v>
      </c>
      <c r="D242">
        <v>8</v>
      </c>
      <c r="E242" t="s">
        <v>23</v>
      </c>
      <c r="F242">
        <v>12</v>
      </c>
      <c r="G242" t="s">
        <v>58</v>
      </c>
      <c r="H242" t="s">
        <v>629</v>
      </c>
      <c r="I242">
        <v>97</v>
      </c>
      <c r="J242">
        <v>93</v>
      </c>
      <c r="K242">
        <v>65</v>
      </c>
      <c r="L242">
        <v>63</v>
      </c>
      <c r="M242">
        <v>69</v>
      </c>
      <c r="N242">
        <v>60</v>
      </c>
      <c r="O242">
        <v>350</v>
      </c>
      <c r="P242">
        <v>70</v>
      </c>
      <c r="Q242" t="s">
        <v>40</v>
      </c>
      <c r="R242" t="s">
        <v>41</v>
      </c>
      <c r="S242">
        <v>4656</v>
      </c>
      <c r="T242" t="s">
        <v>48</v>
      </c>
      <c r="U242" t="str">
        <f t="shared" si="3"/>
        <v>Pass</v>
      </c>
    </row>
    <row r="243" spans="1:21">
      <c r="A243" t="s">
        <v>630</v>
      </c>
      <c r="B243" t="s">
        <v>93</v>
      </c>
      <c r="C243" t="s">
        <v>22</v>
      </c>
      <c r="D243">
        <v>12</v>
      </c>
      <c r="E243" t="s">
        <v>26</v>
      </c>
      <c r="F243">
        <v>16</v>
      </c>
      <c r="G243" t="s">
        <v>38</v>
      </c>
      <c r="H243" t="s">
        <v>631</v>
      </c>
      <c r="I243">
        <v>82</v>
      </c>
      <c r="J243">
        <v>79</v>
      </c>
      <c r="K243">
        <v>39</v>
      </c>
      <c r="L243">
        <v>36</v>
      </c>
      <c r="M243">
        <v>77</v>
      </c>
      <c r="N243">
        <v>87</v>
      </c>
      <c r="O243">
        <v>318</v>
      </c>
      <c r="P243">
        <v>63.6</v>
      </c>
      <c r="Q243" t="s">
        <v>26</v>
      </c>
      <c r="R243" t="s">
        <v>27</v>
      </c>
      <c r="S243">
        <v>3527</v>
      </c>
      <c r="T243" t="s">
        <v>48</v>
      </c>
      <c r="U243" t="str">
        <f t="shared" si="3"/>
        <v>Pass</v>
      </c>
    </row>
    <row r="244" spans="1:21">
      <c r="A244" t="s">
        <v>632</v>
      </c>
      <c r="B244" t="s">
        <v>57</v>
      </c>
      <c r="C244" t="s">
        <v>37</v>
      </c>
      <c r="D244">
        <v>6</v>
      </c>
      <c r="E244" t="s">
        <v>26</v>
      </c>
      <c r="F244">
        <v>12</v>
      </c>
      <c r="G244" t="s">
        <v>58</v>
      </c>
      <c r="H244" t="s">
        <v>237</v>
      </c>
      <c r="I244">
        <v>80</v>
      </c>
      <c r="J244">
        <v>84</v>
      </c>
      <c r="K244">
        <v>41</v>
      </c>
      <c r="L244">
        <v>93</v>
      </c>
      <c r="M244">
        <v>44</v>
      </c>
      <c r="N244">
        <v>53</v>
      </c>
      <c r="O244">
        <v>315</v>
      </c>
      <c r="P244">
        <v>63</v>
      </c>
      <c r="Q244" t="s">
        <v>26</v>
      </c>
      <c r="R244" t="s">
        <v>27</v>
      </c>
      <c r="S244">
        <v>2002</v>
      </c>
      <c r="T244" t="s">
        <v>70</v>
      </c>
      <c r="U244" t="str">
        <f t="shared" si="3"/>
        <v>Pass</v>
      </c>
    </row>
    <row r="245" spans="1:21">
      <c r="A245" t="s">
        <v>633</v>
      </c>
      <c r="B245" t="s">
        <v>555</v>
      </c>
      <c r="C245" t="s">
        <v>22</v>
      </c>
      <c r="D245">
        <v>8</v>
      </c>
      <c r="E245" t="s">
        <v>26</v>
      </c>
      <c r="F245">
        <v>14</v>
      </c>
      <c r="G245" t="s">
        <v>32</v>
      </c>
      <c r="H245" t="s">
        <v>634</v>
      </c>
      <c r="I245">
        <v>67</v>
      </c>
      <c r="J245">
        <v>85</v>
      </c>
      <c r="K245">
        <v>73</v>
      </c>
      <c r="L245">
        <v>60</v>
      </c>
      <c r="M245">
        <v>99</v>
      </c>
      <c r="N245">
        <v>69</v>
      </c>
      <c r="O245">
        <v>386</v>
      </c>
      <c r="P245">
        <v>77.2</v>
      </c>
      <c r="Q245" t="s">
        <v>40</v>
      </c>
      <c r="R245" t="s">
        <v>41</v>
      </c>
      <c r="S245">
        <v>4590</v>
      </c>
      <c r="T245" t="s">
        <v>66</v>
      </c>
      <c r="U245" t="str">
        <f t="shared" si="3"/>
        <v>Pass</v>
      </c>
    </row>
    <row r="246" spans="1:21">
      <c r="A246" t="s">
        <v>635</v>
      </c>
      <c r="B246" t="s">
        <v>148</v>
      </c>
      <c r="C246" t="s">
        <v>37</v>
      </c>
      <c r="D246">
        <v>11</v>
      </c>
      <c r="E246" t="s">
        <v>47</v>
      </c>
      <c r="F246">
        <v>15</v>
      </c>
      <c r="G246" t="s">
        <v>64</v>
      </c>
      <c r="H246" t="s">
        <v>243</v>
      </c>
      <c r="I246">
        <v>71</v>
      </c>
      <c r="J246">
        <v>83</v>
      </c>
      <c r="K246">
        <v>58</v>
      </c>
      <c r="L246">
        <v>59</v>
      </c>
      <c r="M246">
        <v>60</v>
      </c>
      <c r="N246">
        <v>48</v>
      </c>
      <c r="O246">
        <v>308</v>
      </c>
      <c r="P246">
        <v>61.6</v>
      </c>
      <c r="Q246" t="s">
        <v>26</v>
      </c>
      <c r="R246" t="s">
        <v>27</v>
      </c>
      <c r="S246">
        <v>2564</v>
      </c>
      <c r="T246" t="s">
        <v>66</v>
      </c>
      <c r="U246" t="str">
        <f t="shared" si="3"/>
        <v>Pass</v>
      </c>
    </row>
    <row r="247" spans="1:21">
      <c r="A247" t="s">
        <v>636</v>
      </c>
      <c r="B247" t="s">
        <v>151</v>
      </c>
      <c r="C247" t="s">
        <v>37</v>
      </c>
      <c r="D247">
        <v>9</v>
      </c>
      <c r="E247" t="s">
        <v>47</v>
      </c>
      <c r="F247">
        <v>13</v>
      </c>
      <c r="G247" t="s">
        <v>64</v>
      </c>
      <c r="H247" t="s">
        <v>637</v>
      </c>
      <c r="I247">
        <v>61</v>
      </c>
      <c r="J247">
        <v>54</v>
      </c>
      <c r="K247">
        <v>68</v>
      </c>
      <c r="L247">
        <v>55</v>
      </c>
      <c r="M247">
        <v>75</v>
      </c>
      <c r="N247">
        <v>48</v>
      </c>
      <c r="O247">
        <v>300</v>
      </c>
      <c r="P247">
        <v>60</v>
      </c>
      <c r="Q247" t="s">
        <v>26</v>
      </c>
      <c r="R247" t="s">
        <v>41</v>
      </c>
      <c r="S247">
        <v>2808</v>
      </c>
      <c r="T247" t="s">
        <v>42</v>
      </c>
      <c r="U247" t="str">
        <f t="shared" si="3"/>
        <v>Pass</v>
      </c>
    </row>
    <row r="248" spans="1:21">
      <c r="A248" t="s">
        <v>638</v>
      </c>
      <c r="B248" t="s">
        <v>292</v>
      </c>
      <c r="C248" t="s">
        <v>22</v>
      </c>
      <c r="D248">
        <v>5</v>
      </c>
      <c r="E248" t="s">
        <v>31</v>
      </c>
      <c r="F248">
        <v>11</v>
      </c>
      <c r="G248" t="s">
        <v>24</v>
      </c>
      <c r="H248" t="s">
        <v>639</v>
      </c>
      <c r="I248">
        <v>96</v>
      </c>
      <c r="J248">
        <v>78</v>
      </c>
      <c r="K248">
        <v>75</v>
      </c>
      <c r="L248">
        <v>36</v>
      </c>
      <c r="M248">
        <v>60</v>
      </c>
      <c r="N248">
        <v>82</v>
      </c>
      <c r="O248">
        <v>331</v>
      </c>
      <c r="P248">
        <v>66.2</v>
      </c>
      <c r="Q248" t="s">
        <v>26</v>
      </c>
      <c r="R248" t="s">
        <v>27</v>
      </c>
      <c r="S248">
        <v>4970</v>
      </c>
      <c r="T248" t="s">
        <v>48</v>
      </c>
      <c r="U248" t="str">
        <f t="shared" si="3"/>
        <v>Pass</v>
      </c>
    </row>
    <row r="249" spans="1:21">
      <c r="A249" t="s">
        <v>640</v>
      </c>
      <c r="B249" t="s">
        <v>329</v>
      </c>
      <c r="C249" t="s">
        <v>37</v>
      </c>
      <c r="D249">
        <v>12</v>
      </c>
      <c r="E249" t="s">
        <v>47</v>
      </c>
      <c r="F249">
        <v>18</v>
      </c>
      <c r="G249" t="s">
        <v>64</v>
      </c>
      <c r="H249" t="s">
        <v>641</v>
      </c>
      <c r="I249">
        <v>84</v>
      </c>
      <c r="J249">
        <v>92</v>
      </c>
      <c r="K249">
        <v>80</v>
      </c>
      <c r="L249">
        <v>75</v>
      </c>
      <c r="M249">
        <v>77</v>
      </c>
      <c r="N249">
        <v>86</v>
      </c>
      <c r="O249">
        <v>410</v>
      </c>
      <c r="P249">
        <v>82</v>
      </c>
      <c r="Q249" t="s">
        <v>47</v>
      </c>
      <c r="R249" t="s">
        <v>27</v>
      </c>
      <c r="S249">
        <v>4996</v>
      </c>
      <c r="T249" t="s">
        <v>70</v>
      </c>
      <c r="U249" t="str">
        <f t="shared" si="3"/>
        <v>Pass</v>
      </c>
    </row>
    <row r="250" spans="1:21">
      <c r="A250" t="s">
        <v>642</v>
      </c>
      <c r="B250" t="s">
        <v>236</v>
      </c>
      <c r="C250" t="s">
        <v>37</v>
      </c>
      <c r="D250">
        <v>1</v>
      </c>
      <c r="E250" t="s">
        <v>26</v>
      </c>
      <c r="F250">
        <v>7</v>
      </c>
      <c r="G250" t="s">
        <v>54</v>
      </c>
      <c r="H250" t="s">
        <v>643</v>
      </c>
      <c r="I250">
        <v>77</v>
      </c>
      <c r="J250">
        <v>91</v>
      </c>
      <c r="K250">
        <v>70</v>
      </c>
      <c r="L250">
        <v>51</v>
      </c>
      <c r="M250">
        <v>58</v>
      </c>
      <c r="N250">
        <v>53</v>
      </c>
      <c r="O250">
        <v>323</v>
      </c>
      <c r="P250">
        <v>64.599999999999994</v>
      </c>
      <c r="Q250" t="s">
        <v>26</v>
      </c>
      <c r="R250" t="s">
        <v>27</v>
      </c>
      <c r="S250">
        <v>3955</v>
      </c>
      <c r="T250" t="s">
        <v>70</v>
      </c>
      <c r="U250" t="str">
        <f t="shared" si="3"/>
        <v>Pass</v>
      </c>
    </row>
    <row r="251" spans="1:21">
      <c r="A251" t="s">
        <v>644</v>
      </c>
      <c r="B251" t="s">
        <v>154</v>
      </c>
      <c r="C251" t="s">
        <v>37</v>
      </c>
      <c r="D251">
        <v>2</v>
      </c>
      <c r="E251" t="s">
        <v>31</v>
      </c>
      <c r="F251">
        <v>7</v>
      </c>
      <c r="G251" t="s">
        <v>38</v>
      </c>
      <c r="H251" t="s">
        <v>645</v>
      </c>
      <c r="I251">
        <v>60</v>
      </c>
      <c r="J251">
        <v>82</v>
      </c>
      <c r="K251">
        <v>40</v>
      </c>
      <c r="L251">
        <v>72</v>
      </c>
      <c r="M251">
        <v>98</v>
      </c>
      <c r="N251">
        <v>74</v>
      </c>
      <c r="O251">
        <v>366</v>
      </c>
      <c r="P251">
        <v>73.2</v>
      </c>
      <c r="Q251" t="s">
        <v>40</v>
      </c>
      <c r="R251" t="s">
        <v>41</v>
      </c>
      <c r="S251">
        <v>4452</v>
      </c>
      <c r="T251" t="s">
        <v>66</v>
      </c>
      <c r="U251" t="str">
        <f t="shared" si="3"/>
        <v>Pass</v>
      </c>
    </row>
    <row r="252" spans="1:21">
      <c r="A252" t="s">
        <v>646</v>
      </c>
      <c r="B252" t="s">
        <v>151</v>
      </c>
      <c r="C252" t="s">
        <v>37</v>
      </c>
      <c r="D252">
        <v>8</v>
      </c>
      <c r="E252" t="s">
        <v>47</v>
      </c>
      <c r="F252">
        <v>13</v>
      </c>
      <c r="G252" t="s">
        <v>64</v>
      </c>
      <c r="H252" t="s">
        <v>647</v>
      </c>
      <c r="I252">
        <v>78</v>
      </c>
      <c r="J252">
        <v>70</v>
      </c>
      <c r="K252">
        <v>91</v>
      </c>
      <c r="L252">
        <v>98</v>
      </c>
      <c r="M252">
        <v>95</v>
      </c>
      <c r="N252">
        <v>40</v>
      </c>
      <c r="O252">
        <v>394</v>
      </c>
      <c r="P252">
        <v>78.8</v>
      </c>
      <c r="Q252" t="s">
        <v>40</v>
      </c>
      <c r="R252" t="s">
        <v>41</v>
      </c>
      <c r="S252">
        <v>4836</v>
      </c>
      <c r="T252" t="s">
        <v>34</v>
      </c>
      <c r="U252" t="str">
        <f t="shared" si="3"/>
        <v>Pass</v>
      </c>
    </row>
    <row r="253" spans="1:21">
      <c r="A253" t="s">
        <v>648</v>
      </c>
      <c r="B253" t="s">
        <v>280</v>
      </c>
      <c r="C253" t="s">
        <v>37</v>
      </c>
      <c r="D253">
        <v>5</v>
      </c>
      <c r="E253" t="s">
        <v>47</v>
      </c>
      <c r="F253">
        <v>9</v>
      </c>
      <c r="G253" t="s">
        <v>54</v>
      </c>
      <c r="H253" t="s">
        <v>649</v>
      </c>
      <c r="I253">
        <v>94</v>
      </c>
      <c r="J253">
        <v>90</v>
      </c>
      <c r="K253">
        <v>49</v>
      </c>
      <c r="L253">
        <v>80</v>
      </c>
      <c r="M253">
        <v>42</v>
      </c>
      <c r="N253">
        <v>94</v>
      </c>
      <c r="O253">
        <v>355</v>
      </c>
      <c r="P253">
        <v>71</v>
      </c>
      <c r="Q253" t="s">
        <v>40</v>
      </c>
      <c r="R253" t="s">
        <v>27</v>
      </c>
      <c r="S253">
        <v>4038</v>
      </c>
      <c r="T253" t="s">
        <v>42</v>
      </c>
      <c r="U253" t="str">
        <f t="shared" si="3"/>
        <v>Pass</v>
      </c>
    </row>
    <row r="254" spans="1:21">
      <c r="A254" t="s">
        <v>650</v>
      </c>
      <c r="B254" t="s">
        <v>651</v>
      </c>
      <c r="C254" t="s">
        <v>22</v>
      </c>
      <c r="D254">
        <v>11</v>
      </c>
      <c r="E254" t="s">
        <v>47</v>
      </c>
      <c r="F254">
        <v>16</v>
      </c>
      <c r="G254" t="s">
        <v>58</v>
      </c>
      <c r="H254" t="s">
        <v>179</v>
      </c>
      <c r="I254">
        <v>97</v>
      </c>
      <c r="J254">
        <v>55</v>
      </c>
      <c r="K254">
        <v>50</v>
      </c>
      <c r="L254">
        <v>97</v>
      </c>
      <c r="M254">
        <v>38</v>
      </c>
      <c r="N254">
        <v>98</v>
      </c>
      <c r="O254">
        <v>338</v>
      </c>
      <c r="P254">
        <v>67.599999999999994</v>
      </c>
      <c r="Q254" t="s">
        <v>26</v>
      </c>
      <c r="R254" t="s">
        <v>27</v>
      </c>
      <c r="S254">
        <v>3203</v>
      </c>
      <c r="T254" t="s">
        <v>28</v>
      </c>
      <c r="U254" t="str">
        <f t="shared" si="3"/>
        <v>Pass</v>
      </c>
    </row>
    <row r="255" spans="1:21">
      <c r="A255" t="s">
        <v>652</v>
      </c>
      <c r="B255" t="s">
        <v>214</v>
      </c>
      <c r="C255" t="s">
        <v>37</v>
      </c>
      <c r="D255">
        <v>8</v>
      </c>
      <c r="E255" t="s">
        <v>31</v>
      </c>
      <c r="F255">
        <v>13</v>
      </c>
      <c r="G255" t="s">
        <v>64</v>
      </c>
      <c r="H255" t="s">
        <v>653</v>
      </c>
      <c r="I255">
        <v>93</v>
      </c>
      <c r="J255">
        <v>46</v>
      </c>
      <c r="K255">
        <v>67</v>
      </c>
      <c r="L255">
        <v>46</v>
      </c>
      <c r="M255">
        <v>53</v>
      </c>
      <c r="N255">
        <v>36</v>
      </c>
      <c r="O255">
        <v>248</v>
      </c>
      <c r="P255">
        <v>49.6</v>
      </c>
      <c r="Q255" t="s">
        <v>23</v>
      </c>
      <c r="R255" t="s">
        <v>41</v>
      </c>
      <c r="S255">
        <v>3819</v>
      </c>
      <c r="T255" t="s">
        <v>34</v>
      </c>
      <c r="U255" t="str">
        <f t="shared" si="3"/>
        <v>Fail</v>
      </c>
    </row>
    <row r="256" spans="1:21">
      <c r="A256" t="s">
        <v>654</v>
      </c>
      <c r="B256" t="s">
        <v>250</v>
      </c>
      <c r="C256" t="s">
        <v>37</v>
      </c>
      <c r="D256">
        <v>1</v>
      </c>
      <c r="E256" t="s">
        <v>47</v>
      </c>
      <c r="F256">
        <v>6</v>
      </c>
      <c r="G256" t="s">
        <v>64</v>
      </c>
      <c r="H256" t="s">
        <v>420</v>
      </c>
      <c r="I256">
        <v>70</v>
      </c>
      <c r="J256">
        <v>96</v>
      </c>
      <c r="K256">
        <v>56</v>
      </c>
      <c r="L256">
        <v>51</v>
      </c>
      <c r="M256">
        <v>47</v>
      </c>
      <c r="N256">
        <v>46</v>
      </c>
      <c r="O256">
        <v>296</v>
      </c>
      <c r="P256">
        <v>59.2</v>
      </c>
      <c r="Q256" t="s">
        <v>31</v>
      </c>
      <c r="R256" t="s">
        <v>41</v>
      </c>
      <c r="S256">
        <v>3999</v>
      </c>
      <c r="T256" t="s">
        <v>66</v>
      </c>
      <c r="U256" t="str">
        <f t="shared" si="3"/>
        <v>Pass</v>
      </c>
    </row>
    <row r="257" spans="1:21">
      <c r="A257" t="s">
        <v>655</v>
      </c>
      <c r="B257" t="s">
        <v>205</v>
      </c>
      <c r="C257" t="s">
        <v>22</v>
      </c>
      <c r="D257">
        <v>2</v>
      </c>
      <c r="E257" t="s">
        <v>31</v>
      </c>
      <c r="F257">
        <v>6</v>
      </c>
      <c r="G257" t="s">
        <v>45</v>
      </c>
      <c r="H257" t="s">
        <v>656</v>
      </c>
      <c r="I257">
        <v>67</v>
      </c>
      <c r="J257">
        <v>68</v>
      </c>
      <c r="K257">
        <v>93</v>
      </c>
      <c r="L257">
        <v>67</v>
      </c>
      <c r="M257">
        <v>74</v>
      </c>
      <c r="N257">
        <v>43</v>
      </c>
      <c r="O257">
        <v>345</v>
      </c>
      <c r="P257">
        <v>69</v>
      </c>
      <c r="Q257" t="s">
        <v>26</v>
      </c>
      <c r="R257" t="s">
        <v>27</v>
      </c>
      <c r="S257">
        <v>3684</v>
      </c>
      <c r="T257" t="s">
        <v>28</v>
      </c>
      <c r="U257" t="str">
        <f t="shared" si="3"/>
        <v>Pass</v>
      </c>
    </row>
    <row r="258" spans="1:21">
      <c r="A258" t="s">
        <v>657</v>
      </c>
      <c r="B258" t="s">
        <v>30</v>
      </c>
      <c r="C258" t="s">
        <v>37</v>
      </c>
      <c r="D258">
        <v>1</v>
      </c>
      <c r="E258" t="s">
        <v>26</v>
      </c>
      <c r="F258">
        <v>6</v>
      </c>
      <c r="G258" t="s">
        <v>45</v>
      </c>
      <c r="H258" t="s">
        <v>658</v>
      </c>
      <c r="I258">
        <v>61</v>
      </c>
      <c r="J258">
        <v>83</v>
      </c>
      <c r="K258">
        <v>94</v>
      </c>
      <c r="L258">
        <v>70</v>
      </c>
      <c r="M258">
        <v>37</v>
      </c>
      <c r="N258">
        <v>67</v>
      </c>
      <c r="O258">
        <v>351</v>
      </c>
      <c r="P258">
        <v>70.2</v>
      </c>
      <c r="Q258" t="s">
        <v>40</v>
      </c>
      <c r="R258" t="s">
        <v>41</v>
      </c>
      <c r="S258">
        <v>4884</v>
      </c>
      <c r="T258" t="s">
        <v>66</v>
      </c>
      <c r="U258" t="str">
        <f t="shared" si="3"/>
        <v>Pass</v>
      </c>
    </row>
    <row r="259" spans="1:21">
      <c r="A259" t="s">
        <v>659</v>
      </c>
      <c r="B259" t="s">
        <v>373</v>
      </c>
      <c r="C259" t="s">
        <v>37</v>
      </c>
      <c r="D259">
        <v>9</v>
      </c>
      <c r="E259" t="s">
        <v>23</v>
      </c>
      <c r="F259">
        <v>15</v>
      </c>
      <c r="G259" t="s">
        <v>24</v>
      </c>
      <c r="H259" t="s">
        <v>660</v>
      </c>
      <c r="I259">
        <v>98</v>
      </c>
      <c r="J259">
        <v>97</v>
      </c>
      <c r="K259">
        <v>77</v>
      </c>
      <c r="L259">
        <v>36</v>
      </c>
      <c r="M259">
        <v>53</v>
      </c>
      <c r="N259">
        <v>94</v>
      </c>
      <c r="O259">
        <v>357</v>
      </c>
      <c r="P259">
        <v>71.400000000000006</v>
      </c>
      <c r="Q259" t="s">
        <v>40</v>
      </c>
      <c r="R259" t="s">
        <v>27</v>
      </c>
      <c r="S259">
        <v>3691</v>
      </c>
      <c r="T259" t="s">
        <v>34</v>
      </c>
      <c r="U259" t="str">
        <f t="shared" ref="U259:U322" si="4">IF(P259&gt;55,"Pass","Fail")</f>
        <v>Pass</v>
      </c>
    </row>
    <row r="260" spans="1:21">
      <c r="A260" t="s">
        <v>661</v>
      </c>
      <c r="B260" t="s">
        <v>426</v>
      </c>
      <c r="C260" t="s">
        <v>22</v>
      </c>
      <c r="D260">
        <v>9</v>
      </c>
      <c r="E260" t="s">
        <v>26</v>
      </c>
      <c r="F260">
        <v>15</v>
      </c>
      <c r="G260" t="s">
        <v>45</v>
      </c>
      <c r="H260" t="s">
        <v>662</v>
      </c>
      <c r="I260">
        <v>98</v>
      </c>
      <c r="J260">
        <v>87</v>
      </c>
      <c r="K260">
        <v>64</v>
      </c>
      <c r="L260">
        <v>70</v>
      </c>
      <c r="M260">
        <v>43</v>
      </c>
      <c r="N260">
        <v>65</v>
      </c>
      <c r="O260">
        <v>329</v>
      </c>
      <c r="P260">
        <v>65.8</v>
      </c>
      <c r="Q260" t="s">
        <v>26</v>
      </c>
      <c r="R260" t="s">
        <v>27</v>
      </c>
      <c r="S260">
        <v>3555</v>
      </c>
      <c r="T260" t="s">
        <v>42</v>
      </c>
      <c r="U260" t="str">
        <f t="shared" si="4"/>
        <v>Pass</v>
      </c>
    </row>
    <row r="261" spans="1:21">
      <c r="A261" t="s">
        <v>663</v>
      </c>
      <c r="B261" t="s">
        <v>594</v>
      </c>
      <c r="C261" t="s">
        <v>22</v>
      </c>
      <c r="D261">
        <v>6</v>
      </c>
      <c r="E261" t="s">
        <v>47</v>
      </c>
      <c r="F261">
        <v>12</v>
      </c>
      <c r="G261" t="s">
        <v>64</v>
      </c>
      <c r="H261" t="s">
        <v>664</v>
      </c>
      <c r="I261">
        <v>61</v>
      </c>
      <c r="J261">
        <v>68</v>
      </c>
      <c r="K261">
        <v>54</v>
      </c>
      <c r="L261">
        <v>45</v>
      </c>
      <c r="M261">
        <v>43</v>
      </c>
      <c r="N261">
        <v>39</v>
      </c>
      <c r="O261">
        <v>249</v>
      </c>
      <c r="P261">
        <v>49.8</v>
      </c>
      <c r="Q261" t="s">
        <v>23</v>
      </c>
      <c r="R261" t="s">
        <v>27</v>
      </c>
      <c r="S261">
        <v>1738</v>
      </c>
      <c r="T261" t="s">
        <v>48</v>
      </c>
      <c r="U261" t="str">
        <f t="shared" si="4"/>
        <v>Fail</v>
      </c>
    </row>
    <row r="262" spans="1:21">
      <c r="A262" t="s">
        <v>665</v>
      </c>
      <c r="B262" t="s">
        <v>292</v>
      </c>
      <c r="C262" t="s">
        <v>22</v>
      </c>
      <c r="D262">
        <v>12</v>
      </c>
      <c r="E262" t="s">
        <v>31</v>
      </c>
      <c r="F262">
        <v>16</v>
      </c>
      <c r="G262" t="s">
        <v>64</v>
      </c>
      <c r="H262" t="s">
        <v>666</v>
      </c>
      <c r="I262">
        <v>93</v>
      </c>
      <c r="J262">
        <v>75</v>
      </c>
      <c r="K262">
        <v>96</v>
      </c>
      <c r="L262">
        <v>71</v>
      </c>
      <c r="M262">
        <v>73</v>
      </c>
      <c r="N262">
        <v>67</v>
      </c>
      <c r="O262">
        <v>382</v>
      </c>
      <c r="P262">
        <v>76.400000000000006</v>
      </c>
      <c r="Q262" t="s">
        <v>40</v>
      </c>
      <c r="R262" t="s">
        <v>27</v>
      </c>
      <c r="S262">
        <v>1867</v>
      </c>
      <c r="T262" t="s">
        <v>28</v>
      </c>
      <c r="U262" t="str">
        <f t="shared" si="4"/>
        <v>Pass</v>
      </c>
    </row>
    <row r="263" spans="1:21">
      <c r="A263" t="s">
        <v>667</v>
      </c>
      <c r="B263" t="s">
        <v>236</v>
      </c>
      <c r="C263" t="s">
        <v>22</v>
      </c>
      <c r="D263">
        <v>5</v>
      </c>
      <c r="E263" t="s">
        <v>47</v>
      </c>
      <c r="F263">
        <v>9</v>
      </c>
      <c r="G263" t="s">
        <v>54</v>
      </c>
      <c r="H263" t="s">
        <v>626</v>
      </c>
      <c r="I263">
        <v>93</v>
      </c>
      <c r="J263">
        <v>47</v>
      </c>
      <c r="K263">
        <v>98</v>
      </c>
      <c r="L263">
        <v>82</v>
      </c>
      <c r="M263">
        <v>62</v>
      </c>
      <c r="N263">
        <v>58</v>
      </c>
      <c r="O263">
        <v>347</v>
      </c>
      <c r="P263">
        <v>69.400000000000006</v>
      </c>
      <c r="Q263" t="s">
        <v>26</v>
      </c>
      <c r="R263" t="s">
        <v>27</v>
      </c>
      <c r="S263">
        <v>3732</v>
      </c>
      <c r="T263" t="s">
        <v>34</v>
      </c>
      <c r="U263" t="str">
        <f t="shared" si="4"/>
        <v>Pass</v>
      </c>
    </row>
    <row r="264" spans="1:21">
      <c r="A264" t="s">
        <v>668</v>
      </c>
      <c r="B264" t="s">
        <v>50</v>
      </c>
      <c r="C264" t="s">
        <v>22</v>
      </c>
      <c r="D264">
        <v>11</v>
      </c>
      <c r="E264" t="s">
        <v>47</v>
      </c>
      <c r="F264">
        <v>17</v>
      </c>
      <c r="G264" t="s">
        <v>38</v>
      </c>
      <c r="H264" t="s">
        <v>595</v>
      </c>
      <c r="I264">
        <v>90</v>
      </c>
      <c r="J264">
        <v>95</v>
      </c>
      <c r="K264">
        <v>42</v>
      </c>
      <c r="L264">
        <v>92</v>
      </c>
      <c r="M264">
        <v>52</v>
      </c>
      <c r="N264">
        <v>45</v>
      </c>
      <c r="O264">
        <v>326</v>
      </c>
      <c r="P264">
        <v>65.2</v>
      </c>
      <c r="Q264" t="s">
        <v>26</v>
      </c>
      <c r="R264" t="s">
        <v>27</v>
      </c>
      <c r="S264">
        <v>2430</v>
      </c>
      <c r="T264" t="s">
        <v>70</v>
      </c>
      <c r="U264" t="str">
        <f t="shared" si="4"/>
        <v>Pass</v>
      </c>
    </row>
    <row r="265" spans="1:21">
      <c r="A265" t="s">
        <v>669</v>
      </c>
      <c r="B265" t="s">
        <v>305</v>
      </c>
      <c r="C265" t="s">
        <v>22</v>
      </c>
      <c r="D265">
        <v>6</v>
      </c>
      <c r="E265" t="s">
        <v>26</v>
      </c>
      <c r="F265">
        <v>10</v>
      </c>
      <c r="G265" t="s">
        <v>58</v>
      </c>
      <c r="H265" t="s">
        <v>670</v>
      </c>
      <c r="I265">
        <v>77</v>
      </c>
      <c r="J265">
        <v>47</v>
      </c>
      <c r="K265">
        <v>46</v>
      </c>
      <c r="L265">
        <v>46</v>
      </c>
      <c r="M265">
        <v>51</v>
      </c>
      <c r="N265">
        <v>72</v>
      </c>
      <c r="O265">
        <v>262</v>
      </c>
      <c r="P265">
        <v>52.4</v>
      </c>
      <c r="Q265" t="s">
        <v>31</v>
      </c>
      <c r="R265" t="s">
        <v>41</v>
      </c>
      <c r="S265">
        <v>4465</v>
      </c>
      <c r="T265" t="s">
        <v>66</v>
      </c>
      <c r="U265" t="str">
        <f t="shared" si="4"/>
        <v>Fail</v>
      </c>
    </row>
    <row r="266" spans="1:21">
      <c r="A266" t="s">
        <v>671</v>
      </c>
      <c r="B266" t="s">
        <v>562</v>
      </c>
      <c r="C266" t="s">
        <v>22</v>
      </c>
      <c r="D266">
        <v>7</v>
      </c>
      <c r="E266" t="s">
        <v>31</v>
      </c>
      <c r="F266">
        <v>12</v>
      </c>
      <c r="G266" t="s">
        <v>24</v>
      </c>
      <c r="H266" t="s">
        <v>672</v>
      </c>
      <c r="I266">
        <v>65</v>
      </c>
      <c r="J266">
        <v>37</v>
      </c>
      <c r="K266">
        <v>48</v>
      </c>
      <c r="L266">
        <v>90</v>
      </c>
      <c r="M266">
        <v>74</v>
      </c>
      <c r="N266">
        <v>69</v>
      </c>
      <c r="O266">
        <v>318</v>
      </c>
      <c r="P266">
        <v>63.6</v>
      </c>
      <c r="Q266" t="s">
        <v>26</v>
      </c>
      <c r="R266" t="s">
        <v>41</v>
      </c>
      <c r="S266">
        <v>3686</v>
      </c>
      <c r="T266" t="s">
        <v>42</v>
      </c>
      <c r="U266" t="str">
        <f t="shared" si="4"/>
        <v>Pass</v>
      </c>
    </row>
    <row r="267" spans="1:21">
      <c r="A267" t="s">
        <v>673</v>
      </c>
      <c r="B267" t="s">
        <v>187</v>
      </c>
      <c r="C267" t="s">
        <v>37</v>
      </c>
      <c r="D267">
        <v>11</v>
      </c>
      <c r="E267" t="s">
        <v>26</v>
      </c>
      <c r="F267">
        <v>17</v>
      </c>
      <c r="G267" t="s">
        <v>32</v>
      </c>
      <c r="H267" t="s">
        <v>674</v>
      </c>
      <c r="I267">
        <v>88</v>
      </c>
      <c r="J267">
        <v>41</v>
      </c>
      <c r="K267">
        <v>46</v>
      </c>
      <c r="L267">
        <v>74</v>
      </c>
      <c r="M267">
        <v>37</v>
      </c>
      <c r="N267">
        <v>98</v>
      </c>
      <c r="O267">
        <v>296</v>
      </c>
      <c r="P267">
        <v>59.2</v>
      </c>
      <c r="Q267" t="s">
        <v>31</v>
      </c>
      <c r="R267" t="s">
        <v>27</v>
      </c>
      <c r="S267">
        <v>2572</v>
      </c>
      <c r="T267" t="s">
        <v>42</v>
      </c>
      <c r="U267" t="str">
        <f t="shared" si="4"/>
        <v>Pass</v>
      </c>
    </row>
    <row r="268" spans="1:21">
      <c r="A268" t="s">
        <v>675</v>
      </c>
      <c r="B268" t="s">
        <v>137</v>
      </c>
      <c r="C268" t="s">
        <v>37</v>
      </c>
      <c r="D268">
        <v>5</v>
      </c>
      <c r="E268" t="s">
        <v>31</v>
      </c>
      <c r="F268">
        <v>9</v>
      </c>
      <c r="G268" t="s">
        <v>58</v>
      </c>
      <c r="H268" t="s">
        <v>676</v>
      </c>
      <c r="I268">
        <v>62</v>
      </c>
      <c r="J268">
        <v>96</v>
      </c>
      <c r="K268">
        <v>50</v>
      </c>
      <c r="L268">
        <v>76</v>
      </c>
      <c r="M268">
        <v>37</v>
      </c>
      <c r="N268">
        <v>54</v>
      </c>
      <c r="O268">
        <v>313</v>
      </c>
      <c r="P268">
        <v>62.6</v>
      </c>
      <c r="Q268" t="s">
        <v>26</v>
      </c>
      <c r="R268" t="s">
        <v>41</v>
      </c>
      <c r="S268">
        <v>2764</v>
      </c>
      <c r="T268" t="s">
        <v>70</v>
      </c>
      <c r="U268" t="str">
        <f t="shared" si="4"/>
        <v>Pass</v>
      </c>
    </row>
    <row r="269" spans="1:21">
      <c r="A269" t="s">
        <v>677</v>
      </c>
      <c r="B269" t="s">
        <v>678</v>
      </c>
      <c r="C269" t="s">
        <v>37</v>
      </c>
      <c r="D269">
        <v>6</v>
      </c>
      <c r="E269" t="s">
        <v>26</v>
      </c>
      <c r="F269">
        <v>12</v>
      </c>
      <c r="G269" t="s">
        <v>24</v>
      </c>
      <c r="H269" t="s">
        <v>679</v>
      </c>
      <c r="I269">
        <v>96</v>
      </c>
      <c r="J269">
        <v>46</v>
      </c>
      <c r="K269">
        <v>90</v>
      </c>
      <c r="L269">
        <v>55</v>
      </c>
      <c r="M269">
        <v>90</v>
      </c>
      <c r="N269">
        <v>77</v>
      </c>
      <c r="O269">
        <v>358</v>
      </c>
      <c r="P269">
        <v>71.599999999999994</v>
      </c>
      <c r="Q269" t="s">
        <v>40</v>
      </c>
      <c r="R269" t="s">
        <v>41</v>
      </c>
      <c r="S269">
        <v>3947</v>
      </c>
      <c r="T269" t="s">
        <v>42</v>
      </c>
      <c r="U269" t="str">
        <f t="shared" si="4"/>
        <v>Pass</v>
      </c>
    </row>
    <row r="270" spans="1:21">
      <c r="A270" t="s">
        <v>680</v>
      </c>
      <c r="B270" t="s">
        <v>93</v>
      </c>
      <c r="C270" t="s">
        <v>22</v>
      </c>
      <c r="D270">
        <v>3</v>
      </c>
      <c r="E270" t="s">
        <v>23</v>
      </c>
      <c r="F270">
        <v>9</v>
      </c>
      <c r="G270" t="s">
        <v>32</v>
      </c>
      <c r="H270" t="s">
        <v>681</v>
      </c>
      <c r="I270">
        <v>63</v>
      </c>
      <c r="J270">
        <v>68</v>
      </c>
      <c r="K270">
        <v>88</v>
      </c>
      <c r="L270">
        <v>82</v>
      </c>
      <c r="M270">
        <v>68</v>
      </c>
      <c r="N270">
        <v>57</v>
      </c>
      <c r="O270">
        <v>363</v>
      </c>
      <c r="P270">
        <v>72.599999999999994</v>
      </c>
      <c r="Q270" t="s">
        <v>40</v>
      </c>
      <c r="R270" t="s">
        <v>41</v>
      </c>
      <c r="S270">
        <v>2390</v>
      </c>
      <c r="T270" t="s">
        <v>70</v>
      </c>
      <c r="U270" t="str">
        <f t="shared" si="4"/>
        <v>Pass</v>
      </c>
    </row>
    <row r="271" spans="1:21">
      <c r="A271" t="s">
        <v>682</v>
      </c>
      <c r="B271" t="s">
        <v>274</v>
      </c>
      <c r="C271" t="s">
        <v>22</v>
      </c>
      <c r="D271">
        <v>6</v>
      </c>
      <c r="E271" t="s">
        <v>23</v>
      </c>
      <c r="F271">
        <v>12</v>
      </c>
      <c r="G271" t="s">
        <v>64</v>
      </c>
      <c r="H271" t="s">
        <v>683</v>
      </c>
      <c r="I271">
        <v>85</v>
      </c>
      <c r="J271">
        <v>73</v>
      </c>
      <c r="K271">
        <v>73</v>
      </c>
      <c r="L271">
        <v>53</v>
      </c>
      <c r="M271">
        <v>47</v>
      </c>
      <c r="N271">
        <v>39</v>
      </c>
      <c r="O271">
        <v>285</v>
      </c>
      <c r="P271">
        <v>57</v>
      </c>
      <c r="Q271" t="s">
        <v>31</v>
      </c>
      <c r="R271" t="s">
        <v>27</v>
      </c>
      <c r="S271">
        <v>1769</v>
      </c>
      <c r="T271" t="s">
        <v>48</v>
      </c>
      <c r="U271" t="str">
        <f t="shared" si="4"/>
        <v>Pass</v>
      </c>
    </row>
    <row r="272" spans="1:21">
      <c r="A272" t="s">
        <v>684</v>
      </c>
      <c r="B272" t="s">
        <v>274</v>
      </c>
      <c r="C272" t="s">
        <v>22</v>
      </c>
      <c r="D272">
        <v>9</v>
      </c>
      <c r="E272" t="s">
        <v>23</v>
      </c>
      <c r="F272">
        <v>15</v>
      </c>
      <c r="G272" t="s">
        <v>32</v>
      </c>
      <c r="H272" t="s">
        <v>685</v>
      </c>
      <c r="I272">
        <v>64</v>
      </c>
      <c r="J272">
        <v>59</v>
      </c>
      <c r="K272">
        <v>60</v>
      </c>
      <c r="L272">
        <v>38</v>
      </c>
      <c r="M272">
        <v>53</v>
      </c>
      <c r="N272">
        <v>80</v>
      </c>
      <c r="O272">
        <v>290</v>
      </c>
      <c r="P272">
        <v>58</v>
      </c>
      <c r="Q272" t="s">
        <v>31</v>
      </c>
      <c r="R272" t="s">
        <v>41</v>
      </c>
      <c r="S272">
        <v>3288</v>
      </c>
      <c r="T272" t="s">
        <v>28</v>
      </c>
      <c r="U272" t="str">
        <f t="shared" si="4"/>
        <v>Pass</v>
      </c>
    </row>
    <row r="273" spans="1:21">
      <c r="A273" t="s">
        <v>686</v>
      </c>
      <c r="B273" t="s">
        <v>140</v>
      </c>
      <c r="C273" t="s">
        <v>37</v>
      </c>
      <c r="D273">
        <v>4</v>
      </c>
      <c r="E273" t="s">
        <v>47</v>
      </c>
      <c r="F273">
        <v>8</v>
      </c>
      <c r="G273" t="s">
        <v>45</v>
      </c>
      <c r="H273" t="s">
        <v>687</v>
      </c>
      <c r="I273">
        <v>75</v>
      </c>
      <c r="J273">
        <v>83</v>
      </c>
      <c r="K273">
        <v>44</v>
      </c>
      <c r="L273">
        <v>82</v>
      </c>
      <c r="M273">
        <v>98</v>
      </c>
      <c r="N273">
        <v>85</v>
      </c>
      <c r="O273">
        <v>392</v>
      </c>
      <c r="P273">
        <v>78.400000000000006</v>
      </c>
      <c r="Q273" t="s">
        <v>40</v>
      </c>
      <c r="R273" t="s">
        <v>27</v>
      </c>
      <c r="S273">
        <v>4650</v>
      </c>
      <c r="T273" t="s">
        <v>42</v>
      </c>
      <c r="U273" t="str">
        <f t="shared" si="4"/>
        <v>Pass</v>
      </c>
    </row>
    <row r="274" spans="1:21">
      <c r="A274" t="s">
        <v>688</v>
      </c>
      <c r="B274" t="s">
        <v>579</v>
      </c>
      <c r="C274" t="s">
        <v>22</v>
      </c>
      <c r="D274">
        <v>2</v>
      </c>
      <c r="E274" t="s">
        <v>47</v>
      </c>
      <c r="F274">
        <v>8</v>
      </c>
      <c r="G274" t="s">
        <v>54</v>
      </c>
      <c r="H274" t="s">
        <v>197</v>
      </c>
      <c r="I274">
        <v>69</v>
      </c>
      <c r="J274">
        <v>44</v>
      </c>
      <c r="K274">
        <v>70</v>
      </c>
      <c r="L274">
        <v>68</v>
      </c>
      <c r="M274">
        <v>47</v>
      </c>
      <c r="N274">
        <v>48</v>
      </c>
      <c r="O274">
        <v>277</v>
      </c>
      <c r="P274">
        <v>55.4</v>
      </c>
      <c r="Q274" t="s">
        <v>31</v>
      </c>
      <c r="R274" t="s">
        <v>41</v>
      </c>
      <c r="S274">
        <v>4568</v>
      </c>
      <c r="T274" t="s">
        <v>34</v>
      </c>
      <c r="U274" t="str">
        <f t="shared" si="4"/>
        <v>Pass</v>
      </c>
    </row>
    <row r="275" spans="1:21">
      <c r="A275" t="s">
        <v>689</v>
      </c>
      <c r="B275" t="s">
        <v>359</v>
      </c>
      <c r="C275" t="s">
        <v>22</v>
      </c>
      <c r="D275">
        <v>2</v>
      </c>
      <c r="E275" t="s">
        <v>26</v>
      </c>
      <c r="F275">
        <v>8</v>
      </c>
      <c r="G275" t="s">
        <v>64</v>
      </c>
      <c r="H275" t="s">
        <v>690</v>
      </c>
      <c r="I275">
        <v>69</v>
      </c>
      <c r="J275">
        <v>36</v>
      </c>
      <c r="K275">
        <v>60</v>
      </c>
      <c r="L275">
        <v>50</v>
      </c>
      <c r="M275">
        <v>75</v>
      </c>
      <c r="N275">
        <v>62</v>
      </c>
      <c r="O275">
        <v>283</v>
      </c>
      <c r="P275">
        <v>56.6</v>
      </c>
      <c r="Q275" t="s">
        <v>31</v>
      </c>
      <c r="R275" t="s">
        <v>27</v>
      </c>
      <c r="S275">
        <v>2734</v>
      </c>
      <c r="T275" t="s">
        <v>48</v>
      </c>
      <c r="U275" t="str">
        <f t="shared" si="4"/>
        <v>Pass</v>
      </c>
    </row>
    <row r="276" spans="1:21">
      <c r="A276" t="s">
        <v>691</v>
      </c>
      <c r="B276" t="s">
        <v>628</v>
      </c>
      <c r="C276" t="s">
        <v>22</v>
      </c>
      <c r="D276">
        <v>8</v>
      </c>
      <c r="E276" t="s">
        <v>47</v>
      </c>
      <c r="F276">
        <v>12</v>
      </c>
      <c r="G276" t="s">
        <v>54</v>
      </c>
      <c r="H276" t="s">
        <v>679</v>
      </c>
      <c r="I276">
        <v>73</v>
      </c>
      <c r="J276">
        <v>60</v>
      </c>
      <c r="K276">
        <v>65</v>
      </c>
      <c r="L276">
        <v>96</v>
      </c>
      <c r="M276">
        <v>50</v>
      </c>
      <c r="N276">
        <v>46</v>
      </c>
      <c r="O276">
        <v>317</v>
      </c>
      <c r="P276">
        <v>63.4</v>
      </c>
      <c r="Q276" t="s">
        <v>26</v>
      </c>
      <c r="R276" t="s">
        <v>41</v>
      </c>
      <c r="S276">
        <v>2498</v>
      </c>
      <c r="T276" t="s">
        <v>42</v>
      </c>
      <c r="U276" t="str">
        <f t="shared" si="4"/>
        <v>Pass</v>
      </c>
    </row>
    <row r="277" spans="1:21">
      <c r="A277" t="s">
        <v>692</v>
      </c>
      <c r="B277" t="s">
        <v>426</v>
      </c>
      <c r="C277" t="s">
        <v>22</v>
      </c>
      <c r="D277">
        <v>4</v>
      </c>
      <c r="E277" t="s">
        <v>47</v>
      </c>
      <c r="F277">
        <v>10</v>
      </c>
      <c r="G277" t="s">
        <v>45</v>
      </c>
      <c r="H277" t="s">
        <v>693</v>
      </c>
      <c r="I277">
        <v>88</v>
      </c>
      <c r="J277">
        <v>53</v>
      </c>
      <c r="K277">
        <v>76</v>
      </c>
      <c r="L277">
        <v>46</v>
      </c>
      <c r="M277">
        <v>39</v>
      </c>
      <c r="N277">
        <v>40</v>
      </c>
      <c r="O277">
        <v>254</v>
      </c>
      <c r="P277">
        <v>50.8</v>
      </c>
      <c r="Q277" t="s">
        <v>31</v>
      </c>
      <c r="R277" t="s">
        <v>27</v>
      </c>
      <c r="S277">
        <v>2254</v>
      </c>
      <c r="T277" t="s">
        <v>70</v>
      </c>
      <c r="U277" t="str">
        <f t="shared" si="4"/>
        <v>Fail</v>
      </c>
    </row>
    <row r="278" spans="1:21">
      <c r="A278" t="s">
        <v>694</v>
      </c>
      <c r="B278" t="s">
        <v>586</v>
      </c>
      <c r="C278" t="s">
        <v>37</v>
      </c>
      <c r="D278">
        <v>1</v>
      </c>
      <c r="E278" t="s">
        <v>26</v>
      </c>
      <c r="F278">
        <v>6</v>
      </c>
      <c r="G278" t="s">
        <v>64</v>
      </c>
      <c r="H278" t="s">
        <v>695</v>
      </c>
      <c r="I278">
        <v>66</v>
      </c>
      <c r="J278">
        <v>37</v>
      </c>
      <c r="K278">
        <v>44</v>
      </c>
      <c r="L278">
        <v>35</v>
      </c>
      <c r="M278">
        <v>40</v>
      </c>
      <c r="N278">
        <v>38</v>
      </c>
      <c r="O278">
        <v>194</v>
      </c>
      <c r="P278">
        <v>38.799999999999997</v>
      </c>
      <c r="Q278" t="s">
        <v>23</v>
      </c>
      <c r="R278" t="s">
        <v>27</v>
      </c>
      <c r="S278">
        <v>3937</v>
      </c>
      <c r="T278" t="s">
        <v>70</v>
      </c>
      <c r="U278" t="str">
        <f t="shared" si="4"/>
        <v>Fail</v>
      </c>
    </row>
    <row r="279" spans="1:21">
      <c r="A279" t="s">
        <v>696</v>
      </c>
      <c r="B279" t="s">
        <v>75</v>
      </c>
      <c r="C279" t="s">
        <v>37</v>
      </c>
      <c r="D279">
        <v>2</v>
      </c>
      <c r="E279" t="s">
        <v>31</v>
      </c>
      <c r="F279">
        <v>8</v>
      </c>
      <c r="G279" t="s">
        <v>24</v>
      </c>
      <c r="H279" t="s">
        <v>697</v>
      </c>
      <c r="I279">
        <v>93</v>
      </c>
      <c r="J279">
        <v>92</v>
      </c>
      <c r="K279">
        <v>60</v>
      </c>
      <c r="L279">
        <v>94</v>
      </c>
      <c r="M279">
        <v>99</v>
      </c>
      <c r="N279">
        <v>65</v>
      </c>
      <c r="O279">
        <v>410</v>
      </c>
      <c r="P279">
        <v>82</v>
      </c>
      <c r="Q279" t="s">
        <v>47</v>
      </c>
      <c r="R279" t="s">
        <v>27</v>
      </c>
      <c r="S279">
        <v>4412</v>
      </c>
      <c r="T279" t="s">
        <v>34</v>
      </c>
      <c r="U279" t="str">
        <f t="shared" si="4"/>
        <v>Pass</v>
      </c>
    </row>
    <row r="280" spans="1:21">
      <c r="A280" t="s">
        <v>698</v>
      </c>
      <c r="B280" t="s">
        <v>614</v>
      </c>
      <c r="C280" t="s">
        <v>22</v>
      </c>
      <c r="D280">
        <v>1</v>
      </c>
      <c r="E280" t="s">
        <v>23</v>
      </c>
      <c r="F280">
        <v>6</v>
      </c>
      <c r="G280" t="s">
        <v>45</v>
      </c>
      <c r="H280" t="s">
        <v>699</v>
      </c>
      <c r="I280">
        <v>85</v>
      </c>
      <c r="J280">
        <v>75</v>
      </c>
      <c r="K280">
        <v>73</v>
      </c>
      <c r="L280">
        <v>61</v>
      </c>
      <c r="M280">
        <v>43</v>
      </c>
      <c r="N280">
        <v>87</v>
      </c>
      <c r="O280">
        <v>339</v>
      </c>
      <c r="P280">
        <v>67.8</v>
      </c>
      <c r="Q280" t="s">
        <v>26</v>
      </c>
      <c r="R280" t="s">
        <v>41</v>
      </c>
      <c r="S280">
        <v>2165</v>
      </c>
      <c r="T280" t="s">
        <v>70</v>
      </c>
      <c r="U280" t="str">
        <f t="shared" si="4"/>
        <v>Pass</v>
      </c>
    </row>
    <row r="281" spans="1:21">
      <c r="A281" t="s">
        <v>700</v>
      </c>
      <c r="B281" t="s">
        <v>96</v>
      </c>
      <c r="C281" t="s">
        <v>37</v>
      </c>
      <c r="D281">
        <v>6</v>
      </c>
      <c r="E281" t="s">
        <v>47</v>
      </c>
      <c r="F281">
        <v>11</v>
      </c>
      <c r="G281" t="s">
        <v>64</v>
      </c>
      <c r="H281" t="s">
        <v>701</v>
      </c>
      <c r="I281">
        <v>88</v>
      </c>
      <c r="J281">
        <v>65</v>
      </c>
      <c r="K281">
        <v>75</v>
      </c>
      <c r="L281">
        <v>67</v>
      </c>
      <c r="M281">
        <v>46</v>
      </c>
      <c r="N281">
        <v>100</v>
      </c>
      <c r="O281">
        <v>353</v>
      </c>
      <c r="P281">
        <v>70.599999999999994</v>
      </c>
      <c r="Q281" t="s">
        <v>40</v>
      </c>
      <c r="R281" t="s">
        <v>27</v>
      </c>
      <c r="S281">
        <v>4619</v>
      </c>
      <c r="T281" t="s">
        <v>34</v>
      </c>
      <c r="U281" t="str">
        <f t="shared" si="4"/>
        <v>Pass</v>
      </c>
    </row>
    <row r="282" spans="1:21">
      <c r="A282" t="s">
        <v>702</v>
      </c>
      <c r="B282" t="s">
        <v>151</v>
      </c>
      <c r="C282" t="s">
        <v>22</v>
      </c>
      <c r="D282">
        <v>5</v>
      </c>
      <c r="E282" t="s">
        <v>26</v>
      </c>
      <c r="F282">
        <v>11</v>
      </c>
      <c r="G282" t="s">
        <v>58</v>
      </c>
      <c r="H282" t="s">
        <v>355</v>
      </c>
      <c r="I282">
        <v>80</v>
      </c>
      <c r="J282">
        <v>85</v>
      </c>
      <c r="K282">
        <v>69</v>
      </c>
      <c r="L282">
        <v>98</v>
      </c>
      <c r="M282">
        <v>57</v>
      </c>
      <c r="N282">
        <v>77</v>
      </c>
      <c r="O282">
        <v>386</v>
      </c>
      <c r="P282">
        <v>77.2</v>
      </c>
      <c r="Q282" t="s">
        <v>40</v>
      </c>
      <c r="R282" t="s">
        <v>27</v>
      </c>
      <c r="S282">
        <v>3201</v>
      </c>
      <c r="T282" t="s">
        <v>28</v>
      </c>
      <c r="U282" t="str">
        <f t="shared" si="4"/>
        <v>Pass</v>
      </c>
    </row>
    <row r="283" spans="1:21">
      <c r="A283" t="s">
        <v>703</v>
      </c>
      <c r="B283" t="s">
        <v>181</v>
      </c>
      <c r="C283" t="s">
        <v>22</v>
      </c>
      <c r="D283">
        <v>9</v>
      </c>
      <c r="E283" t="s">
        <v>26</v>
      </c>
      <c r="F283">
        <v>15</v>
      </c>
      <c r="G283" t="s">
        <v>24</v>
      </c>
      <c r="H283" t="s">
        <v>704</v>
      </c>
      <c r="I283">
        <v>89</v>
      </c>
      <c r="J283">
        <v>94</v>
      </c>
      <c r="K283">
        <v>54</v>
      </c>
      <c r="L283">
        <v>58</v>
      </c>
      <c r="M283">
        <v>80</v>
      </c>
      <c r="N283">
        <v>93</v>
      </c>
      <c r="O283">
        <v>379</v>
      </c>
      <c r="P283">
        <v>75.8</v>
      </c>
      <c r="Q283" t="s">
        <v>40</v>
      </c>
      <c r="R283" t="s">
        <v>27</v>
      </c>
      <c r="S283">
        <v>3925</v>
      </c>
      <c r="T283" t="s">
        <v>42</v>
      </c>
      <c r="U283" t="str">
        <f t="shared" si="4"/>
        <v>Pass</v>
      </c>
    </row>
    <row r="284" spans="1:21">
      <c r="A284" t="s">
        <v>705</v>
      </c>
      <c r="B284" t="s">
        <v>68</v>
      </c>
      <c r="C284" t="s">
        <v>22</v>
      </c>
      <c r="D284">
        <v>1</v>
      </c>
      <c r="E284" t="s">
        <v>23</v>
      </c>
      <c r="F284">
        <v>6</v>
      </c>
      <c r="G284" t="s">
        <v>24</v>
      </c>
      <c r="H284" t="s">
        <v>706</v>
      </c>
      <c r="I284">
        <v>99</v>
      </c>
      <c r="J284">
        <v>88</v>
      </c>
      <c r="K284">
        <v>94</v>
      </c>
      <c r="L284">
        <v>82</v>
      </c>
      <c r="M284">
        <v>86</v>
      </c>
      <c r="N284">
        <v>69</v>
      </c>
      <c r="O284">
        <v>419</v>
      </c>
      <c r="P284">
        <v>83.8</v>
      </c>
      <c r="Q284" t="s">
        <v>47</v>
      </c>
      <c r="R284" t="s">
        <v>27</v>
      </c>
      <c r="S284">
        <v>4925</v>
      </c>
      <c r="T284" t="s">
        <v>42</v>
      </c>
      <c r="U284" t="str">
        <f t="shared" si="4"/>
        <v>Pass</v>
      </c>
    </row>
    <row r="285" spans="1:21">
      <c r="A285" t="s">
        <v>707</v>
      </c>
      <c r="B285" t="s">
        <v>708</v>
      </c>
      <c r="C285" t="s">
        <v>22</v>
      </c>
      <c r="D285">
        <v>2</v>
      </c>
      <c r="E285" t="s">
        <v>47</v>
      </c>
      <c r="F285">
        <v>7</v>
      </c>
      <c r="G285" t="s">
        <v>24</v>
      </c>
      <c r="H285" t="s">
        <v>376</v>
      </c>
      <c r="I285">
        <v>68</v>
      </c>
      <c r="J285">
        <v>96</v>
      </c>
      <c r="K285">
        <v>39</v>
      </c>
      <c r="L285">
        <v>75</v>
      </c>
      <c r="M285">
        <v>90</v>
      </c>
      <c r="N285">
        <v>56</v>
      </c>
      <c r="O285">
        <v>356</v>
      </c>
      <c r="P285">
        <v>71.2</v>
      </c>
      <c r="Q285" t="s">
        <v>40</v>
      </c>
      <c r="R285" t="s">
        <v>27</v>
      </c>
      <c r="S285">
        <v>4157</v>
      </c>
      <c r="T285" t="s">
        <v>28</v>
      </c>
      <c r="U285" t="str">
        <f t="shared" si="4"/>
        <v>Pass</v>
      </c>
    </row>
    <row r="286" spans="1:21">
      <c r="A286" t="s">
        <v>709</v>
      </c>
      <c r="B286" t="s">
        <v>113</v>
      </c>
      <c r="C286" t="s">
        <v>37</v>
      </c>
      <c r="D286">
        <v>7</v>
      </c>
      <c r="E286" t="s">
        <v>47</v>
      </c>
      <c r="F286">
        <v>12</v>
      </c>
      <c r="G286" t="s">
        <v>32</v>
      </c>
      <c r="H286" t="s">
        <v>710</v>
      </c>
      <c r="I286">
        <v>71</v>
      </c>
      <c r="J286">
        <v>38</v>
      </c>
      <c r="K286">
        <v>76</v>
      </c>
      <c r="L286">
        <v>95</v>
      </c>
      <c r="M286">
        <v>77</v>
      </c>
      <c r="N286">
        <v>40</v>
      </c>
      <c r="O286">
        <v>326</v>
      </c>
      <c r="P286">
        <v>65.2</v>
      </c>
      <c r="Q286" t="s">
        <v>26</v>
      </c>
      <c r="R286" t="s">
        <v>27</v>
      </c>
      <c r="S286">
        <v>2357</v>
      </c>
      <c r="T286" t="s">
        <v>70</v>
      </c>
      <c r="U286" t="str">
        <f t="shared" si="4"/>
        <v>Pass</v>
      </c>
    </row>
    <row r="287" spans="1:21">
      <c r="A287" t="s">
        <v>711</v>
      </c>
      <c r="B287" t="s">
        <v>231</v>
      </c>
      <c r="C287" t="s">
        <v>22</v>
      </c>
      <c r="D287">
        <v>10</v>
      </c>
      <c r="E287" t="s">
        <v>26</v>
      </c>
      <c r="F287">
        <v>16</v>
      </c>
      <c r="G287" t="s">
        <v>54</v>
      </c>
      <c r="H287" t="s">
        <v>712</v>
      </c>
      <c r="I287">
        <v>85</v>
      </c>
      <c r="J287">
        <v>81</v>
      </c>
      <c r="K287">
        <v>40</v>
      </c>
      <c r="L287">
        <v>96</v>
      </c>
      <c r="M287">
        <v>47</v>
      </c>
      <c r="N287">
        <v>92</v>
      </c>
      <c r="O287">
        <v>356</v>
      </c>
      <c r="P287">
        <v>71.2</v>
      </c>
      <c r="Q287" t="s">
        <v>40</v>
      </c>
      <c r="R287" t="s">
        <v>41</v>
      </c>
      <c r="S287">
        <v>4630</v>
      </c>
      <c r="T287" t="s">
        <v>70</v>
      </c>
      <c r="U287" t="str">
        <f t="shared" si="4"/>
        <v>Pass</v>
      </c>
    </row>
    <row r="288" spans="1:21">
      <c r="A288" t="s">
        <v>713</v>
      </c>
      <c r="B288" t="s">
        <v>714</v>
      </c>
      <c r="C288" t="s">
        <v>37</v>
      </c>
      <c r="D288">
        <v>4</v>
      </c>
      <c r="E288" t="s">
        <v>47</v>
      </c>
      <c r="F288">
        <v>8</v>
      </c>
      <c r="G288" t="s">
        <v>64</v>
      </c>
      <c r="H288" t="s">
        <v>715</v>
      </c>
      <c r="I288">
        <v>94</v>
      </c>
      <c r="J288">
        <v>73</v>
      </c>
      <c r="K288">
        <v>65</v>
      </c>
      <c r="L288">
        <v>89</v>
      </c>
      <c r="M288">
        <v>41</v>
      </c>
      <c r="N288">
        <v>55</v>
      </c>
      <c r="O288">
        <v>323</v>
      </c>
      <c r="P288">
        <v>64.599999999999994</v>
      </c>
      <c r="Q288" t="s">
        <v>26</v>
      </c>
      <c r="R288" t="s">
        <v>27</v>
      </c>
      <c r="S288">
        <v>4486</v>
      </c>
      <c r="T288" t="s">
        <v>42</v>
      </c>
      <c r="U288" t="str">
        <f t="shared" si="4"/>
        <v>Pass</v>
      </c>
    </row>
    <row r="289" spans="1:21">
      <c r="A289" t="s">
        <v>716</v>
      </c>
      <c r="B289" t="s">
        <v>36</v>
      </c>
      <c r="C289" t="s">
        <v>37</v>
      </c>
      <c r="D289">
        <v>7</v>
      </c>
      <c r="E289" t="s">
        <v>26</v>
      </c>
      <c r="F289">
        <v>13</v>
      </c>
      <c r="G289" t="s">
        <v>58</v>
      </c>
      <c r="H289" t="s">
        <v>717</v>
      </c>
      <c r="I289">
        <v>68</v>
      </c>
      <c r="J289">
        <v>41</v>
      </c>
      <c r="K289">
        <v>77</v>
      </c>
      <c r="L289">
        <v>39</v>
      </c>
      <c r="M289">
        <v>46</v>
      </c>
      <c r="N289">
        <v>46</v>
      </c>
      <c r="O289">
        <v>249</v>
      </c>
      <c r="P289">
        <v>49.8</v>
      </c>
      <c r="Q289" t="s">
        <v>23</v>
      </c>
      <c r="R289" t="s">
        <v>41</v>
      </c>
      <c r="S289">
        <v>2130</v>
      </c>
      <c r="T289" t="s">
        <v>28</v>
      </c>
      <c r="U289" t="str">
        <f t="shared" si="4"/>
        <v>Fail</v>
      </c>
    </row>
    <row r="290" spans="1:21">
      <c r="A290" t="s">
        <v>718</v>
      </c>
      <c r="B290" t="s">
        <v>184</v>
      </c>
      <c r="C290" t="s">
        <v>37</v>
      </c>
      <c r="D290">
        <v>7</v>
      </c>
      <c r="E290" t="s">
        <v>47</v>
      </c>
      <c r="F290">
        <v>12</v>
      </c>
      <c r="G290" t="s">
        <v>38</v>
      </c>
      <c r="H290" t="s">
        <v>719</v>
      </c>
      <c r="I290">
        <v>98</v>
      </c>
      <c r="J290">
        <v>99</v>
      </c>
      <c r="K290">
        <v>82</v>
      </c>
      <c r="L290">
        <v>96</v>
      </c>
      <c r="M290">
        <v>36</v>
      </c>
      <c r="N290">
        <v>71</v>
      </c>
      <c r="O290">
        <v>384</v>
      </c>
      <c r="P290">
        <v>76.8</v>
      </c>
      <c r="Q290" t="s">
        <v>40</v>
      </c>
      <c r="R290" t="s">
        <v>27</v>
      </c>
      <c r="S290">
        <v>2941</v>
      </c>
      <c r="T290" t="s">
        <v>66</v>
      </c>
      <c r="U290" t="str">
        <f t="shared" si="4"/>
        <v>Pass</v>
      </c>
    </row>
    <row r="291" spans="1:21">
      <c r="A291" t="s">
        <v>720</v>
      </c>
      <c r="B291" t="s">
        <v>280</v>
      </c>
      <c r="C291" t="s">
        <v>37</v>
      </c>
      <c r="D291">
        <v>11</v>
      </c>
      <c r="E291" t="s">
        <v>23</v>
      </c>
      <c r="F291">
        <v>16</v>
      </c>
      <c r="G291" t="s">
        <v>38</v>
      </c>
      <c r="H291" t="s">
        <v>721</v>
      </c>
      <c r="I291">
        <v>95</v>
      </c>
      <c r="J291">
        <v>58</v>
      </c>
      <c r="K291">
        <v>93</v>
      </c>
      <c r="L291">
        <v>73</v>
      </c>
      <c r="M291">
        <v>59</v>
      </c>
      <c r="N291">
        <v>73</v>
      </c>
      <c r="O291">
        <v>356</v>
      </c>
      <c r="P291">
        <v>71.2</v>
      </c>
      <c r="Q291" t="s">
        <v>40</v>
      </c>
      <c r="R291" t="s">
        <v>41</v>
      </c>
      <c r="S291">
        <v>3833</v>
      </c>
      <c r="T291" t="s">
        <v>66</v>
      </c>
      <c r="U291" t="str">
        <f t="shared" si="4"/>
        <v>Pass</v>
      </c>
    </row>
    <row r="292" spans="1:21">
      <c r="A292" t="s">
        <v>722</v>
      </c>
      <c r="B292" t="s">
        <v>461</v>
      </c>
      <c r="C292" t="s">
        <v>22</v>
      </c>
      <c r="D292">
        <v>10</v>
      </c>
      <c r="E292" t="s">
        <v>31</v>
      </c>
      <c r="F292">
        <v>15</v>
      </c>
      <c r="G292" t="s">
        <v>54</v>
      </c>
      <c r="H292" t="s">
        <v>723</v>
      </c>
      <c r="I292">
        <v>63</v>
      </c>
      <c r="J292">
        <v>46</v>
      </c>
      <c r="K292">
        <v>66</v>
      </c>
      <c r="L292">
        <v>45</v>
      </c>
      <c r="M292">
        <v>53</v>
      </c>
      <c r="N292">
        <v>60</v>
      </c>
      <c r="O292">
        <v>270</v>
      </c>
      <c r="P292">
        <v>54</v>
      </c>
      <c r="Q292" t="s">
        <v>31</v>
      </c>
      <c r="R292" t="s">
        <v>41</v>
      </c>
      <c r="S292">
        <v>2795</v>
      </c>
      <c r="T292" t="s">
        <v>48</v>
      </c>
      <c r="U292" t="str">
        <f t="shared" si="4"/>
        <v>Fail</v>
      </c>
    </row>
    <row r="293" spans="1:21">
      <c r="A293" t="s">
        <v>724</v>
      </c>
      <c r="B293" t="s">
        <v>211</v>
      </c>
      <c r="C293" t="s">
        <v>22</v>
      </c>
      <c r="D293">
        <v>2</v>
      </c>
      <c r="E293" t="s">
        <v>23</v>
      </c>
      <c r="F293">
        <v>8</v>
      </c>
      <c r="G293" t="s">
        <v>64</v>
      </c>
      <c r="H293" t="s">
        <v>725</v>
      </c>
      <c r="I293">
        <v>96</v>
      </c>
      <c r="J293">
        <v>42</v>
      </c>
      <c r="K293">
        <v>62</v>
      </c>
      <c r="L293">
        <v>50</v>
      </c>
      <c r="M293">
        <v>92</v>
      </c>
      <c r="N293">
        <v>70</v>
      </c>
      <c r="O293">
        <v>316</v>
      </c>
      <c r="P293">
        <v>63.2</v>
      </c>
      <c r="Q293" t="s">
        <v>26</v>
      </c>
      <c r="R293" t="s">
        <v>27</v>
      </c>
      <c r="S293">
        <v>4040</v>
      </c>
      <c r="T293" t="s">
        <v>28</v>
      </c>
      <c r="U293" t="str">
        <f t="shared" si="4"/>
        <v>Pass</v>
      </c>
    </row>
    <row r="294" spans="1:21">
      <c r="A294" t="s">
        <v>726</v>
      </c>
      <c r="B294" t="s">
        <v>21</v>
      </c>
      <c r="C294" t="s">
        <v>22</v>
      </c>
      <c r="D294">
        <v>6</v>
      </c>
      <c r="E294" t="s">
        <v>47</v>
      </c>
      <c r="F294">
        <v>10</v>
      </c>
      <c r="G294" t="s">
        <v>45</v>
      </c>
      <c r="H294" t="s">
        <v>727</v>
      </c>
      <c r="I294">
        <v>90</v>
      </c>
      <c r="J294">
        <v>66</v>
      </c>
      <c r="K294">
        <v>99</v>
      </c>
      <c r="L294">
        <v>85</v>
      </c>
      <c r="M294">
        <v>91</v>
      </c>
      <c r="N294">
        <v>45</v>
      </c>
      <c r="O294">
        <v>386</v>
      </c>
      <c r="P294">
        <v>77.2</v>
      </c>
      <c r="Q294" t="s">
        <v>40</v>
      </c>
      <c r="R294" t="s">
        <v>41</v>
      </c>
      <c r="S294">
        <v>2895</v>
      </c>
      <c r="T294" t="s">
        <v>34</v>
      </c>
      <c r="U294" t="str">
        <f t="shared" si="4"/>
        <v>Pass</v>
      </c>
    </row>
    <row r="295" spans="1:21">
      <c r="A295" t="s">
        <v>728</v>
      </c>
      <c r="B295" t="s">
        <v>87</v>
      </c>
      <c r="C295" t="s">
        <v>22</v>
      </c>
      <c r="D295">
        <v>6</v>
      </c>
      <c r="E295" t="s">
        <v>31</v>
      </c>
      <c r="F295">
        <v>11</v>
      </c>
      <c r="G295" t="s">
        <v>54</v>
      </c>
      <c r="H295" t="s">
        <v>729</v>
      </c>
      <c r="I295">
        <v>63</v>
      </c>
      <c r="J295">
        <v>100</v>
      </c>
      <c r="K295">
        <v>56</v>
      </c>
      <c r="L295">
        <v>92</v>
      </c>
      <c r="M295">
        <v>68</v>
      </c>
      <c r="N295">
        <v>97</v>
      </c>
      <c r="O295">
        <v>413</v>
      </c>
      <c r="P295">
        <v>82.6</v>
      </c>
      <c r="Q295" t="s">
        <v>47</v>
      </c>
      <c r="R295" t="s">
        <v>27</v>
      </c>
      <c r="S295">
        <v>2303</v>
      </c>
      <c r="T295" t="s">
        <v>42</v>
      </c>
      <c r="U295" t="str">
        <f t="shared" si="4"/>
        <v>Pass</v>
      </c>
    </row>
    <row r="296" spans="1:21">
      <c r="A296" t="s">
        <v>730</v>
      </c>
      <c r="B296" t="s">
        <v>319</v>
      </c>
      <c r="C296" t="s">
        <v>37</v>
      </c>
      <c r="D296">
        <v>7</v>
      </c>
      <c r="E296" t="s">
        <v>26</v>
      </c>
      <c r="F296">
        <v>12</v>
      </c>
      <c r="G296" t="s">
        <v>38</v>
      </c>
      <c r="H296" t="s">
        <v>731</v>
      </c>
      <c r="I296">
        <v>73</v>
      </c>
      <c r="J296">
        <v>56</v>
      </c>
      <c r="K296">
        <v>61</v>
      </c>
      <c r="L296">
        <v>81</v>
      </c>
      <c r="M296">
        <v>36</v>
      </c>
      <c r="N296">
        <v>94</v>
      </c>
      <c r="O296">
        <v>328</v>
      </c>
      <c r="P296">
        <v>65.599999999999994</v>
      </c>
      <c r="Q296" t="s">
        <v>26</v>
      </c>
      <c r="R296" t="s">
        <v>41</v>
      </c>
      <c r="S296">
        <v>2055</v>
      </c>
      <c r="T296" t="s">
        <v>28</v>
      </c>
      <c r="U296" t="str">
        <f t="shared" si="4"/>
        <v>Pass</v>
      </c>
    </row>
    <row r="297" spans="1:21">
      <c r="A297" t="s">
        <v>732</v>
      </c>
      <c r="B297" t="s">
        <v>231</v>
      </c>
      <c r="C297" t="s">
        <v>37</v>
      </c>
      <c r="D297">
        <v>2</v>
      </c>
      <c r="E297" t="s">
        <v>47</v>
      </c>
      <c r="F297">
        <v>8</v>
      </c>
      <c r="G297" t="s">
        <v>45</v>
      </c>
      <c r="H297" t="s">
        <v>733</v>
      </c>
      <c r="I297">
        <v>79</v>
      </c>
      <c r="J297">
        <v>71</v>
      </c>
      <c r="K297">
        <v>44</v>
      </c>
      <c r="L297">
        <v>40</v>
      </c>
      <c r="M297">
        <v>61</v>
      </c>
      <c r="N297">
        <v>82</v>
      </c>
      <c r="O297">
        <v>298</v>
      </c>
      <c r="P297">
        <v>59.6</v>
      </c>
      <c r="Q297" t="s">
        <v>31</v>
      </c>
      <c r="R297" t="s">
        <v>27</v>
      </c>
      <c r="S297">
        <v>4606</v>
      </c>
      <c r="T297" t="s">
        <v>34</v>
      </c>
      <c r="U297" t="str">
        <f t="shared" si="4"/>
        <v>Pass</v>
      </c>
    </row>
    <row r="298" spans="1:21">
      <c r="A298" t="s">
        <v>734</v>
      </c>
      <c r="B298" t="s">
        <v>735</v>
      </c>
      <c r="C298" t="s">
        <v>37</v>
      </c>
      <c r="D298">
        <v>2</v>
      </c>
      <c r="E298" t="s">
        <v>31</v>
      </c>
      <c r="F298">
        <v>8</v>
      </c>
      <c r="G298" t="s">
        <v>58</v>
      </c>
      <c r="H298" t="s">
        <v>736</v>
      </c>
      <c r="I298">
        <v>70</v>
      </c>
      <c r="J298">
        <v>51</v>
      </c>
      <c r="K298">
        <v>93</v>
      </c>
      <c r="L298">
        <v>51</v>
      </c>
      <c r="M298">
        <v>55</v>
      </c>
      <c r="N298">
        <v>35</v>
      </c>
      <c r="O298">
        <v>285</v>
      </c>
      <c r="P298">
        <v>57</v>
      </c>
      <c r="Q298" t="s">
        <v>31</v>
      </c>
      <c r="R298" t="s">
        <v>27</v>
      </c>
      <c r="S298">
        <v>2431</v>
      </c>
      <c r="T298" t="s">
        <v>34</v>
      </c>
      <c r="U298" t="str">
        <f t="shared" si="4"/>
        <v>Pass</v>
      </c>
    </row>
    <row r="299" spans="1:21">
      <c r="A299" t="s">
        <v>737</v>
      </c>
      <c r="B299" t="s">
        <v>154</v>
      </c>
      <c r="C299" t="s">
        <v>37</v>
      </c>
      <c r="D299">
        <v>2</v>
      </c>
      <c r="E299" t="s">
        <v>47</v>
      </c>
      <c r="F299">
        <v>6</v>
      </c>
      <c r="G299" t="s">
        <v>54</v>
      </c>
      <c r="H299" t="s">
        <v>738</v>
      </c>
      <c r="I299">
        <v>72</v>
      </c>
      <c r="J299">
        <v>87</v>
      </c>
      <c r="K299">
        <v>37</v>
      </c>
      <c r="L299">
        <v>42</v>
      </c>
      <c r="M299">
        <v>50</v>
      </c>
      <c r="N299">
        <v>35</v>
      </c>
      <c r="O299">
        <v>251</v>
      </c>
      <c r="P299">
        <v>50.2</v>
      </c>
      <c r="Q299" t="s">
        <v>31</v>
      </c>
      <c r="R299" t="s">
        <v>27</v>
      </c>
      <c r="S299">
        <v>4228</v>
      </c>
      <c r="T299" t="s">
        <v>42</v>
      </c>
      <c r="U299" t="str">
        <f t="shared" si="4"/>
        <v>Fail</v>
      </c>
    </row>
    <row r="300" spans="1:21">
      <c r="A300" t="s">
        <v>739</v>
      </c>
      <c r="B300" t="s">
        <v>295</v>
      </c>
      <c r="C300" t="s">
        <v>22</v>
      </c>
      <c r="D300">
        <v>9</v>
      </c>
      <c r="E300" t="s">
        <v>26</v>
      </c>
      <c r="F300">
        <v>13</v>
      </c>
      <c r="G300" t="s">
        <v>45</v>
      </c>
      <c r="H300" t="s">
        <v>740</v>
      </c>
      <c r="I300">
        <v>85</v>
      </c>
      <c r="J300">
        <v>78</v>
      </c>
      <c r="K300">
        <v>35</v>
      </c>
      <c r="L300">
        <v>62</v>
      </c>
      <c r="M300">
        <v>41</v>
      </c>
      <c r="N300">
        <v>68</v>
      </c>
      <c r="O300">
        <v>284</v>
      </c>
      <c r="P300">
        <v>56.8</v>
      </c>
      <c r="Q300" t="s">
        <v>31</v>
      </c>
      <c r="R300" t="s">
        <v>27</v>
      </c>
      <c r="S300">
        <v>4658</v>
      </c>
      <c r="T300" t="s">
        <v>42</v>
      </c>
      <c r="U300" t="str">
        <f t="shared" si="4"/>
        <v>Pass</v>
      </c>
    </row>
    <row r="301" spans="1:21">
      <c r="A301" t="s">
        <v>741</v>
      </c>
      <c r="B301" t="s">
        <v>277</v>
      </c>
      <c r="C301" t="s">
        <v>37</v>
      </c>
      <c r="D301">
        <v>5</v>
      </c>
      <c r="E301" t="s">
        <v>47</v>
      </c>
      <c r="F301">
        <v>10</v>
      </c>
      <c r="G301" t="s">
        <v>58</v>
      </c>
      <c r="H301" t="s">
        <v>742</v>
      </c>
      <c r="I301">
        <v>73</v>
      </c>
      <c r="J301">
        <v>76</v>
      </c>
      <c r="K301">
        <v>38</v>
      </c>
      <c r="L301">
        <v>90</v>
      </c>
      <c r="M301">
        <v>92</v>
      </c>
      <c r="N301">
        <v>52</v>
      </c>
      <c r="O301">
        <v>348</v>
      </c>
      <c r="P301">
        <v>69.599999999999994</v>
      </c>
      <c r="Q301" t="s">
        <v>26</v>
      </c>
      <c r="R301" t="s">
        <v>27</v>
      </c>
      <c r="S301">
        <v>2568</v>
      </c>
      <c r="T301" t="s">
        <v>42</v>
      </c>
      <c r="U301" t="str">
        <f t="shared" si="4"/>
        <v>Pass</v>
      </c>
    </row>
    <row r="302" spans="1:21">
      <c r="A302" t="s">
        <v>743</v>
      </c>
      <c r="B302" t="s">
        <v>256</v>
      </c>
      <c r="C302" t="s">
        <v>22</v>
      </c>
      <c r="D302">
        <v>11</v>
      </c>
      <c r="E302" t="s">
        <v>31</v>
      </c>
      <c r="F302">
        <v>15</v>
      </c>
      <c r="G302" t="s">
        <v>24</v>
      </c>
      <c r="H302" t="s">
        <v>744</v>
      </c>
      <c r="I302">
        <v>76</v>
      </c>
      <c r="J302">
        <v>86</v>
      </c>
      <c r="K302">
        <v>62</v>
      </c>
      <c r="L302">
        <v>86</v>
      </c>
      <c r="M302">
        <v>78</v>
      </c>
      <c r="N302">
        <v>86</v>
      </c>
      <c r="O302">
        <v>398</v>
      </c>
      <c r="P302">
        <v>79.599999999999994</v>
      </c>
      <c r="Q302" t="s">
        <v>40</v>
      </c>
      <c r="R302" t="s">
        <v>41</v>
      </c>
      <c r="S302">
        <v>4943</v>
      </c>
      <c r="T302" t="s">
        <v>70</v>
      </c>
      <c r="U302" t="str">
        <f t="shared" si="4"/>
        <v>Pass</v>
      </c>
    </row>
    <row r="303" spans="1:21">
      <c r="A303" t="s">
        <v>745</v>
      </c>
      <c r="B303" t="s">
        <v>131</v>
      </c>
      <c r="C303" t="s">
        <v>37</v>
      </c>
      <c r="D303">
        <v>11</v>
      </c>
      <c r="E303" t="s">
        <v>31</v>
      </c>
      <c r="F303">
        <v>16</v>
      </c>
      <c r="G303" t="s">
        <v>32</v>
      </c>
      <c r="H303" t="s">
        <v>746</v>
      </c>
      <c r="I303">
        <v>77</v>
      </c>
      <c r="J303">
        <v>85</v>
      </c>
      <c r="K303">
        <v>91</v>
      </c>
      <c r="L303">
        <v>55</v>
      </c>
      <c r="M303">
        <v>81</v>
      </c>
      <c r="N303">
        <v>55</v>
      </c>
      <c r="O303">
        <v>367</v>
      </c>
      <c r="P303">
        <v>73.400000000000006</v>
      </c>
      <c r="Q303" t="s">
        <v>40</v>
      </c>
      <c r="R303" t="s">
        <v>27</v>
      </c>
      <c r="S303">
        <v>4329</v>
      </c>
      <c r="T303" t="s">
        <v>34</v>
      </c>
      <c r="U303" t="str">
        <f t="shared" si="4"/>
        <v>Pass</v>
      </c>
    </row>
    <row r="304" spans="1:21">
      <c r="A304" t="s">
        <v>747</v>
      </c>
      <c r="B304" t="s">
        <v>748</v>
      </c>
      <c r="C304" t="s">
        <v>37</v>
      </c>
      <c r="D304">
        <v>1</v>
      </c>
      <c r="E304" t="s">
        <v>47</v>
      </c>
      <c r="F304">
        <v>7</v>
      </c>
      <c r="G304" t="s">
        <v>58</v>
      </c>
      <c r="H304" t="s">
        <v>749</v>
      </c>
      <c r="I304">
        <v>81</v>
      </c>
      <c r="J304">
        <v>37</v>
      </c>
      <c r="K304">
        <v>73</v>
      </c>
      <c r="L304">
        <v>77</v>
      </c>
      <c r="M304">
        <v>53</v>
      </c>
      <c r="N304">
        <v>51</v>
      </c>
      <c r="O304">
        <v>291</v>
      </c>
      <c r="P304">
        <v>58.2</v>
      </c>
      <c r="Q304" t="s">
        <v>31</v>
      </c>
      <c r="R304" t="s">
        <v>27</v>
      </c>
      <c r="S304">
        <v>1742</v>
      </c>
      <c r="T304" t="s">
        <v>70</v>
      </c>
      <c r="U304" t="str">
        <f t="shared" si="4"/>
        <v>Pass</v>
      </c>
    </row>
    <row r="305" spans="1:21">
      <c r="A305" t="s">
        <v>750</v>
      </c>
      <c r="B305" t="s">
        <v>175</v>
      </c>
      <c r="C305" t="s">
        <v>37</v>
      </c>
      <c r="D305">
        <v>10</v>
      </c>
      <c r="E305" t="s">
        <v>23</v>
      </c>
      <c r="F305">
        <v>15</v>
      </c>
      <c r="G305" t="s">
        <v>38</v>
      </c>
      <c r="H305" t="s">
        <v>751</v>
      </c>
      <c r="I305">
        <v>98</v>
      </c>
      <c r="J305">
        <v>55</v>
      </c>
      <c r="K305">
        <v>55</v>
      </c>
      <c r="L305">
        <v>77</v>
      </c>
      <c r="M305">
        <v>65</v>
      </c>
      <c r="N305">
        <v>35</v>
      </c>
      <c r="O305">
        <v>287</v>
      </c>
      <c r="P305">
        <v>57.4</v>
      </c>
      <c r="Q305" t="s">
        <v>31</v>
      </c>
      <c r="R305" t="s">
        <v>27</v>
      </c>
      <c r="S305">
        <v>2134</v>
      </c>
      <c r="T305" t="s">
        <v>70</v>
      </c>
      <c r="U305" t="str">
        <f t="shared" si="4"/>
        <v>Pass</v>
      </c>
    </row>
    <row r="306" spans="1:21">
      <c r="A306" t="s">
        <v>752</v>
      </c>
      <c r="B306" t="s">
        <v>562</v>
      </c>
      <c r="C306" t="s">
        <v>22</v>
      </c>
      <c r="D306">
        <v>10</v>
      </c>
      <c r="E306" t="s">
        <v>31</v>
      </c>
      <c r="F306">
        <v>16</v>
      </c>
      <c r="G306" t="s">
        <v>64</v>
      </c>
      <c r="H306" t="s">
        <v>753</v>
      </c>
      <c r="I306">
        <v>94</v>
      </c>
      <c r="J306">
        <v>44</v>
      </c>
      <c r="K306">
        <v>40</v>
      </c>
      <c r="L306">
        <v>36</v>
      </c>
      <c r="M306">
        <v>80</v>
      </c>
      <c r="N306">
        <v>73</v>
      </c>
      <c r="O306">
        <v>273</v>
      </c>
      <c r="P306">
        <v>54.6</v>
      </c>
      <c r="Q306" t="s">
        <v>31</v>
      </c>
      <c r="R306" t="s">
        <v>27</v>
      </c>
      <c r="S306">
        <v>4528</v>
      </c>
      <c r="T306" t="s">
        <v>28</v>
      </c>
      <c r="U306" t="str">
        <f t="shared" si="4"/>
        <v>Fail</v>
      </c>
    </row>
    <row r="307" spans="1:21">
      <c r="A307" t="s">
        <v>754</v>
      </c>
      <c r="B307" t="s">
        <v>319</v>
      </c>
      <c r="C307" t="s">
        <v>22</v>
      </c>
      <c r="D307">
        <v>5</v>
      </c>
      <c r="E307" t="s">
        <v>47</v>
      </c>
      <c r="F307">
        <v>10</v>
      </c>
      <c r="G307" t="s">
        <v>24</v>
      </c>
      <c r="H307" t="s">
        <v>259</v>
      </c>
      <c r="I307">
        <v>73</v>
      </c>
      <c r="J307">
        <v>100</v>
      </c>
      <c r="K307">
        <v>100</v>
      </c>
      <c r="L307">
        <v>53</v>
      </c>
      <c r="M307">
        <v>87</v>
      </c>
      <c r="N307">
        <v>54</v>
      </c>
      <c r="O307">
        <v>394</v>
      </c>
      <c r="P307">
        <v>78.8</v>
      </c>
      <c r="Q307" t="s">
        <v>40</v>
      </c>
      <c r="R307" t="s">
        <v>41</v>
      </c>
      <c r="S307">
        <v>1800</v>
      </c>
      <c r="T307" t="s">
        <v>70</v>
      </c>
      <c r="U307" t="str">
        <f t="shared" si="4"/>
        <v>Pass</v>
      </c>
    </row>
    <row r="308" spans="1:21">
      <c r="A308" t="s">
        <v>755</v>
      </c>
      <c r="B308" t="s">
        <v>335</v>
      </c>
      <c r="C308" t="s">
        <v>37</v>
      </c>
      <c r="D308">
        <v>12</v>
      </c>
      <c r="E308" t="s">
        <v>47</v>
      </c>
      <c r="F308">
        <v>16</v>
      </c>
      <c r="G308" t="s">
        <v>54</v>
      </c>
      <c r="H308" t="s">
        <v>240</v>
      </c>
      <c r="I308">
        <v>97</v>
      </c>
      <c r="J308">
        <v>46</v>
      </c>
      <c r="K308">
        <v>91</v>
      </c>
      <c r="L308">
        <v>64</v>
      </c>
      <c r="M308">
        <v>67</v>
      </c>
      <c r="N308">
        <v>100</v>
      </c>
      <c r="O308">
        <v>368</v>
      </c>
      <c r="P308">
        <v>73.599999999999994</v>
      </c>
      <c r="Q308" t="s">
        <v>40</v>
      </c>
      <c r="R308" t="s">
        <v>27</v>
      </c>
      <c r="S308">
        <v>4626</v>
      </c>
      <c r="T308" t="s">
        <v>28</v>
      </c>
      <c r="U308" t="str">
        <f t="shared" si="4"/>
        <v>Pass</v>
      </c>
    </row>
    <row r="309" spans="1:21">
      <c r="A309" t="s">
        <v>756</v>
      </c>
      <c r="B309" t="s">
        <v>258</v>
      </c>
      <c r="C309" t="s">
        <v>37</v>
      </c>
      <c r="D309">
        <v>8</v>
      </c>
      <c r="E309" t="s">
        <v>47</v>
      </c>
      <c r="F309">
        <v>13</v>
      </c>
      <c r="G309" t="s">
        <v>38</v>
      </c>
      <c r="H309" t="s">
        <v>757</v>
      </c>
      <c r="I309">
        <v>69</v>
      </c>
      <c r="J309">
        <v>71</v>
      </c>
      <c r="K309">
        <v>51</v>
      </c>
      <c r="L309">
        <v>47</v>
      </c>
      <c r="M309">
        <v>58</v>
      </c>
      <c r="N309">
        <v>68</v>
      </c>
      <c r="O309">
        <v>295</v>
      </c>
      <c r="P309">
        <v>59</v>
      </c>
      <c r="Q309" t="s">
        <v>31</v>
      </c>
      <c r="R309" t="s">
        <v>41</v>
      </c>
      <c r="S309">
        <v>1717</v>
      </c>
      <c r="T309" t="s">
        <v>42</v>
      </c>
      <c r="U309" t="str">
        <f t="shared" si="4"/>
        <v>Pass</v>
      </c>
    </row>
    <row r="310" spans="1:21">
      <c r="A310" t="s">
        <v>758</v>
      </c>
      <c r="B310" t="s">
        <v>359</v>
      </c>
      <c r="C310" t="s">
        <v>37</v>
      </c>
      <c r="D310">
        <v>5</v>
      </c>
      <c r="E310" t="s">
        <v>23</v>
      </c>
      <c r="F310">
        <v>11</v>
      </c>
      <c r="G310" t="s">
        <v>32</v>
      </c>
      <c r="H310" t="s">
        <v>759</v>
      </c>
      <c r="I310">
        <v>100</v>
      </c>
      <c r="J310">
        <v>86</v>
      </c>
      <c r="K310">
        <v>83</v>
      </c>
      <c r="L310">
        <v>99</v>
      </c>
      <c r="M310">
        <v>98</v>
      </c>
      <c r="N310">
        <v>99</v>
      </c>
      <c r="O310">
        <v>465</v>
      </c>
      <c r="P310">
        <v>93</v>
      </c>
      <c r="Q310" t="s">
        <v>760</v>
      </c>
      <c r="R310" t="s">
        <v>41</v>
      </c>
      <c r="S310">
        <v>1655</v>
      </c>
      <c r="T310" t="s">
        <v>34</v>
      </c>
      <c r="U310" t="str">
        <f t="shared" si="4"/>
        <v>Pass</v>
      </c>
    </row>
    <row r="311" spans="1:21">
      <c r="A311" t="s">
        <v>761</v>
      </c>
      <c r="B311" t="s">
        <v>329</v>
      </c>
      <c r="C311" t="s">
        <v>37</v>
      </c>
      <c r="D311">
        <v>5</v>
      </c>
      <c r="E311" t="s">
        <v>23</v>
      </c>
      <c r="F311">
        <v>9</v>
      </c>
      <c r="G311" t="s">
        <v>24</v>
      </c>
      <c r="H311" t="s">
        <v>762</v>
      </c>
      <c r="I311">
        <v>71</v>
      </c>
      <c r="J311">
        <v>58</v>
      </c>
      <c r="K311">
        <v>89</v>
      </c>
      <c r="L311">
        <v>83</v>
      </c>
      <c r="M311">
        <v>42</v>
      </c>
      <c r="N311">
        <v>66</v>
      </c>
      <c r="O311">
        <v>338</v>
      </c>
      <c r="P311">
        <v>67.599999999999994</v>
      </c>
      <c r="Q311" t="s">
        <v>26</v>
      </c>
      <c r="R311" t="s">
        <v>27</v>
      </c>
      <c r="S311">
        <v>4494</v>
      </c>
      <c r="T311" t="s">
        <v>42</v>
      </c>
      <c r="U311" t="str">
        <f t="shared" si="4"/>
        <v>Pass</v>
      </c>
    </row>
    <row r="312" spans="1:21">
      <c r="A312" t="s">
        <v>763</v>
      </c>
      <c r="B312" t="s">
        <v>226</v>
      </c>
      <c r="C312" t="s">
        <v>37</v>
      </c>
      <c r="D312">
        <v>2</v>
      </c>
      <c r="E312" t="s">
        <v>26</v>
      </c>
      <c r="F312">
        <v>8</v>
      </c>
      <c r="G312" t="s">
        <v>24</v>
      </c>
      <c r="H312" t="s">
        <v>764</v>
      </c>
      <c r="I312">
        <v>71</v>
      </c>
      <c r="J312">
        <v>40</v>
      </c>
      <c r="K312">
        <v>79</v>
      </c>
      <c r="L312">
        <v>58</v>
      </c>
      <c r="M312">
        <v>36</v>
      </c>
      <c r="N312">
        <v>98</v>
      </c>
      <c r="O312">
        <v>311</v>
      </c>
      <c r="P312">
        <v>62.2</v>
      </c>
      <c r="Q312" t="s">
        <v>26</v>
      </c>
      <c r="R312" t="s">
        <v>27</v>
      </c>
      <c r="S312">
        <v>2278</v>
      </c>
      <c r="T312" t="s">
        <v>70</v>
      </c>
      <c r="U312" t="str">
        <f t="shared" si="4"/>
        <v>Pass</v>
      </c>
    </row>
    <row r="313" spans="1:21">
      <c r="A313" t="s">
        <v>765</v>
      </c>
      <c r="B313" t="s">
        <v>72</v>
      </c>
      <c r="C313" t="s">
        <v>22</v>
      </c>
      <c r="D313">
        <v>8</v>
      </c>
      <c r="E313" t="s">
        <v>31</v>
      </c>
      <c r="F313">
        <v>14</v>
      </c>
      <c r="G313" t="s">
        <v>24</v>
      </c>
      <c r="H313" t="s">
        <v>116</v>
      </c>
      <c r="I313">
        <v>100</v>
      </c>
      <c r="J313">
        <v>87</v>
      </c>
      <c r="K313">
        <v>62</v>
      </c>
      <c r="L313">
        <v>51</v>
      </c>
      <c r="M313">
        <v>85</v>
      </c>
      <c r="N313">
        <v>52</v>
      </c>
      <c r="O313">
        <v>337</v>
      </c>
      <c r="P313">
        <v>67.400000000000006</v>
      </c>
      <c r="Q313" t="s">
        <v>26</v>
      </c>
      <c r="R313" t="s">
        <v>41</v>
      </c>
      <c r="S313">
        <v>2389</v>
      </c>
      <c r="T313" t="s">
        <v>42</v>
      </c>
      <c r="U313" t="str">
        <f t="shared" si="4"/>
        <v>Pass</v>
      </c>
    </row>
    <row r="314" spans="1:21">
      <c r="A314" t="s">
        <v>766</v>
      </c>
      <c r="B314" t="s">
        <v>767</v>
      </c>
      <c r="C314" t="s">
        <v>37</v>
      </c>
      <c r="D314">
        <v>11</v>
      </c>
      <c r="E314" t="s">
        <v>26</v>
      </c>
      <c r="F314">
        <v>17</v>
      </c>
      <c r="G314" t="s">
        <v>58</v>
      </c>
      <c r="H314" t="s">
        <v>768</v>
      </c>
      <c r="I314">
        <v>62</v>
      </c>
      <c r="J314">
        <v>50</v>
      </c>
      <c r="K314">
        <v>60</v>
      </c>
      <c r="L314">
        <v>63</v>
      </c>
      <c r="M314">
        <v>100</v>
      </c>
      <c r="N314">
        <v>60</v>
      </c>
      <c r="O314">
        <v>333</v>
      </c>
      <c r="P314">
        <v>66.599999999999994</v>
      </c>
      <c r="Q314" t="s">
        <v>26</v>
      </c>
      <c r="R314" t="s">
        <v>27</v>
      </c>
      <c r="S314">
        <v>3467</v>
      </c>
      <c r="T314" t="s">
        <v>48</v>
      </c>
      <c r="U314" t="str">
        <f t="shared" si="4"/>
        <v>Pass</v>
      </c>
    </row>
    <row r="315" spans="1:21">
      <c r="A315" t="s">
        <v>769</v>
      </c>
      <c r="B315" t="s">
        <v>145</v>
      </c>
      <c r="C315" t="s">
        <v>22</v>
      </c>
      <c r="D315">
        <v>8</v>
      </c>
      <c r="E315" t="s">
        <v>26</v>
      </c>
      <c r="F315">
        <v>12</v>
      </c>
      <c r="G315" t="s">
        <v>58</v>
      </c>
      <c r="H315" t="s">
        <v>770</v>
      </c>
      <c r="I315">
        <v>68</v>
      </c>
      <c r="J315">
        <v>95</v>
      </c>
      <c r="K315">
        <v>37</v>
      </c>
      <c r="L315">
        <v>96</v>
      </c>
      <c r="M315">
        <v>39</v>
      </c>
      <c r="N315">
        <v>56</v>
      </c>
      <c r="O315">
        <v>323</v>
      </c>
      <c r="P315">
        <v>64.599999999999994</v>
      </c>
      <c r="Q315" t="s">
        <v>26</v>
      </c>
      <c r="R315" t="s">
        <v>27</v>
      </c>
      <c r="S315">
        <v>2048</v>
      </c>
      <c r="T315" t="s">
        <v>28</v>
      </c>
      <c r="U315" t="str">
        <f t="shared" si="4"/>
        <v>Pass</v>
      </c>
    </row>
    <row r="316" spans="1:21">
      <c r="A316" t="s">
        <v>771</v>
      </c>
      <c r="B316" t="s">
        <v>591</v>
      </c>
      <c r="C316" t="s">
        <v>37</v>
      </c>
      <c r="D316">
        <v>12</v>
      </c>
      <c r="E316" t="s">
        <v>31</v>
      </c>
      <c r="F316">
        <v>18</v>
      </c>
      <c r="G316" t="s">
        <v>38</v>
      </c>
      <c r="H316" t="s">
        <v>772</v>
      </c>
      <c r="I316">
        <v>90</v>
      </c>
      <c r="J316">
        <v>60</v>
      </c>
      <c r="K316">
        <v>100</v>
      </c>
      <c r="L316">
        <v>51</v>
      </c>
      <c r="M316">
        <v>47</v>
      </c>
      <c r="N316">
        <v>84</v>
      </c>
      <c r="O316">
        <v>342</v>
      </c>
      <c r="P316">
        <v>68.400000000000006</v>
      </c>
      <c r="Q316" t="s">
        <v>26</v>
      </c>
      <c r="R316" t="s">
        <v>27</v>
      </c>
      <c r="S316">
        <v>4896</v>
      </c>
      <c r="T316" t="s">
        <v>34</v>
      </c>
      <c r="U316" t="str">
        <f t="shared" si="4"/>
        <v>Pass</v>
      </c>
    </row>
    <row r="317" spans="1:21">
      <c r="A317" t="s">
        <v>773</v>
      </c>
      <c r="B317" t="s">
        <v>359</v>
      </c>
      <c r="C317" t="s">
        <v>22</v>
      </c>
      <c r="D317">
        <v>9</v>
      </c>
      <c r="E317" t="s">
        <v>26</v>
      </c>
      <c r="F317">
        <v>15</v>
      </c>
      <c r="G317" t="s">
        <v>32</v>
      </c>
      <c r="H317" t="s">
        <v>360</v>
      </c>
      <c r="I317">
        <v>63</v>
      </c>
      <c r="J317">
        <v>85</v>
      </c>
      <c r="K317">
        <v>51</v>
      </c>
      <c r="L317">
        <v>93</v>
      </c>
      <c r="M317">
        <v>69</v>
      </c>
      <c r="N317">
        <v>100</v>
      </c>
      <c r="O317">
        <v>398</v>
      </c>
      <c r="P317">
        <v>79.599999999999994</v>
      </c>
      <c r="Q317" t="s">
        <v>40</v>
      </c>
      <c r="R317" t="s">
        <v>27</v>
      </c>
      <c r="S317">
        <v>3659</v>
      </c>
      <c r="T317" t="s">
        <v>34</v>
      </c>
      <c r="U317" t="str">
        <f t="shared" si="4"/>
        <v>Pass</v>
      </c>
    </row>
    <row r="318" spans="1:21">
      <c r="A318" t="s">
        <v>774</v>
      </c>
      <c r="B318" t="s">
        <v>148</v>
      </c>
      <c r="C318" t="s">
        <v>22</v>
      </c>
      <c r="D318">
        <v>1</v>
      </c>
      <c r="E318" t="s">
        <v>47</v>
      </c>
      <c r="F318">
        <v>6</v>
      </c>
      <c r="G318" t="s">
        <v>58</v>
      </c>
      <c r="H318" t="s">
        <v>775</v>
      </c>
      <c r="I318">
        <v>99</v>
      </c>
      <c r="J318">
        <v>40</v>
      </c>
      <c r="K318">
        <v>35</v>
      </c>
      <c r="L318">
        <v>72</v>
      </c>
      <c r="M318">
        <v>67</v>
      </c>
      <c r="N318">
        <v>77</v>
      </c>
      <c r="O318">
        <v>291</v>
      </c>
      <c r="P318">
        <v>58.2</v>
      </c>
      <c r="Q318" t="s">
        <v>31</v>
      </c>
      <c r="R318" t="s">
        <v>41</v>
      </c>
      <c r="S318">
        <v>2720</v>
      </c>
      <c r="T318" t="s">
        <v>34</v>
      </c>
      <c r="U318" t="str">
        <f t="shared" si="4"/>
        <v>Pass</v>
      </c>
    </row>
    <row r="319" spans="1:21">
      <c r="A319" t="s">
        <v>776</v>
      </c>
      <c r="B319" t="s">
        <v>777</v>
      </c>
      <c r="C319" t="s">
        <v>22</v>
      </c>
      <c r="D319">
        <v>7</v>
      </c>
      <c r="E319" t="s">
        <v>26</v>
      </c>
      <c r="F319">
        <v>11</v>
      </c>
      <c r="G319" t="s">
        <v>32</v>
      </c>
      <c r="H319" t="s">
        <v>778</v>
      </c>
      <c r="I319">
        <v>79</v>
      </c>
      <c r="J319">
        <v>98</v>
      </c>
      <c r="K319">
        <v>58</v>
      </c>
      <c r="L319">
        <v>43</v>
      </c>
      <c r="M319">
        <v>87</v>
      </c>
      <c r="N319">
        <v>86</v>
      </c>
      <c r="O319">
        <v>372</v>
      </c>
      <c r="P319">
        <v>74.400000000000006</v>
      </c>
      <c r="Q319" t="s">
        <v>40</v>
      </c>
      <c r="R319" t="s">
        <v>27</v>
      </c>
      <c r="S319">
        <v>3551</v>
      </c>
      <c r="T319" t="s">
        <v>70</v>
      </c>
      <c r="U319" t="str">
        <f t="shared" si="4"/>
        <v>Pass</v>
      </c>
    </row>
    <row r="320" spans="1:21">
      <c r="A320" t="s">
        <v>779</v>
      </c>
      <c r="B320" t="s">
        <v>168</v>
      </c>
      <c r="C320" t="s">
        <v>22</v>
      </c>
      <c r="D320">
        <v>4</v>
      </c>
      <c r="E320" t="s">
        <v>47</v>
      </c>
      <c r="F320">
        <v>10</v>
      </c>
      <c r="G320" t="s">
        <v>24</v>
      </c>
      <c r="H320" t="s">
        <v>780</v>
      </c>
      <c r="I320">
        <v>99</v>
      </c>
      <c r="J320">
        <v>45</v>
      </c>
      <c r="K320">
        <v>83</v>
      </c>
      <c r="L320">
        <v>100</v>
      </c>
      <c r="M320">
        <v>41</v>
      </c>
      <c r="N320">
        <v>71</v>
      </c>
      <c r="O320">
        <v>340</v>
      </c>
      <c r="P320">
        <v>68</v>
      </c>
      <c r="Q320" t="s">
        <v>26</v>
      </c>
      <c r="R320" t="s">
        <v>41</v>
      </c>
      <c r="S320">
        <v>4547</v>
      </c>
      <c r="T320" t="s">
        <v>28</v>
      </c>
      <c r="U320" t="str">
        <f t="shared" si="4"/>
        <v>Pass</v>
      </c>
    </row>
    <row r="321" spans="1:21">
      <c r="A321" t="s">
        <v>781</v>
      </c>
      <c r="B321" t="s">
        <v>628</v>
      </c>
      <c r="C321" t="s">
        <v>22</v>
      </c>
      <c r="D321">
        <v>12</v>
      </c>
      <c r="E321" t="s">
        <v>47</v>
      </c>
      <c r="F321">
        <v>17</v>
      </c>
      <c r="G321" t="s">
        <v>54</v>
      </c>
      <c r="H321" t="s">
        <v>782</v>
      </c>
      <c r="I321">
        <v>61</v>
      </c>
      <c r="J321">
        <v>86</v>
      </c>
      <c r="K321">
        <v>37</v>
      </c>
      <c r="L321">
        <v>70</v>
      </c>
      <c r="M321">
        <v>55</v>
      </c>
      <c r="N321">
        <v>90</v>
      </c>
      <c r="O321">
        <v>338</v>
      </c>
      <c r="P321">
        <v>67.599999999999994</v>
      </c>
      <c r="Q321" t="s">
        <v>26</v>
      </c>
      <c r="R321" t="s">
        <v>27</v>
      </c>
      <c r="S321">
        <v>1822</v>
      </c>
      <c r="T321" t="s">
        <v>42</v>
      </c>
      <c r="U321" t="str">
        <f t="shared" si="4"/>
        <v>Pass</v>
      </c>
    </row>
    <row r="322" spans="1:21">
      <c r="A322" t="s">
        <v>783</v>
      </c>
      <c r="B322" t="s">
        <v>322</v>
      </c>
      <c r="C322" t="s">
        <v>22</v>
      </c>
      <c r="D322">
        <v>12</v>
      </c>
      <c r="E322" t="s">
        <v>23</v>
      </c>
      <c r="F322">
        <v>17</v>
      </c>
      <c r="G322" t="s">
        <v>24</v>
      </c>
      <c r="H322" t="s">
        <v>784</v>
      </c>
      <c r="I322">
        <v>94</v>
      </c>
      <c r="J322">
        <v>51</v>
      </c>
      <c r="K322">
        <v>45</v>
      </c>
      <c r="L322">
        <v>94</v>
      </c>
      <c r="M322">
        <v>75</v>
      </c>
      <c r="N322">
        <v>60</v>
      </c>
      <c r="O322">
        <v>325</v>
      </c>
      <c r="P322">
        <v>65</v>
      </c>
      <c r="Q322" t="s">
        <v>26</v>
      </c>
      <c r="R322" t="s">
        <v>41</v>
      </c>
      <c r="S322">
        <v>1938</v>
      </c>
      <c r="T322" t="s">
        <v>70</v>
      </c>
      <c r="U322" t="str">
        <f t="shared" si="4"/>
        <v>Pass</v>
      </c>
    </row>
    <row r="323" spans="1:21">
      <c r="A323" t="s">
        <v>785</v>
      </c>
      <c r="B323" t="s">
        <v>231</v>
      </c>
      <c r="C323" t="s">
        <v>22</v>
      </c>
      <c r="D323">
        <v>2</v>
      </c>
      <c r="E323" t="s">
        <v>23</v>
      </c>
      <c r="F323">
        <v>7</v>
      </c>
      <c r="G323" t="s">
        <v>64</v>
      </c>
      <c r="H323" t="s">
        <v>786</v>
      </c>
      <c r="I323">
        <v>67</v>
      </c>
      <c r="J323">
        <v>42</v>
      </c>
      <c r="K323">
        <v>89</v>
      </c>
      <c r="L323">
        <v>39</v>
      </c>
      <c r="M323">
        <v>78</v>
      </c>
      <c r="N323">
        <v>43</v>
      </c>
      <c r="O323">
        <v>291</v>
      </c>
      <c r="P323">
        <v>58.2</v>
      </c>
      <c r="Q323" t="s">
        <v>31</v>
      </c>
      <c r="R323" t="s">
        <v>27</v>
      </c>
      <c r="S323">
        <v>2117</v>
      </c>
      <c r="T323" t="s">
        <v>70</v>
      </c>
      <c r="U323" t="str">
        <f t="shared" ref="U323:U386" si="5">IF(P323&gt;55,"Pass","Fail")</f>
        <v>Pass</v>
      </c>
    </row>
    <row r="324" spans="1:21">
      <c r="A324" t="s">
        <v>787</v>
      </c>
      <c r="B324" t="s">
        <v>735</v>
      </c>
      <c r="C324" t="s">
        <v>37</v>
      </c>
      <c r="D324">
        <v>2</v>
      </c>
      <c r="E324" t="s">
        <v>23</v>
      </c>
      <c r="F324">
        <v>7</v>
      </c>
      <c r="G324" t="s">
        <v>38</v>
      </c>
      <c r="H324" t="s">
        <v>788</v>
      </c>
      <c r="I324">
        <v>97</v>
      </c>
      <c r="J324">
        <v>91</v>
      </c>
      <c r="K324">
        <v>65</v>
      </c>
      <c r="L324">
        <v>47</v>
      </c>
      <c r="M324">
        <v>40</v>
      </c>
      <c r="N324">
        <v>78</v>
      </c>
      <c r="O324">
        <v>321</v>
      </c>
      <c r="P324">
        <v>64.2</v>
      </c>
      <c r="Q324" t="s">
        <v>26</v>
      </c>
      <c r="R324" t="s">
        <v>27</v>
      </c>
      <c r="S324">
        <v>3451</v>
      </c>
      <c r="T324" t="s">
        <v>34</v>
      </c>
      <c r="U324" t="str">
        <f t="shared" si="5"/>
        <v>Pass</v>
      </c>
    </row>
    <row r="325" spans="1:21">
      <c r="A325" t="s">
        <v>789</v>
      </c>
      <c r="B325" t="s">
        <v>416</v>
      </c>
      <c r="C325" t="s">
        <v>37</v>
      </c>
      <c r="D325">
        <v>4</v>
      </c>
      <c r="E325" t="s">
        <v>47</v>
      </c>
      <c r="F325">
        <v>8</v>
      </c>
      <c r="G325" t="s">
        <v>58</v>
      </c>
      <c r="H325" t="s">
        <v>790</v>
      </c>
      <c r="I325">
        <v>77</v>
      </c>
      <c r="J325">
        <v>87</v>
      </c>
      <c r="K325">
        <v>65</v>
      </c>
      <c r="L325">
        <v>70</v>
      </c>
      <c r="M325">
        <v>88</v>
      </c>
      <c r="N325">
        <v>43</v>
      </c>
      <c r="O325">
        <v>353</v>
      </c>
      <c r="P325">
        <v>70.599999999999994</v>
      </c>
      <c r="Q325" t="s">
        <v>40</v>
      </c>
      <c r="R325" t="s">
        <v>41</v>
      </c>
      <c r="S325">
        <v>1738</v>
      </c>
      <c r="T325" t="s">
        <v>34</v>
      </c>
      <c r="U325" t="str">
        <f t="shared" si="5"/>
        <v>Pass</v>
      </c>
    </row>
    <row r="326" spans="1:21">
      <c r="A326" t="s">
        <v>791</v>
      </c>
      <c r="B326" t="s">
        <v>53</v>
      </c>
      <c r="C326" t="s">
        <v>37</v>
      </c>
      <c r="D326">
        <v>10</v>
      </c>
      <c r="E326" t="s">
        <v>31</v>
      </c>
      <c r="F326">
        <v>14</v>
      </c>
      <c r="G326" t="s">
        <v>64</v>
      </c>
      <c r="H326" t="s">
        <v>792</v>
      </c>
      <c r="I326">
        <v>68</v>
      </c>
      <c r="J326">
        <v>87</v>
      </c>
      <c r="K326">
        <v>68</v>
      </c>
      <c r="L326">
        <v>78</v>
      </c>
      <c r="M326">
        <v>45</v>
      </c>
      <c r="N326">
        <v>73</v>
      </c>
      <c r="O326">
        <v>351</v>
      </c>
      <c r="P326">
        <v>70.2</v>
      </c>
      <c r="Q326" t="s">
        <v>40</v>
      </c>
      <c r="R326" t="s">
        <v>27</v>
      </c>
      <c r="S326">
        <v>3785</v>
      </c>
      <c r="T326" t="s">
        <v>42</v>
      </c>
      <c r="U326" t="str">
        <f t="shared" si="5"/>
        <v>Pass</v>
      </c>
    </row>
    <row r="327" spans="1:21">
      <c r="A327" t="s">
        <v>793</v>
      </c>
      <c r="B327" t="s">
        <v>332</v>
      </c>
      <c r="C327" t="s">
        <v>22</v>
      </c>
      <c r="D327">
        <v>1</v>
      </c>
      <c r="E327" t="s">
        <v>26</v>
      </c>
      <c r="F327">
        <v>6</v>
      </c>
      <c r="G327" t="s">
        <v>54</v>
      </c>
      <c r="H327" t="s">
        <v>794</v>
      </c>
      <c r="I327">
        <v>72</v>
      </c>
      <c r="J327">
        <v>66</v>
      </c>
      <c r="K327">
        <v>95</v>
      </c>
      <c r="L327">
        <v>57</v>
      </c>
      <c r="M327">
        <v>48</v>
      </c>
      <c r="N327">
        <v>43</v>
      </c>
      <c r="O327">
        <v>309</v>
      </c>
      <c r="P327">
        <v>61.8</v>
      </c>
      <c r="Q327" t="s">
        <v>26</v>
      </c>
      <c r="R327" t="s">
        <v>27</v>
      </c>
      <c r="S327">
        <v>2066</v>
      </c>
      <c r="T327" t="s">
        <v>42</v>
      </c>
      <c r="U327" t="str">
        <f t="shared" si="5"/>
        <v>Pass</v>
      </c>
    </row>
    <row r="328" spans="1:21">
      <c r="A328" t="s">
        <v>795</v>
      </c>
      <c r="B328" t="s">
        <v>53</v>
      </c>
      <c r="C328" t="s">
        <v>37</v>
      </c>
      <c r="D328">
        <v>5</v>
      </c>
      <c r="E328" t="s">
        <v>47</v>
      </c>
      <c r="F328">
        <v>11</v>
      </c>
      <c r="G328" t="s">
        <v>38</v>
      </c>
      <c r="H328" t="s">
        <v>796</v>
      </c>
      <c r="I328">
        <v>98</v>
      </c>
      <c r="J328">
        <v>64</v>
      </c>
      <c r="K328">
        <v>77</v>
      </c>
      <c r="L328">
        <v>68</v>
      </c>
      <c r="M328">
        <v>56</v>
      </c>
      <c r="N328">
        <v>74</v>
      </c>
      <c r="O328">
        <v>339</v>
      </c>
      <c r="P328">
        <v>67.8</v>
      </c>
      <c r="Q328" t="s">
        <v>26</v>
      </c>
      <c r="R328" t="s">
        <v>27</v>
      </c>
      <c r="S328">
        <v>1857</v>
      </c>
      <c r="T328" t="s">
        <v>70</v>
      </c>
      <c r="U328" t="str">
        <f t="shared" si="5"/>
        <v>Pass</v>
      </c>
    </row>
    <row r="329" spans="1:21">
      <c r="A329" t="s">
        <v>797</v>
      </c>
      <c r="B329" t="s">
        <v>798</v>
      </c>
      <c r="C329" t="s">
        <v>37</v>
      </c>
      <c r="D329">
        <v>3</v>
      </c>
      <c r="E329" t="s">
        <v>26</v>
      </c>
      <c r="F329">
        <v>8</v>
      </c>
      <c r="G329" t="s">
        <v>58</v>
      </c>
      <c r="H329" t="s">
        <v>799</v>
      </c>
      <c r="I329">
        <v>92</v>
      </c>
      <c r="J329">
        <v>64</v>
      </c>
      <c r="K329">
        <v>83</v>
      </c>
      <c r="L329">
        <v>95</v>
      </c>
      <c r="M329">
        <v>68</v>
      </c>
      <c r="N329">
        <v>73</v>
      </c>
      <c r="O329">
        <v>383</v>
      </c>
      <c r="P329">
        <v>76.599999999999994</v>
      </c>
      <c r="Q329" t="s">
        <v>40</v>
      </c>
      <c r="R329" t="s">
        <v>27</v>
      </c>
      <c r="S329">
        <v>3686</v>
      </c>
      <c r="T329" t="s">
        <v>28</v>
      </c>
      <c r="U329" t="str">
        <f t="shared" si="5"/>
        <v>Pass</v>
      </c>
    </row>
    <row r="330" spans="1:21">
      <c r="A330" t="s">
        <v>800</v>
      </c>
      <c r="B330" t="s">
        <v>123</v>
      </c>
      <c r="C330" t="s">
        <v>37</v>
      </c>
      <c r="D330">
        <v>6</v>
      </c>
      <c r="E330" t="s">
        <v>31</v>
      </c>
      <c r="F330">
        <v>10</v>
      </c>
      <c r="G330" t="s">
        <v>64</v>
      </c>
      <c r="H330" t="s">
        <v>801</v>
      </c>
      <c r="I330">
        <v>97</v>
      </c>
      <c r="J330">
        <v>41</v>
      </c>
      <c r="K330">
        <v>38</v>
      </c>
      <c r="L330">
        <v>88</v>
      </c>
      <c r="M330">
        <v>78</v>
      </c>
      <c r="N330">
        <v>48</v>
      </c>
      <c r="O330">
        <v>293</v>
      </c>
      <c r="P330">
        <v>58.6</v>
      </c>
      <c r="Q330" t="s">
        <v>31</v>
      </c>
      <c r="R330" t="s">
        <v>27</v>
      </c>
      <c r="S330">
        <v>1893</v>
      </c>
      <c r="T330" t="s">
        <v>66</v>
      </c>
      <c r="U330" t="str">
        <f t="shared" si="5"/>
        <v>Pass</v>
      </c>
    </row>
    <row r="331" spans="1:21">
      <c r="A331" t="s">
        <v>802</v>
      </c>
      <c r="B331" t="s">
        <v>302</v>
      </c>
      <c r="C331" t="s">
        <v>37</v>
      </c>
      <c r="D331">
        <v>12</v>
      </c>
      <c r="E331" t="s">
        <v>26</v>
      </c>
      <c r="F331">
        <v>17</v>
      </c>
      <c r="G331" t="s">
        <v>64</v>
      </c>
      <c r="H331" t="s">
        <v>803</v>
      </c>
      <c r="I331">
        <v>81</v>
      </c>
      <c r="J331">
        <v>87</v>
      </c>
      <c r="K331">
        <v>54</v>
      </c>
      <c r="L331">
        <v>85</v>
      </c>
      <c r="M331">
        <v>97</v>
      </c>
      <c r="N331">
        <v>38</v>
      </c>
      <c r="O331">
        <v>361</v>
      </c>
      <c r="P331">
        <v>72.2</v>
      </c>
      <c r="Q331" t="s">
        <v>40</v>
      </c>
      <c r="R331" t="s">
        <v>41</v>
      </c>
      <c r="S331">
        <v>4342</v>
      </c>
      <c r="T331" t="s">
        <v>28</v>
      </c>
      <c r="U331" t="str">
        <f t="shared" si="5"/>
        <v>Pass</v>
      </c>
    </row>
    <row r="332" spans="1:21">
      <c r="A332" t="s">
        <v>804</v>
      </c>
      <c r="B332" t="s">
        <v>335</v>
      </c>
      <c r="C332" t="s">
        <v>22</v>
      </c>
      <c r="D332">
        <v>10</v>
      </c>
      <c r="E332" t="s">
        <v>26</v>
      </c>
      <c r="F332">
        <v>14</v>
      </c>
      <c r="G332" t="s">
        <v>45</v>
      </c>
      <c r="H332" t="s">
        <v>805</v>
      </c>
      <c r="I332">
        <v>93</v>
      </c>
      <c r="J332">
        <v>38</v>
      </c>
      <c r="K332">
        <v>82</v>
      </c>
      <c r="L332">
        <v>37</v>
      </c>
      <c r="M332">
        <v>90</v>
      </c>
      <c r="N332">
        <v>68</v>
      </c>
      <c r="O332">
        <v>315</v>
      </c>
      <c r="P332">
        <v>63</v>
      </c>
      <c r="Q332" t="s">
        <v>26</v>
      </c>
      <c r="R332" t="s">
        <v>41</v>
      </c>
      <c r="S332">
        <v>4678</v>
      </c>
      <c r="T332" t="s">
        <v>42</v>
      </c>
      <c r="U332" t="str">
        <f t="shared" si="5"/>
        <v>Pass</v>
      </c>
    </row>
    <row r="333" spans="1:21">
      <c r="A333" t="s">
        <v>806</v>
      </c>
      <c r="B333" t="s">
        <v>798</v>
      </c>
      <c r="C333" t="s">
        <v>22</v>
      </c>
      <c r="D333">
        <v>12</v>
      </c>
      <c r="E333" t="s">
        <v>31</v>
      </c>
      <c r="F333">
        <v>18</v>
      </c>
      <c r="G333" t="s">
        <v>45</v>
      </c>
      <c r="H333" t="s">
        <v>641</v>
      </c>
      <c r="I333">
        <v>83</v>
      </c>
      <c r="J333">
        <v>41</v>
      </c>
      <c r="K333">
        <v>57</v>
      </c>
      <c r="L333">
        <v>43</v>
      </c>
      <c r="M333">
        <v>53</v>
      </c>
      <c r="N333">
        <v>53</v>
      </c>
      <c r="O333">
        <v>247</v>
      </c>
      <c r="P333">
        <v>49.4</v>
      </c>
      <c r="Q333" t="s">
        <v>23</v>
      </c>
      <c r="R333" t="s">
        <v>41</v>
      </c>
      <c r="S333">
        <v>4582</v>
      </c>
      <c r="T333" t="s">
        <v>34</v>
      </c>
      <c r="U333" t="str">
        <f t="shared" si="5"/>
        <v>Fail</v>
      </c>
    </row>
    <row r="334" spans="1:21">
      <c r="A334" t="s">
        <v>807</v>
      </c>
      <c r="B334" t="s">
        <v>808</v>
      </c>
      <c r="C334" t="s">
        <v>37</v>
      </c>
      <c r="D334">
        <v>1</v>
      </c>
      <c r="E334" t="s">
        <v>23</v>
      </c>
      <c r="F334">
        <v>6</v>
      </c>
      <c r="G334" t="s">
        <v>24</v>
      </c>
      <c r="H334" t="s">
        <v>723</v>
      </c>
      <c r="I334">
        <v>81</v>
      </c>
      <c r="J334">
        <v>55</v>
      </c>
      <c r="K334">
        <v>41</v>
      </c>
      <c r="L334">
        <v>94</v>
      </c>
      <c r="M334">
        <v>36</v>
      </c>
      <c r="N334">
        <v>72</v>
      </c>
      <c r="O334">
        <v>298</v>
      </c>
      <c r="P334">
        <v>59.6</v>
      </c>
      <c r="Q334" t="s">
        <v>31</v>
      </c>
      <c r="R334" t="s">
        <v>27</v>
      </c>
      <c r="S334">
        <v>1962</v>
      </c>
      <c r="T334" t="s">
        <v>42</v>
      </c>
      <c r="U334" t="str">
        <f t="shared" si="5"/>
        <v>Pass</v>
      </c>
    </row>
    <row r="335" spans="1:21">
      <c r="A335" t="s">
        <v>809</v>
      </c>
      <c r="B335" t="s">
        <v>72</v>
      </c>
      <c r="C335" t="s">
        <v>37</v>
      </c>
      <c r="D335">
        <v>12</v>
      </c>
      <c r="E335" t="s">
        <v>31</v>
      </c>
      <c r="F335">
        <v>17</v>
      </c>
      <c r="G335" t="s">
        <v>32</v>
      </c>
      <c r="H335" t="s">
        <v>810</v>
      </c>
      <c r="I335">
        <v>95</v>
      </c>
      <c r="J335">
        <v>87</v>
      </c>
      <c r="K335">
        <v>38</v>
      </c>
      <c r="L335">
        <v>81</v>
      </c>
      <c r="M335">
        <v>74</v>
      </c>
      <c r="N335">
        <v>61</v>
      </c>
      <c r="O335">
        <v>341</v>
      </c>
      <c r="P335">
        <v>68.2</v>
      </c>
      <c r="Q335" t="s">
        <v>26</v>
      </c>
      <c r="R335" t="s">
        <v>27</v>
      </c>
      <c r="S335">
        <v>2487</v>
      </c>
      <c r="T335" t="s">
        <v>48</v>
      </c>
      <c r="U335" t="str">
        <f t="shared" si="5"/>
        <v>Pass</v>
      </c>
    </row>
    <row r="336" spans="1:21">
      <c r="A336" t="s">
        <v>811</v>
      </c>
      <c r="B336" t="s">
        <v>767</v>
      </c>
      <c r="C336" t="s">
        <v>37</v>
      </c>
      <c r="D336">
        <v>12</v>
      </c>
      <c r="E336" t="s">
        <v>47</v>
      </c>
      <c r="F336">
        <v>17</v>
      </c>
      <c r="G336" t="s">
        <v>38</v>
      </c>
      <c r="H336" t="s">
        <v>674</v>
      </c>
      <c r="I336">
        <v>88</v>
      </c>
      <c r="J336">
        <v>45</v>
      </c>
      <c r="K336">
        <v>70</v>
      </c>
      <c r="L336">
        <v>91</v>
      </c>
      <c r="M336">
        <v>66</v>
      </c>
      <c r="N336">
        <v>94</v>
      </c>
      <c r="O336">
        <v>366</v>
      </c>
      <c r="P336">
        <v>73.2</v>
      </c>
      <c r="Q336" t="s">
        <v>40</v>
      </c>
      <c r="R336" t="s">
        <v>27</v>
      </c>
      <c r="S336">
        <v>4673</v>
      </c>
      <c r="T336" t="s">
        <v>34</v>
      </c>
      <c r="U336" t="str">
        <f t="shared" si="5"/>
        <v>Pass</v>
      </c>
    </row>
    <row r="337" spans="1:21">
      <c r="A337" t="s">
        <v>812</v>
      </c>
      <c r="B337" t="s">
        <v>319</v>
      </c>
      <c r="C337" t="s">
        <v>22</v>
      </c>
      <c r="D337">
        <v>11</v>
      </c>
      <c r="E337" t="s">
        <v>47</v>
      </c>
      <c r="F337">
        <v>15</v>
      </c>
      <c r="G337" t="s">
        <v>24</v>
      </c>
      <c r="H337" t="s">
        <v>813</v>
      </c>
      <c r="I337">
        <v>96</v>
      </c>
      <c r="J337">
        <v>84</v>
      </c>
      <c r="K337">
        <v>42</v>
      </c>
      <c r="L337">
        <v>54</v>
      </c>
      <c r="M337">
        <v>41</v>
      </c>
      <c r="N337">
        <v>59</v>
      </c>
      <c r="O337">
        <v>280</v>
      </c>
      <c r="P337">
        <v>56</v>
      </c>
      <c r="Q337" t="s">
        <v>31</v>
      </c>
      <c r="R337" t="s">
        <v>41</v>
      </c>
      <c r="S337">
        <v>1777</v>
      </c>
      <c r="T337" t="s">
        <v>28</v>
      </c>
      <c r="U337" t="str">
        <f t="shared" si="5"/>
        <v>Pass</v>
      </c>
    </row>
    <row r="338" spans="1:21">
      <c r="A338" t="s">
        <v>814</v>
      </c>
      <c r="B338" t="s">
        <v>335</v>
      </c>
      <c r="C338" t="s">
        <v>22</v>
      </c>
      <c r="D338">
        <v>1</v>
      </c>
      <c r="E338" t="s">
        <v>47</v>
      </c>
      <c r="F338">
        <v>6</v>
      </c>
      <c r="G338" t="s">
        <v>64</v>
      </c>
      <c r="H338" t="s">
        <v>815</v>
      </c>
      <c r="I338">
        <v>98</v>
      </c>
      <c r="J338">
        <v>93</v>
      </c>
      <c r="K338">
        <v>96</v>
      </c>
      <c r="L338">
        <v>48</v>
      </c>
      <c r="M338">
        <v>94</v>
      </c>
      <c r="N338">
        <v>97</v>
      </c>
      <c r="O338">
        <v>428</v>
      </c>
      <c r="P338">
        <v>85.6</v>
      </c>
      <c r="Q338" t="s">
        <v>47</v>
      </c>
      <c r="R338" t="s">
        <v>41</v>
      </c>
      <c r="S338">
        <v>3592</v>
      </c>
      <c r="T338" t="s">
        <v>66</v>
      </c>
      <c r="U338" t="str">
        <f t="shared" si="5"/>
        <v>Pass</v>
      </c>
    </row>
    <row r="339" spans="1:21">
      <c r="A339" t="s">
        <v>816</v>
      </c>
      <c r="B339" t="s">
        <v>614</v>
      </c>
      <c r="C339" t="s">
        <v>22</v>
      </c>
      <c r="D339">
        <v>7</v>
      </c>
      <c r="E339" t="s">
        <v>26</v>
      </c>
      <c r="F339">
        <v>12</v>
      </c>
      <c r="G339" t="s">
        <v>64</v>
      </c>
      <c r="H339" t="s">
        <v>817</v>
      </c>
      <c r="I339">
        <v>99</v>
      </c>
      <c r="J339">
        <v>84</v>
      </c>
      <c r="K339">
        <v>53</v>
      </c>
      <c r="L339">
        <v>35</v>
      </c>
      <c r="M339">
        <v>72</v>
      </c>
      <c r="N339">
        <v>100</v>
      </c>
      <c r="O339">
        <v>344</v>
      </c>
      <c r="P339">
        <v>68.8</v>
      </c>
      <c r="Q339" t="s">
        <v>26</v>
      </c>
      <c r="R339" t="s">
        <v>41</v>
      </c>
      <c r="S339">
        <v>1997</v>
      </c>
      <c r="T339" t="s">
        <v>34</v>
      </c>
      <c r="U339" t="str">
        <f t="shared" si="5"/>
        <v>Pass</v>
      </c>
    </row>
    <row r="340" spans="1:21">
      <c r="A340" t="s">
        <v>818</v>
      </c>
      <c r="B340" t="s">
        <v>819</v>
      </c>
      <c r="C340" t="s">
        <v>37</v>
      </c>
      <c r="D340">
        <v>6</v>
      </c>
      <c r="E340" t="s">
        <v>31</v>
      </c>
      <c r="F340">
        <v>12</v>
      </c>
      <c r="G340" t="s">
        <v>45</v>
      </c>
      <c r="H340" t="s">
        <v>820</v>
      </c>
      <c r="I340">
        <v>86</v>
      </c>
      <c r="J340">
        <v>41</v>
      </c>
      <c r="K340">
        <v>78</v>
      </c>
      <c r="L340">
        <v>46</v>
      </c>
      <c r="M340">
        <v>85</v>
      </c>
      <c r="N340">
        <v>43</v>
      </c>
      <c r="O340">
        <v>293</v>
      </c>
      <c r="P340">
        <v>58.6</v>
      </c>
      <c r="Q340" t="s">
        <v>31</v>
      </c>
      <c r="R340" t="s">
        <v>27</v>
      </c>
      <c r="S340">
        <v>4970</v>
      </c>
      <c r="T340" t="s">
        <v>42</v>
      </c>
      <c r="U340" t="str">
        <f t="shared" si="5"/>
        <v>Pass</v>
      </c>
    </row>
    <row r="341" spans="1:21">
      <c r="A341" t="s">
        <v>821</v>
      </c>
      <c r="B341" t="s">
        <v>651</v>
      </c>
      <c r="C341" t="s">
        <v>22</v>
      </c>
      <c r="D341">
        <v>12</v>
      </c>
      <c r="E341" t="s">
        <v>23</v>
      </c>
      <c r="F341">
        <v>18</v>
      </c>
      <c r="G341" t="s">
        <v>64</v>
      </c>
      <c r="H341" t="s">
        <v>822</v>
      </c>
      <c r="I341">
        <v>76</v>
      </c>
      <c r="J341">
        <v>43</v>
      </c>
      <c r="K341">
        <v>44</v>
      </c>
      <c r="L341">
        <v>91</v>
      </c>
      <c r="M341">
        <v>44</v>
      </c>
      <c r="N341">
        <v>57</v>
      </c>
      <c r="O341">
        <v>279</v>
      </c>
      <c r="P341">
        <v>55.8</v>
      </c>
      <c r="Q341" t="s">
        <v>31</v>
      </c>
      <c r="R341" t="s">
        <v>41</v>
      </c>
      <c r="S341">
        <v>4587</v>
      </c>
      <c r="T341" t="s">
        <v>34</v>
      </c>
      <c r="U341" t="str">
        <f t="shared" si="5"/>
        <v>Pass</v>
      </c>
    </row>
    <row r="342" spans="1:21">
      <c r="A342" t="s">
        <v>823</v>
      </c>
      <c r="B342" t="s">
        <v>824</v>
      </c>
      <c r="C342" t="s">
        <v>22</v>
      </c>
      <c r="D342">
        <v>2</v>
      </c>
      <c r="E342" t="s">
        <v>23</v>
      </c>
      <c r="F342">
        <v>6</v>
      </c>
      <c r="G342" t="s">
        <v>38</v>
      </c>
      <c r="H342" t="s">
        <v>629</v>
      </c>
      <c r="I342">
        <v>88</v>
      </c>
      <c r="J342">
        <v>89</v>
      </c>
      <c r="K342">
        <v>81</v>
      </c>
      <c r="L342">
        <v>68</v>
      </c>
      <c r="M342">
        <v>42</v>
      </c>
      <c r="N342">
        <v>86</v>
      </c>
      <c r="O342">
        <v>366</v>
      </c>
      <c r="P342">
        <v>73.2</v>
      </c>
      <c r="Q342" t="s">
        <v>40</v>
      </c>
      <c r="R342" t="s">
        <v>27</v>
      </c>
      <c r="S342">
        <v>4929</v>
      </c>
      <c r="T342" t="s">
        <v>42</v>
      </c>
      <c r="U342" t="str">
        <f t="shared" si="5"/>
        <v>Pass</v>
      </c>
    </row>
    <row r="343" spans="1:21">
      <c r="A343" t="s">
        <v>825</v>
      </c>
      <c r="B343" t="s">
        <v>824</v>
      </c>
      <c r="C343" t="s">
        <v>37</v>
      </c>
      <c r="D343">
        <v>8</v>
      </c>
      <c r="E343" t="s">
        <v>47</v>
      </c>
      <c r="F343">
        <v>12</v>
      </c>
      <c r="G343" t="s">
        <v>32</v>
      </c>
      <c r="H343" t="s">
        <v>826</v>
      </c>
      <c r="I343">
        <v>99</v>
      </c>
      <c r="J343">
        <v>70</v>
      </c>
      <c r="K343">
        <v>87</v>
      </c>
      <c r="L343">
        <v>94</v>
      </c>
      <c r="M343">
        <v>62</v>
      </c>
      <c r="N343">
        <v>87</v>
      </c>
      <c r="O343">
        <v>400</v>
      </c>
      <c r="P343">
        <v>80</v>
      </c>
      <c r="Q343" t="s">
        <v>47</v>
      </c>
      <c r="R343" t="s">
        <v>41</v>
      </c>
      <c r="S343">
        <v>2137</v>
      </c>
      <c r="T343" t="s">
        <v>48</v>
      </c>
      <c r="U343" t="str">
        <f t="shared" si="5"/>
        <v>Pass</v>
      </c>
    </row>
    <row r="344" spans="1:21">
      <c r="A344" t="s">
        <v>827</v>
      </c>
      <c r="B344" t="s">
        <v>562</v>
      </c>
      <c r="C344" t="s">
        <v>37</v>
      </c>
      <c r="D344">
        <v>4</v>
      </c>
      <c r="E344" t="s">
        <v>26</v>
      </c>
      <c r="F344">
        <v>8</v>
      </c>
      <c r="G344" t="s">
        <v>58</v>
      </c>
      <c r="H344" t="s">
        <v>828</v>
      </c>
      <c r="I344">
        <v>97</v>
      </c>
      <c r="J344">
        <v>85</v>
      </c>
      <c r="K344">
        <v>73</v>
      </c>
      <c r="L344">
        <v>59</v>
      </c>
      <c r="M344">
        <v>79</v>
      </c>
      <c r="N344">
        <v>53</v>
      </c>
      <c r="O344">
        <v>349</v>
      </c>
      <c r="P344">
        <v>69.8</v>
      </c>
      <c r="Q344" t="s">
        <v>26</v>
      </c>
      <c r="R344" t="s">
        <v>27</v>
      </c>
      <c r="S344">
        <v>4682</v>
      </c>
      <c r="T344" t="s">
        <v>28</v>
      </c>
      <c r="U344" t="str">
        <f t="shared" si="5"/>
        <v>Pass</v>
      </c>
    </row>
    <row r="345" spans="1:21">
      <c r="A345" t="s">
        <v>829</v>
      </c>
      <c r="B345" t="s">
        <v>219</v>
      </c>
      <c r="C345" t="s">
        <v>37</v>
      </c>
      <c r="D345">
        <v>4</v>
      </c>
      <c r="E345" t="s">
        <v>31</v>
      </c>
      <c r="F345">
        <v>10</v>
      </c>
      <c r="G345" t="s">
        <v>32</v>
      </c>
      <c r="H345" t="s">
        <v>830</v>
      </c>
      <c r="I345">
        <v>86</v>
      </c>
      <c r="J345">
        <v>44</v>
      </c>
      <c r="K345">
        <v>60</v>
      </c>
      <c r="L345">
        <v>68</v>
      </c>
      <c r="M345">
        <v>86</v>
      </c>
      <c r="N345">
        <v>97</v>
      </c>
      <c r="O345">
        <v>355</v>
      </c>
      <c r="P345">
        <v>71</v>
      </c>
      <c r="Q345" t="s">
        <v>40</v>
      </c>
      <c r="R345" t="s">
        <v>27</v>
      </c>
      <c r="S345">
        <v>2866</v>
      </c>
      <c r="T345" t="s">
        <v>70</v>
      </c>
      <c r="U345" t="str">
        <f t="shared" si="5"/>
        <v>Pass</v>
      </c>
    </row>
    <row r="346" spans="1:21">
      <c r="A346" t="s">
        <v>831</v>
      </c>
      <c r="B346" t="s">
        <v>832</v>
      </c>
      <c r="C346" t="s">
        <v>22</v>
      </c>
      <c r="D346">
        <v>7</v>
      </c>
      <c r="E346" t="s">
        <v>31</v>
      </c>
      <c r="F346">
        <v>11</v>
      </c>
      <c r="G346" t="s">
        <v>58</v>
      </c>
      <c r="H346" t="s">
        <v>833</v>
      </c>
      <c r="I346">
        <v>90</v>
      </c>
      <c r="J346">
        <v>47</v>
      </c>
      <c r="K346">
        <v>96</v>
      </c>
      <c r="L346">
        <v>99</v>
      </c>
      <c r="M346">
        <v>88</v>
      </c>
      <c r="N346">
        <v>60</v>
      </c>
      <c r="O346">
        <v>390</v>
      </c>
      <c r="P346">
        <v>78</v>
      </c>
      <c r="Q346" t="s">
        <v>40</v>
      </c>
      <c r="R346" t="s">
        <v>41</v>
      </c>
      <c r="S346">
        <v>1902</v>
      </c>
      <c r="T346" t="s">
        <v>42</v>
      </c>
      <c r="U346" t="str">
        <f t="shared" si="5"/>
        <v>Pass</v>
      </c>
    </row>
    <row r="347" spans="1:21">
      <c r="A347" t="s">
        <v>834</v>
      </c>
      <c r="B347" t="s">
        <v>835</v>
      </c>
      <c r="C347" t="s">
        <v>22</v>
      </c>
      <c r="D347">
        <v>10</v>
      </c>
      <c r="E347" t="s">
        <v>31</v>
      </c>
      <c r="F347">
        <v>14</v>
      </c>
      <c r="G347" t="s">
        <v>24</v>
      </c>
      <c r="H347" t="s">
        <v>836</v>
      </c>
      <c r="I347">
        <v>87</v>
      </c>
      <c r="J347">
        <v>63</v>
      </c>
      <c r="K347">
        <v>59</v>
      </c>
      <c r="L347">
        <v>85</v>
      </c>
      <c r="M347">
        <v>49</v>
      </c>
      <c r="N347">
        <v>92</v>
      </c>
      <c r="O347">
        <v>348</v>
      </c>
      <c r="P347">
        <v>69.599999999999994</v>
      </c>
      <c r="Q347" t="s">
        <v>26</v>
      </c>
      <c r="R347" t="s">
        <v>27</v>
      </c>
      <c r="S347">
        <v>3476</v>
      </c>
      <c r="T347" t="s">
        <v>28</v>
      </c>
      <c r="U347" t="str">
        <f t="shared" si="5"/>
        <v>Pass</v>
      </c>
    </row>
    <row r="348" spans="1:21">
      <c r="A348" t="s">
        <v>837</v>
      </c>
      <c r="B348" t="s">
        <v>36</v>
      </c>
      <c r="C348" t="s">
        <v>37</v>
      </c>
      <c r="D348">
        <v>1</v>
      </c>
      <c r="E348" t="s">
        <v>47</v>
      </c>
      <c r="F348">
        <v>6</v>
      </c>
      <c r="G348" t="s">
        <v>24</v>
      </c>
      <c r="H348" t="s">
        <v>838</v>
      </c>
      <c r="I348">
        <v>62</v>
      </c>
      <c r="J348">
        <v>80</v>
      </c>
      <c r="K348">
        <v>40</v>
      </c>
      <c r="L348">
        <v>86</v>
      </c>
      <c r="M348">
        <v>37</v>
      </c>
      <c r="N348">
        <v>84</v>
      </c>
      <c r="O348">
        <v>327</v>
      </c>
      <c r="P348">
        <v>65.400000000000006</v>
      </c>
      <c r="Q348" t="s">
        <v>26</v>
      </c>
      <c r="R348" t="s">
        <v>41</v>
      </c>
      <c r="S348">
        <v>3408</v>
      </c>
      <c r="T348" t="s">
        <v>28</v>
      </c>
      <c r="U348" t="str">
        <f t="shared" si="5"/>
        <v>Pass</v>
      </c>
    </row>
    <row r="349" spans="1:21">
      <c r="A349" t="s">
        <v>839</v>
      </c>
      <c r="B349" t="s">
        <v>165</v>
      </c>
      <c r="C349" t="s">
        <v>22</v>
      </c>
      <c r="D349">
        <v>12</v>
      </c>
      <c r="E349" t="s">
        <v>31</v>
      </c>
      <c r="F349">
        <v>16</v>
      </c>
      <c r="G349" t="s">
        <v>32</v>
      </c>
      <c r="H349" t="s">
        <v>840</v>
      </c>
      <c r="I349">
        <v>79</v>
      </c>
      <c r="J349">
        <v>83</v>
      </c>
      <c r="K349">
        <v>82</v>
      </c>
      <c r="L349">
        <v>73</v>
      </c>
      <c r="M349">
        <v>92</v>
      </c>
      <c r="N349">
        <v>43</v>
      </c>
      <c r="O349">
        <v>373</v>
      </c>
      <c r="P349">
        <v>74.599999999999994</v>
      </c>
      <c r="Q349" t="s">
        <v>40</v>
      </c>
      <c r="R349" t="s">
        <v>27</v>
      </c>
      <c r="S349">
        <v>4776</v>
      </c>
      <c r="T349" t="s">
        <v>66</v>
      </c>
      <c r="U349" t="str">
        <f t="shared" si="5"/>
        <v>Pass</v>
      </c>
    </row>
    <row r="350" spans="1:21">
      <c r="A350" t="s">
        <v>841</v>
      </c>
      <c r="B350" t="s">
        <v>375</v>
      </c>
      <c r="C350" t="s">
        <v>37</v>
      </c>
      <c r="D350">
        <v>4</v>
      </c>
      <c r="E350" t="s">
        <v>23</v>
      </c>
      <c r="F350">
        <v>8</v>
      </c>
      <c r="G350" t="s">
        <v>58</v>
      </c>
      <c r="H350" t="s">
        <v>842</v>
      </c>
      <c r="I350">
        <v>78</v>
      </c>
      <c r="J350">
        <v>85</v>
      </c>
      <c r="K350">
        <v>47</v>
      </c>
      <c r="L350">
        <v>81</v>
      </c>
      <c r="M350">
        <v>54</v>
      </c>
      <c r="N350">
        <v>69</v>
      </c>
      <c r="O350">
        <v>336</v>
      </c>
      <c r="P350">
        <v>67.2</v>
      </c>
      <c r="Q350" t="s">
        <v>26</v>
      </c>
      <c r="R350" t="s">
        <v>27</v>
      </c>
      <c r="S350">
        <v>4010</v>
      </c>
      <c r="T350" t="s">
        <v>28</v>
      </c>
      <c r="U350" t="str">
        <f t="shared" si="5"/>
        <v>Pass</v>
      </c>
    </row>
    <row r="351" spans="1:21">
      <c r="A351" t="s">
        <v>843</v>
      </c>
      <c r="B351" t="s">
        <v>844</v>
      </c>
      <c r="C351" t="s">
        <v>37</v>
      </c>
      <c r="D351">
        <v>4</v>
      </c>
      <c r="E351" t="s">
        <v>23</v>
      </c>
      <c r="F351">
        <v>9</v>
      </c>
      <c r="G351" t="s">
        <v>58</v>
      </c>
      <c r="H351" t="s">
        <v>845</v>
      </c>
      <c r="I351">
        <v>84</v>
      </c>
      <c r="J351">
        <v>94</v>
      </c>
      <c r="K351">
        <v>57</v>
      </c>
      <c r="L351">
        <v>41</v>
      </c>
      <c r="M351">
        <v>98</v>
      </c>
      <c r="N351">
        <v>70</v>
      </c>
      <c r="O351">
        <v>360</v>
      </c>
      <c r="P351">
        <v>72</v>
      </c>
      <c r="Q351" t="s">
        <v>40</v>
      </c>
      <c r="R351" t="s">
        <v>27</v>
      </c>
      <c r="S351">
        <v>2192</v>
      </c>
      <c r="T351" t="s">
        <v>42</v>
      </c>
      <c r="U351" t="str">
        <f t="shared" si="5"/>
        <v>Pass</v>
      </c>
    </row>
    <row r="352" spans="1:21">
      <c r="A352" t="s">
        <v>846</v>
      </c>
      <c r="B352" t="s">
        <v>326</v>
      </c>
      <c r="C352" t="s">
        <v>22</v>
      </c>
      <c r="D352">
        <v>5</v>
      </c>
      <c r="E352" t="s">
        <v>23</v>
      </c>
      <c r="F352">
        <v>11</v>
      </c>
      <c r="G352" t="s">
        <v>54</v>
      </c>
      <c r="H352" t="s">
        <v>847</v>
      </c>
      <c r="I352">
        <v>69</v>
      </c>
      <c r="J352">
        <v>90</v>
      </c>
      <c r="K352">
        <v>100</v>
      </c>
      <c r="L352">
        <v>94</v>
      </c>
      <c r="M352">
        <v>56</v>
      </c>
      <c r="N352">
        <v>68</v>
      </c>
      <c r="O352">
        <v>408</v>
      </c>
      <c r="P352">
        <v>81.599999999999994</v>
      </c>
      <c r="Q352" t="s">
        <v>47</v>
      </c>
      <c r="R352" t="s">
        <v>27</v>
      </c>
      <c r="S352">
        <v>3471</v>
      </c>
      <c r="T352" t="s">
        <v>28</v>
      </c>
      <c r="U352" t="str">
        <f t="shared" si="5"/>
        <v>Pass</v>
      </c>
    </row>
    <row r="353" spans="1:21">
      <c r="A353" t="s">
        <v>848</v>
      </c>
      <c r="B353" t="s">
        <v>160</v>
      </c>
      <c r="C353" t="s">
        <v>22</v>
      </c>
      <c r="D353">
        <v>1</v>
      </c>
      <c r="E353" t="s">
        <v>31</v>
      </c>
      <c r="F353">
        <v>6</v>
      </c>
      <c r="G353" t="s">
        <v>38</v>
      </c>
      <c r="H353" t="s">
        <v>849</v>
      </c>
      <c r="I353">
        <v>85</v>
      </c>
      <c r="J353">
        <v>65</v>
      </c>
      <c r="K353">
        <v>90</v>
      </c>
      <c r="L353">
        <v>88</v>
      </c>
      <c r="M353">
        <v>81</v>
      </c>
      <c r="N353">
        <v>53</v>
      </c>
      <c r="O353">
        <v>377</v>
      </c>
      <c r="P353">
        <v>75.400000000000006</v>
      </c>
      <c r="Q353" t="s">
        <v>40</v>
      </c>
      <c r="R353" t="s">
        <v>41</v>
      </c>
      <c r="S353">
        <v>4956</v>
      </c>
      <c r="T353" t="s">
        <v>42</v>
      </c>
      <c r="U353" t="str">
        <f t="shared" si="5"/>
        <v>Pass</v>
      </c>
    </row>
    <row r="354" spans="1:21">
      <c r="A354" t="s">
        <v>850</v>
      </c>
      <c r="B354" t="s">
        <v>359</v>
      </c>
      <c r="C354" t="s">
        <v>37</v>
      </c>
      <c r="D354">
        <v>1</v>
      </c>
      <c r="E354" t="s">
        <v>31</v>
      </c>
      <c r="F354">
        <v>7</v>
      </c>
      <c r="G354" t="s">
        <v>24</v>
      </c>
      <c r="H354" t="s">
        <v>851</v>
      </c>
      <c r="I354">
        <v>77</v>
      </c>
      <c r="J354">
        <v>42</v>
      </c>
      <c r="K354">
        <v>46</v>
      </c>
      <c r="L354">
        <v>50</v>
      </c>
      <c r="M354">
        <v>39</v>
      </c>
      <c r="N354">
        <v>64</v>
      </c>
      <c r="O354">
        <v>241</v>
      </c>
      <c r="P354">
        <v>48.2</v>
      </c>
      <c r="Q354" t="s">
        <v>23</v>
      </c>
      <c r="R354" t="s">
        <v>27</v>
      </c>
      <c r="S354">
        <v>2688</v>
      </c>
      <c r="T354" t="s">
        <v>28</v>
      </c>
      <c r="U354" t="str">
        <f t="shared" si="5"/>
        <v>Fail</v>
      </c>
    </row>
    <row r="355" spans="1:21">
      <c r="A355" t="s">
        <v>852</v>
      </c>
      <c r="B355" t="s">
        <v>408</v>
      </c>
      <c r="C355" t="s">
        <v>37</v>
      </c>
      <c r="D355">
        <v>9</v>
      </c>
      <c r="E355" t="s">
        <v>47</v>
      </c>
      <c r="F355">
        <v>13</v>
      </c>
      <c r="G355" t="s">
        <v>64</v>
      </c>
      <c r="H355" t="s">
        <v>853</v>
      </c>
      <c r="I355">
        <v>71</v>
      </c>
      <c r="J355">
        <v>74</v>
      </c>
      <c r="K355">
        <v>60</v>
      </c>
      <c r="L355">
        <v>54</v>
      </c>
      <c r="M355">
        <v>79</v>
      </c>
      <c r="N355">
        <v>88</v>
      </c>
      <c r="O355">
        <v>355</v>
      </c>
      <c r="P355">
        <v>71</v>
      </c>
      <c r="Q355" t="s">
        <v>40</v>
      </c>
      <c r="R355" t="s">
        <v>41</v>
      </c>
      <c r="S355">
        <v>2160</v>
      </c>
      <c r="T355" t="s">
        <v>34</v>
      </c>
      <c r="U355" t="str">
        <f t="shared" si="5"/>
        <v>Pass</v>
      </c>
    </row>
    <row r="356" spans="1:21">
      <c r="A356" t="s">
        <v>854</v>
      </c>
      <c r="B356" t="s">
        <v>214</v>
      </c>
      <c r="C356" t="s">
        <v>22</v>
      </c>
      <c r="D356">
        <v>7</v>
      </c>
      <c r="E356" t="s">
        <v>23</v>
      </c>
      <c r="F356">
        <v>11</v>
      </c>
      <c r="G356" t="s">
        <v>38</v>
      </c>
      <c r="H356" t="s">
        <v>855</v>
      </c>
      <c r="I356">
        <v>77</v>
      </c>
      <c r="J356">
        <v>96</v>
      </c>
      <c r="K356">
        <v>69</v>
      </c>
      <c r="L356">
        <v>63</v>
      </c>
      <c r="M356">
        <v>93</v>
      </c>
      <c r="N356">
        <v>89</v>
      </c>
      <c r="O356">
        <v>410</v>
      </c>
      <c r="P356">
        <v>82</v>
      </c>
      <c r="Q356" t="s">
        <v>47</v>
      </c>
      <c r="R356" t="s">
        <v>41</v>
      </c>
      <c r="S356">
        <v>4077</v>
      </c>
      <c r="T356" t="s">
        <v>34</v>
      </c>
      <c r="U356" t="str">
        <f t="shared" si="5"/>
        <v>Pass</v>
      </c>
    </row>
    <row r="357" spans="1:21">
      <c r="A357" t="s">
        <v>856</v>
      </c>
      <c r="B357" t="s">
        <v>628</v>
      </c>
      <c r="C357" t="s">
        <v>37</v>
      </c>
      <c r="D357">
        <v>7</v>
      </c>
      <c r="E357" t="s">
        <v>23</v>
      </c>
      <c r="F357">
        <v>12</v>
      </c>
      <c r="G357" t="s">
        <v>54</v>
      </c>
      <c r="H357" t="s">
        <v>857</v>
      </c>
      <c r="I357">
        <v>92</v>
      </c>
      <c r="J357">
        <v>83</v>
      </c>
      <c r="K357">
        <v>78</v>
      </c>
      <c r="L357">
        <v>56</v>
      </c>
      <c r="M357">
        <v>43</v>
      </c>
      <c r="N357">
        <v>66</v>
      </c>
      <c r="O357">
        <v>326</v>
      </c>
      <c r="P357">
        <v>65.2</v>
      </c>
      <c r="Q357" t="s">
        <v>26</v>
      </c>
      <c r="R357" t="s">
        <v>27</v>
      </c>
      <c r="S357">
        <v>4542</v>
      </c>
      <c r="T357" t="s">
        <v>70</v>
      </c>
      <c r="U357" t="str">
        <f t="shared" si="5"/>
        <v>Pass</v>
      </c>
    </row>
    <row r="358" spans="1:21">
      <c r="A358" t="s">
        <v>858</v>
      </c>
      <c r="B358" t="s">
        <v>586</v>
      </c>
      <c r="C358" t="s">
        <v>37</v>
      </c>
      <c r="D358">
        <v>9</v>
      </c>
      <c r="E358" t="s">
        <v>23</v>
      </c>
      <c r="F358">
        <v>15</v>
      </c>
      <c r="G358" t="s">
        <v>58</v>
      </c>
      <c r="H358" t="s">
        <v>859</v>
      </c>
      <c r="I358">
        <v>63</v>
      </c>
      <c r="J358">
        <v>71</v>
      </c>
      <c r="K358">
        <v>93</v>
      </c>
      <c r="L358">
        <v>70</v>
      </c>
      <c r="M358">
        <v>61</v>
      </c>
      <c r="N358">
        <v>79</v>
      </c>
      <c r="O358">
        <v>374</v>
      </c>
      <c r="P358">
        <v>74.8</v>
      </c>
      <c r="Q358" t="s">
        <v>40</v>
      </c>
      <c r="R358" t="s">
        <v>41</v>
      </c>
      <c r="S358">
        <v>4796</v>
      </c>
      <c r="T358" t="s">
        <v>48</v>
      </c>
      <c r="U358" t="str">
        <f t="shared" si="5"/>
        <v>Pass</v>
      </c>
    </row>
    <row r="359" spans="1:21">
      <c r="A359" t="s">
        <v>860</v>
      </c>
      <c r="B359" t="s">
        <v>824</v>
      </c>
      <c r="C359" t="s">
        <v>22</v>
      </c>
      <c r="D359">
        <v>12</v>
      </c>
      <c r="E359" t="s">
        <v>31</v>
      </c>
      <c r="F359">
        <v>17</v>
      </c>
      <c r="G359" t="s">
        <v>54</v>
      </c>
      <c r="H359" t="s">
        <v>406</v>
      </c>
      <c r="I359">
        <v>68</v>
      </c>
      <c r="J359">
        <v>46</v>
      </c>
      <c r="K359">
        <v>47</v>
      </c>
      <c r="L359">
        <v>43</v>
      </c>
      <c r="M359">
        <v>43</v>
      </c>
      <c r="N359">
        <v>73</v>
      </c>
      <c r="O359">
        <v>252</v>
      </c>
      <c r="P359">
        <v>50.4</v>
      </c>
      <c r="Q359" t="s">
        <v>31</v>
      </c>
      <c r="R359" t="s">
        <v>41</v>
      </c>
      <c r="S359">
        <v>1706</v>
      </c>
      <c r="T359" t="s">
        <v>70</v>
      </c>
      <c r="U359" t="str">
        <f t="shared" si="5"/>
        <v>Fail</v>
      </c>
    </row>
    <row r="360" spans="1:21">
      <c r="A360" t="s">
        <v>861</v>
      </c>
      <c r="B360" t="s">
        <v>319</v>
      </c>
      <c r="C360" t="s">
        <v>37</v>
      </c>
      <c r="D360">
        <v>11</v>
      </c>
      <c r="E360" t="s">
        <v>47</v>
      </c>
      <c r="F360">
        <v>17</v>
      </c>
      <c r="G360" t="s">
        <v>58</v>
      </c>
      <c r="H360" t="s">
        <v>862</v>
      </c>
      <c r="I360">
        <v>92</v>
      </c>
      <c r="J360">
        <v>70</v>
      </c>
      <c r="K360">
        <v>75</v>
      </c>
      <c r="L360">
        <v>69</v>
      </c>
      <c r="M360">
        <v>65</v>
      </c>
      <c r="N360">
        <v>43</v>
      </c>
      <c r="O360">
        <v>322</v>
      </c>
      <c r="P360">
        <v>64.400000000000006</v>
      </c>
      <c r="Q360" t="s">
        <v>26</v>
      </c>
      <c r="R360" t="s">
        <v>27</v>
      </c>
      <c r="S360">
        <v>1718</v>
      </c>
      <c r="T360" t="s">
        <v>28</v>
      </c>
      <c r="U360" t="str">
        <f t="shared" si="5"/>
        <v>Pass</v>
      </c>
    </row>
    <row r="361" spans="1:21">
      <c r="A361" t="s">
        <v>863</v>
      </c>
      <c r="B361" t="s">
        <v>81</v>
      </c>
      <c r="C361" t="s">
        <v>22</v>
      </c>
      <c r="D361">
        <v>5</v>
      </c>
      <c r="E361" t="s">
        <v>26</v>
      </c>
      <c r="F361">
        <v>9</v>
      </c>
      <c r="G361" t="s">
        <v>45</v>
      </c>
      <c r="H361" t="s">
        <v>864</v>
      </c>
      <c r="I361">
        <v>88</v>
      </c>
      <c r="J361">
        <v>96</v>
      </c>
      <c r="K361">
        <v>88</v>
      </c>
      <c r="L361">
        <v>89</v>
      </c>
      <c r="M361">
        <v>80</v>
      </c>
      <c r="N361">
        <v>98</v>
      </c>
      <c r="O361">
        <v>451</v>
      </c>
      <c r="P361">
        <v>90.2</v>
      </c>
      <c r="Q361" t="s">
        <v>760</v>
      </c>
      <c r="R361" t="s">
        <v>41</v>
      </c>
      <c r="S361">
        <v>2200</v>
      </c>
      <c r="T361" t="s">
        <v>48</v>
      </c>
      <c r="U361" t="str">
        <f t="shared" si="5"/>
        <v>Pass</v>
      </c>
    </row>
    <row r="362" spans="1:21">
      <c r="A362" t="s">
        <v>865</v>
      </c>
      <c r="B362" t="s">
        <v>57</v>
      </c>
      <c r="C362" t="s">
        <v>22</v>
      </c>
      <c r="D362">
        <v>7</v>
      </c>
      <c r="E362" t="s">
        <v>31</v>
      </c>
      <c r="F362">
        <v>13</v>
      </c>
      <c r="G362" t="s">
        <v>38</v>
      </c>
      <c r="H362" t="s">
        <v>600</v>
      </c>
      <c r="I362">
        <v>65</v>
      </c>
      <c r="J362">
        <v>40</v>
      </c>
      <c r="K362">
        <v>82</v>
      </c>
      <c r="L362">
        <v>83</v>
      </c>
      <c r="M362">
        <v>70</v>
      </c>
      <c r="N362">
        <v>44</v>
      </c>
      <c r="O362">
        <v>319</v>
      </c>
      <c r="P362">
        <v>63.8</v>
      </c>
      <c r="Q362" t="s">
        <v>26</v>
      </c>
      <c r="R362" t="s">
        <v>41</v>
      </c>
      <c r="S362">
        <v>2949</v>
      </c>
      <c r="T362" t="s">
        <v>42</v>
      </c>
      <c r="U362" t="str">
        <f t="shared" si="5"/>
        <v>Pass</v>
      </c>
    </row>
    <row r="363" spans="1:21">
      <c r="A363" t="s">
        <v>866</v>
      </c>
      <c r="B363" t="s">
        <v>582</v>
      </c>
      <c r="C363" t="s">
        <v>37</v>
      </c>
      <c r="D363">
        <v>5</v>
      </c>
      <c r="E363" t="s">
        <v>31</v>
      </c>
      <c r="F363">
        <v>11</v>
      </c>
      <c r="G363" t="s">
        <v>54</v>
      </c>
      <c r="H363" t="s">
        <v>867</v>
      </c>
      <c r="I363">
        <v>81</v>
      </c>
      <c r="J363">
        <v>83</v>
      </c>
      <c r="K363">
        <v>45</v>
      </c>
      <c r="L363">
        <v>57</v>
      </c>
      <c r="M363">
        <v>76</v>
      </c>
      <c r="N363">
        <v>100</v>
      </c>
      <c r="O363">
        <v>361</v>
      </c>
      <c r="P363">
        <v>72.2</v>
      </c>
      <c r="Q363" t="s">
        <v>40</v>
      </c>
      <c r="R363" t="s">
        <v>27</v>
      </c>
      <c r="S363">
        <v>2332</v>
      </c>
      <c r="T363" t="s">
        <v>34</v>
      </c>
      <c r="U363" t="str">
        <f t="shared" si="5"/>
        <v>Pass</v>
      </c>
    </row>
    <row r="364" spans="1:21">
      <c r="A364" t="s">
        <v>868</v>
      </c>
      <c r="B364" t="s">
        <v>416</v>
      </c>
      <c r="C364" t="s">
        <v>22</v>
      </c>
      <c r="D364">
        <v>5</v>
      </c>
      <c r="E364" t="s">
        <v>23</v>
      </c>
      <c r="F364">
        <v>11</v>
      </c>
      <c r="G364" t="s">
        <v>64</v>
      </c>
      <c r="H364" t="s">
        <v>869</v>
      </c>
      <c r="I364">
        <v>78</v>
      </c>
      <c r="J364">
        <v>59</v>
      </c>
      <c r="K364">
        <v>73</v>
      </c>
      <c r="L364">
        <v>75</v>
      </c>
      <c r="M364">
        <v>44</v>
      </c>
      <c r="N364">
        <v>82</v>
      </c>
      <c r="O364">
        <v>333</v>
      </c>
      <c r="P364">
        <v>66.599999999999994</v>
      </c>
      <c r="Q364" t="s">
        <v>26</v>
      </c>
      <c r="R364" t="s">
        <v>41</v>
      </c>
      <c r="S364">
        <v>1848</v>
      </c>
      <c r="T364" t="s">
        <v>34</v>
      </c>
      <c r="U364" t="str">
        <f t="shared" si="5"/>
        <v>Pass</v>
      </c>
    </row>
    <row r="365" spans="1:21">
      <c r="A365" t="s">
        <v>870</v>
      </c>
      <c r="B365" t="s">
        <v>239</v>
      </c>
      <c r="C365" t="s">
        <v>37</v>
      </c>
      <c r="D365">
        <v>3</v>
      </c>
      <c r="E365" t="s">
        <v>31</v>
      </c>
      <c r="F365">
        <v>7</v>
      </c>
      <c r="G365" t="s">
        <v>32</v>
      </c>
      <c r="H365" t="s">
        <v>871</v>
      </c>
      <c r="I365">
        <v>72</v>
      </c>
      <c r="J365">
        <v>71</v>
      </c>
      <c r="K365">
        <v>99</v>
      </c>
      <c r="L365">
        <v>79</v>
      </c>
      <c r="M365">
        <v>84</v>
      </c>
      <c r="N365">
        <v>67</v>
      </c>
      <c r="O365">
        <v>400</v>
      </c>
      <c r="P365">
        <v>80</v>
      </c>
      <c r="Q365" t="s">
        <v>47</v>
      </c>
      <c r="R365" t="s">
        <v>27</v>
      </c>
      <c r="S365">
        <v>2571</v>
      </c>
      <c r="T365" t="s">
        <v>48</v>
      </c>
      <c r="U365" t="str">
        <f t="shared" si="5"/>
        <v>Pass</v>
      </c>
    </row>
    <row r="366" spans="1:21">
      <c r="A366" t="s">
        <v>872</v>
      </c>
      <c r="B366" t="s">
        <v>137</v>
      </c>
      <c r="C366" t="s">
        <v>22</v>
      </c>
      <c r="D366">
        <v>1</v>
      </c>
      <c r="E366" t="s">
        <v>23</v>
      </c>
      <c r="F366">
        <v>6</v>
      </c>
      <c r="G366" t="s">
        <v>54</v>
      </c>
      <c r="H366" t="s">
        <v>873</v>
      </c>
      <c r="I366">
        <v>74</v>
      </c>
      <c r="J366">
        <v>94</v>
      </c>
      <c r="K366">
        <v>80</v>
      </c>
      <c r="L366">
        <v>67</v>
      </c>
      <c r="M366">
        <v>74</v>
      </c>
      <c r="N366">
        <v>59</v>
      </c>
      <c r="O366">
        <v>374</v>
      </c>
      <c r="P366">
        <v>74.8</v>
      </c>
      <c r="Q366" t="s">
        <v>40</v>
      </c>
      <c r="R366" t="s">
        <v>41</v>
      </c>
      <c r="S366">
        <v>3930</v>
      </c>
      <c r="T366" t="s">
        <v>66</v>
      </c>
      <c r="U366" t="str">
        <f t="shared" si="5"/>
        <v>Pass</v>
      </c>
    </row>
    <row r="367" spans="1:21">
      <c r="A367" t="s">
        <v>874</v>
      </c>
      <c r="B367" t="s">
        <v>373</v>
      </c>
      <c r="C367" t="s">
        <v>22</v>
      </c>
      <c r="D367">
        <v>7</v>
      </c>
      <c r="E367" t="s">
        <v>47</v>
      </c>
      <c r="F367">
        <v>12</v>
      </c>
      <c r="G367" t="s">
        <v>54</v>
      </c>
      <c r="H367" t="s">
        <v>875</v>
      </c>
      <c r="I367">
        <v>60</v>
      </c>
      <c r="J367">
        <v>93</v>
      </c>
      <c r="K367">
        <v>57</v>
      </c>
      <c r="L367">
        <v>47</v>
      </c>
      <c r="M367">
        <v>52</v>
      </c>
      <c r="N367">
        <v>65</v>
      </c>
      <c r="O367">
        <v>314</v>
      </c>
      <c r="P367">
        <v>62.8</v>
      </c>
      <c r="Q367" t="s">
        <v>26</v>
      </c>
      <c r="R367" t="s">
        <v>27</v>
      </c>
      <c r="S367">
        <v>4854</v>
      </c>
      <c r="T367" t="s">
        <v>42</v>
      </c>
      <c r="U367" t="str">
        <f t="shared" si="5"/>
        <v>Pass</v>
      </c>
    </row>
    <row r="368" spans="1:21">
      <c r="A368" t="s">
        <v>876</v>
      </c>
      <c r="B368" t="s">
        <v>586</v>
      </c>
      <c r="C368" t="s">
        <v>37</v>
      </c>
      <c r="D368">
        <v>5</v>
      </c>
      <c r="E368" t="s">
        <v>47</v>
      </c>
      <c r="F368">
        <v>11</v>
      </c>
      <c r="G368" t="s">
        <v>38</v>
      </c>
      <c r="H368" t="s">
        <v>877</v>
      </c>
      <c r="I368">
        <v>75</v>
      </c>
      <c r="J368">
        <v>35</v>
      </c>
      <c r="K368">
        <v>73</v>
      </c>
      <c r="L368">
        <v>87</v>
      </c>
      <c r="M368">
        <v>79</v>
      </c>
      <c r="N368">
        <v>36</v>
      </c>
      <c r="O368">
        <v>310</v>
      </c>
      <c r="P368">
        <v>62</v>
      </c>
      <c r="Q368" t="s">
        <v>26</v>
      </c>
      <c r="R368" t="s">
        <v>27</v>
      </c>
      <c r="S368">
        <v>3183</v>
      </c>
      <c r="T368" t="s">
        <v>66</v>
      </c>
      <c r="U368" t="str">
        <f t="shared" si="5"/>
        <v>Pass</v>
      </c>
    </row>
    <row r="369" spans="1:21">
      <c r="A369" t="s">
        <v>878</v>
      </c>
      <c r="B369" t="s">
        <v>879</v>
      </c>
      <c r="C369" t="s">
        <v>22</v>
      </c>
      <c r="D369">
        <v>11</v>
      </c>
      <c r="E369" t="s">
        <v>31</v>
      </c>
      <c r="F369">
        <v>15</v>
      </c>
      <c r="G369" t="s">
        <v>45</v>
      </c>
      <c r="H369" t="s">
        <v>880</v>
      </c>
      <c r="I369">
        <v>77</v>
      </c>
      <c r="J369">
        <v>41</v>
      </c>
      <c r="K369">
        <v>49</v>
      </c>
      <c r="L369">
        <v>38</v>
      </c>
      <c r="M369">
        <v>89</v>
      </c>
      <c r="N369">
        <v>92</v>
      </c>
      <c r="O369">
        <v>309</v>
      </c>
      <c r="P369">
        <v>61.8</v>
      </c>
      <c r="Q369" t="s">
        <v>26</v>
      </c>
      <c r="R369" t="s">
        <v>41</v>
      </c>
      <c r="S369">
        <v>4452</v>
      </c>
      <c r="T369" t="s">
        <v>28</v>
      </c>
      <c r="U369" t="str">
        <f t="shared" si="5"/>
        <v>Pass</v>
      </c>
    </row>
    <row r="370" spans="1:21">
      <c r="A370" t="s">
        <v>881</v>
      </c>
      <c r="B370" t="s">
        <v>370</v>
      </c>
      <c r="C370" t="s">
        <v>37</v>
      </c>
      <c r="D370">
        <v>9</v>
      </c>
      <c r="E370" t="s">
        <v>31</v>
      </c>
      <c r="F370">
        <v>15</v>
      </c>
      <c r="G370" t="s">
        <v>24</v>
      </c>
      <c r="H370" t="s">
        <v>882</v>
      </c>
      <c r="I370">
        <v>73</v>
      </c>
      <c r="J370">
        <v>49</v>
      </c>
      <c r="K370">
        <v>84</v>
      </c>
      <c r="L370">
        <v>96</v>
      </c>
      <c r="M370">
        <v>86</v>
      </c>
      <c r="N370">
        <v>57</v>
      </c>
      <c r="O370">
        <v>372</v>
      </c>
      <c r="P370">
        <v>74.400000000000006</v>
      </c>
      <c r="Q370" t="s">
        <v>40</v>
      </c>
      <c r="R370" t="s">
        <v>27</v>
      </c>
      <c r="S370">
        <v>2756</v>
      </c>
      <c r="T370" t="s">
        <v>34</v>
      </c>
      <c r="U370" t="str">
        <f t="shared" si="5"/>
        <v>Pass</v>
      </c>
    </row>
    <row r="371" spans="1:21">
      <c r="A371" t="s">
        <v>883</v>
      </c>
      <c r="B371" t="s">
        <v>884</v>
      </c>
      <c r="C371" t="s">
        <v>37</v>
      </c>
      <c r="D371">
        <v>1</v>
      </c>
      <c r="E371" t="s">
        <v>23</v>
      </c>
      <c r="F371">
        <v>6</v>
      </c>
      <c r="G371" t="s">
        <v>58</v>
      </c>
      <c r="H371" t="s">
        <v>885</v>
      </c>
      <c r="I371">
        <v>98</v>
      </c>
      <c r="J371">
        <v>61</v>
      </c>
      <c r="K371">
        <v>85</v>
      </c>
      <c r="L371">
        <v>97</v>
      </c>
      <c r="M371">
        <v>64</v>
      </c>
      <c r="N371">
        <v>42</v>
      </c>
      <c r="O371">
        <v>349</v>
      </c>
      <c r="P371">
        <v>69.8</v>
      </c>
      <c r="Q371" t="s">
        <v>26</v>
      </c>
      <c r="R371" t="s">
        <v>27</v>
      </c>
      <c r="S371">
        <v>2219</v>
      </c>
      <c r="T371" t="s">
        <v>48</v>
      </c>
      <c r="U371" t="str">
        <f t="shared" si="5"/>
        <v>Pass</v>
      </c>
    </row>
    <row r="372" spans="1:21">
      <c r="A372" t="s">
        <v>886</v>
      </c>
      <c r="B372" t="s">
        <v>30</v>
      </c>
      <c r="C372" t="s">
        <v>37</v>
      </c>
      <c r="D372">
        <v>3</v>
      </c>
      <c r="E372" t="s">
        <v>23</v>
      </c>
      <c r="F372">
        <v>8</v>
      </c>
      <c r="G372" t="s">
        <v>58</v>
      </c>
      <c r="H372" t="s">
        <v>869</v>
      </c>
      <c r="I372">
        <v>83</v>
      </c>
      <c r="J372">
        <v>85</v>
      </c>
      <c r="K372">
        <v>64</v>
      </c>
      <c r="L372">
        <v>95</v>
      </c>
      <c r="M372">
        <v>96</v>
      </c>
      <c r="N372">
        <v>77</v>
      </c>
      <c r="O372">
        <v>417</v>
      </c>
      <c r="P372">
        <v>83.4</v>
      </c>
      <c r="Q372" t="s">
        <v>47</v>
      </c>
      <c r="R372" t="s">
        <v>41</v>
      </c>
      <c r="S372">
        <v>3266</v>
      </c>
      <c r="T372" t="s">
        <v>48</v>
      </c>
      <c r="U372" t="str">
        <f t="shared" si="5"/>
        <v>Pass</v>
      </c>
    </row>
    <row r="373" spans="1:21">
      <c r="A373" t="s">
        <v>887</v>
      </c>
      <c r="B373" t="s">
        <v>490</v>
      </c>
      <c r="C373" t="s">
        <v>22</v>
      </c>
      <c r="D373">
        <v>1</v>
      </c>
      <c r="E373" t="s">
        <v>31</v>
      </c>
      <c r="F373">
        <v>6</v>
      </c>
      <c r="G373" t="s">
        <v>54</v>
      </c>
      <c r="H373" t="s">
        <v>888</v>
      </c>
      <c r="I373">
        <v>71</v>
      </c>
      <c r="J373">
        <v>68</v>
      </c>
      <c r="K373">
        <v>83</v>
      </c>
      <c r="L373">
        <v>81</v>
      </c>
      <c r="M373">
        <v>87</v>
      </c>
      <c r="N373">
        <v>46</v>
      </c>
      <c r="O373">
        <v>365</v>
      </c>
      <c r="P373">
        <v>73</v>
      </c>
      <c r="Q373" t="s">
        <v>40</v>
      </c>
      <c r="R373" t="s">
        <v>27</v>
      </c>
      <c r="S373">
        <v>2357</v>
      </c>
      <c r="T373" t="s">
        <v>48</v>
      </c>
      <c r="U373" t="str">
        <f t="shared" si="5"/>
        <v>Pass</v>
      </c>
    </row>
    <row r="374" spans="1:21">
      <c r="A374" t="s">
        <v>889</v>
      </c>
      <c r="B374" t="s">
        <v>96</v>
      </c>
      <c r="C374" t="s">
        <v>37</v>
      </c>
      <c r="D374">
        <v>6</v>
      </c>
      <c r="E374" t="s">
        <v>26</v>
      </c>
      <c r="F374">
        <v>12</v>
      </c>
      <c r="G374" t="s">
        <v>24</v>
      </c>
      <c r="H374" t="s">
        <v>890</v>
      </c>
      <c r="I374">
        <v>81</v>
      </c>
      <c r="J374">
        <v>77</v>
      </c>
      <c r="K374">
        <v>36</v>
      </c>
      <c r="L374">
        <v>53</v>
      </c>
      <c r="M374">
        <v>88</v>
      </c>
      <c r="N374">
        <v>48</v>
      </c>
      <c r="O374">
        <v>302</v>
      </c>
      <c r="P374">
        <v>60.4</v>
      </c>
      <c r="Q374" t="s">
        <v>26</v>
      </c>
      <c r="R374" t="s">
        <v>27</v>
      </c>
      <c r="S374">
        <v>2140</v>
      </c>
      <c r="T374" t="s">
        <v>42</v>
      </c>
      <c r="U374" t="str">
        <f t="shared" si="5"/>
        <v>Pass</v>
      </c>
    </row>
    <row r="375" spans="1:21">
      <c r="A375" t="s">
        <v>891</v>
      </c>
      <c r="B375" t="s">
        <v>302</v>
      </c>
      <c r="C375" t="s">
        <v>37</v>
      </c>
      <c r="D375">
        <v>5</v>
      </c>
      <c r="E375" t="s">
        <v>47</v>
      </c>
      <c r="F375">
        <v>9</v>
      </c>
      <c r="G375" t="s">
        <v>38</v>
      </c>
      <c r="H375" t="s">
        <v>892</v>
      </c>
      <c r="I375">
        <v>65</v>
      </c>
      <c r="J375">
        <v>88</v>
      </c>
      <c r="K375">
        <v>59</v>
      </c>
      <c r="L375">
        <v>54</v>
      </c>
      <c r="M375">
        <v>100</v>
      </c>
      <c r="N375">
        <v>96</v>
      </c>
      <c r="O375">
        <v>397</v>
      </c>
      <c r="P375">
        <v>79.400000000000006</v>
      </c>
      <c r="Q375" t="s">
        <v>40</v>
      </c>
      <c r="R375" t="s">
        <v>41</v>
      </c>
      <c r="S375">
        <v>3638</v>
      </c>
      <c r="T375" t="s">
        <v>48</v>
      </c>
      <c r="U375" t="str">
        <f t="shared" si="5"/>
        <v>Pass</v>
      </c>
    </row>
    <row r="376" spans="1:21">
      <c r="A376" t="s">
        <v>893</v>
      </c>
      <c r="B376" t="s">
        <v>879</v>
      </c>
      <c r="C376" t="s">
        <v>37</v>
      </c>
      <c r="D376">
        <v>7</v>
      </c>
      <c r="E376" t="s">
        <v>47</v>
      </c>
      <c r="F376">
        <v>12</v>
      </c>
      <c r="G376" t="s">
        <v>64</v>
      </c>
      <c r="H376" t="s">
        <v>894</v>
      </c>
      <c r="I376">
        <v>71</v>
      </c>
      <c r="J376">
        <v>53</v>
      </c>
      <c r="K376">
        <v>65</v>
      </c>
      <c r="L376">
        <v>47</v>
      </c>
      <c r="M376">
        <v>42</v>
      </c>
      <c r="N376">
        <v>54</v>
      </c>
      <c r="O376">
        <v>261</v>
      </c>
      <c r="P376">
        <v>52.2</v>
      </c>
      <c r="Q376" t="s">
        <v>31</v>
      </c>
      <c r="R376" t="s">
        <v>27</v>
      </c>
      <c r="S376">
        <v>2585</v>
      </c>
      <c r="T376" t="s">
        <v>48</v>
      </c>
      <c r="U376" t="str">
        <f t="shared" si="5"/>
        <v>Fail</v>
      </c>
    </row>
    <row r="377" spans="1:21">
      <c r="A377" t="s">
        <v>895</v>
      </c>
      <c r="B377" t="s">
        <v>896</v>
      </c>
      <c r="C377" t="s">
        <v>22</v>
      </c>
      <c r="D377">
        <v>3</v>
      </c>
      <c r="E377" t="s">
        <v>26</v>
      </c>
      <c r="F377">
        <v>9</v>
      </c>
      <c r="G377" t="s">
        <v>54</v>
      </c>
      <c r="H377" t="s">
        <v>251</v>
      </c>
      <c r="I377">
        <v>78</v>
      </c>
      <c r="J377">
        <v>83</v>
      </c>
      <c r="K377">
        <v>68</v>
      </c>
      <c r="L377">
        <v>42</v>
      </c>
      <c r="M377">
        <v>90</v>
      </c>
      <c r="N377">
        <v>53</v>
      </c>
      <c r="O377">
        <v>336</v>
      </c>
      <c r="P377">
        <v>67.2</v>
      </c>
      <c r="Q377" t="s">
        <v>26</v>
      </c>
      <c r="R377" t="s">
        <v>41</v>
      </c>
      <c r="S377">
        <v>4846</v>
      </c>
      <c r="T377" t="s">
        <v>70</v>
      </c>
      <c r="U377" t="str">
        <f t="shared" si="5"/>
        <v>Pass</v>
      </c>
    </row>
    <row r="378" spans="1:21">
      <c r="A378" t="s">
        <v>897</v>
      </c>
      <c r="B378" t="s">
        <v>81</v>
      </c>
      <c r="C378" t="s">
        <v>37</v>
      </c>
      <c r="D378">
        <v>11</v>
      </c>
      <c r="E378" t="s">
        <v>23</v>
      </c>
      <c r="F378">
        <v>15</v>
      </c>
      <c r="G378" t="s">
        <v>32</v>
      </c>
      <c r="H378" t="s">
        <v>898</v>
      </c>
      <c r="I378">
        <v>82</v>
      </c>
      <c r="J378">
        <v>83</v>
      </c>
      <c r="K378">
        <v>90</v>
      </c>
      <c r="L378">
        <v>86</v>
      </c>
      <c r="M378">
        <v>58</v>
      </c>
      <c r="N378">
        <v>81</v>
      </c>
      <c r="O378">
        <v>398</v>
      </c>
      <c r="P378">
        <v>79.599999999999994</v>
      </c>
      <c r="Q378" t="s">
        <v>40</v>
      </c>
      <c r="R378" t="s">
        <v>41</v>
      </c>
      <c r="S378">
        <v>1687</v>
      </c>
      <c r="T378" t="s">
        <v>66</v>
      </c>
      <c r="U378" t="str">
        <f t="shared" si="5"/>
        <v>Pass</v>
      </c>
    </row>
    <row r="379" spans="1:21">
      <c r="A379" t="s">
        <v>899</v>
      </c>
      <c r="B379" t="s">
        <v>900</v>
      </c>
      <c r="C379" t="s">
        <v>37</v>
      </c>
      <c r="D379">
        <v>6</v>
      </c>
      <c r="E379" t="s">
        <v>23</v>
      </c>
      <c r="F379">
        <v>11</v>
      </c>
      <c r="G379" t="s">
        <v>54</v>
      </c>
      <c r="H379" t="s">
        <v>901</v>
      </c>
      <c r="I379">
        <v>76</v>
      </c>
      <c r="J379">
        <v>79</v>
      </c>
      <c r="K379">
        <v>90</v>
      </c>
      <c r="L379">
        <v>66</v>
      </c>
      <c r="M379">
        <v>73</v>
      </c>
      <c r="N379">
        <v>54</v>
      </c>
      <c r="O379">
        <v>362</v>
      </c>
      <c r="P379">
        <v>72.400000000000006</v>
      </c>
      <c r="Q379" t="s">
        <v>40</v>
      </c>
      <c r="R379" t="s">
        <v>27</v>
      </c>
      <c r="S379">
        <v>2670</v>
      </c>
      <c r="T379" t="s">
        <v>48</v>
      </c>
      <c r="U379" t="str">
        <f t="shared" si="5"/>
        <v>Pass</v>
      </c>
    </row>
    <row r="380" spans="1:21">
      <c r="A380" t="s">
        <v>902</v>
      </c>
      <c r="B380" t="s">
        <v>326</v>
      </c>
      <c r="C380" t="s">
        <v>37</v>
      </c>
      <c r="D380">
        <v>7</v>
      </c>
      <c r="E380" t="s">
        <v>31</v>
      </c>
      <c r="F380">
        <v>12</v>
      </c>
      <c r="G380" t="s">
        <v>24</v>
      </c>
      <c r="H380" t="s">
        <v>903</v>
      </c>
      <c r="I380">
        <v>63</v>
      </c>
      <c r="J380">
        <v>44</v>
      </c>
      <c r="K380">
        <v>49</v>
      </c>
      <c r="L380">
        <v>63</v>
      </c>
      <c r="M380">
        <v>87</v>
      </c>
      <c r="N380">
        <v>63</v>
      </c>
      <c r="O380">
        <v>306</v>
      </c>
      <c r="P380">
        <v>61.2</v>
      </c>
      <c r="Q380" t="s">
        <v>26</v>
      </c>
      <c r="R380" t="s">
        <v>27</v>
      </c>
      <c r="S380">
        <v>3213</v>
      </c>
      <c r="T380" t="s">
        <v>42</v>
      </c>
      <c r="U380" t="str">
        <f t="shared" si="5"/>
        <v>Pass</v>
      </c>
    </row>
    <row r="381" spans="1:21">
      <c r="A381" t="s">
        <v>904</v>
      </c>
      <c r="B381" t="s">
        <v>544</v>
      </c>
      <c r="C381" t="s">
        <v>37</v>
      </c>
      <c r="D381">
        <v>9</v>
      </c>
      <c r="E381" t="s">
        <v>26</v>
      </c>
      <c r="F381">
        <v>13</v>
      </c>
      <c r="G381" t="s">
        <v>45</v>
      </c>
      <c r="H381" t="s">
        <v>905</v>
      </c>
      <c r="I381">
        <v>75</v>
      </c>
      <c r="J381">
        <v>73</v>
      </c>
      <c r="K381">
        <v>52</v>
      </c>
      <c r="L381">
        <v>56</v>
      </c>
      <c r="M381">
        <v>79</v>
      </c>
      <c r="N381">
        <v>35</v>
      </c>
      <c r="O381">
        <v>295</v>
      </c>
      <c r="P381">
        <v>59</v>
      </c>
      <c r="Q381" t="s">
        <v>31</v>
      </c>
      <c r="R381" t="s">
        <v>41</v>
      </c>
      <c r="S381">
        <v>2542</v>
      </c>
      <c r="T381" t="s">
        <v>28</v>
      </c>
      <c r="U381" t="str">
        <f t="shared" si="5"/>
        <v>Pass</v>
      </c>
    </row>
    <row r="382" spans="1:21">
      <c r="A382" t="s">
        <v>906</v>
      </c>
      <c r="B382" t="s">
        <v>448</v>
      </c>
      <c r="C382" t="s">
        <v>37</v>
      </c>
      <c r="D382">
        <v>5</v>
      </c>
      <c r="E382" t="s">
        <v>31</v>
      </c>
      <c r="F382">
        <v>9</v>
      </c>
      <c r="G382" t="s">
        <v>32</v>
      </c>
      <c r="H382" t="s">
        <v>907</v>
      </c>
      <c r="I382">
        <v>77</v>
      </c>
      <c r="J382">
        <v>70</v>
      </c>
      <c r="K382">
        <v>44</v>
      </c>
      <c r="L382">
        <v>60</v>
      </c>
      <c r="M382">
        <v>94</v>
      </c>
      <c r="N382">
        <v>80</v>
      </c>
      <c r="O382">
        <v>348</v>
      </c>
      <c r="P382">
        <v>69.599999999999994</v>
      </c>
      <c r="Q382" t="s">
        <v>26</v>
      </c>
      <c r="R382" t="s">
        <v>27</v>
      </c>
      <c r="S382">
        <v>1899</v>
      </c>
      <c r="T382" t="s">
        <v>70</v>
      </c>
      <c r="U382" t="str">
        <f t="shared" si="5"/>
        <v>Pass</v>
      </c>
    </row>
    <row r="383" spans="1:21">
      <c r="A383" t="s">
        <v>908</v>
      </c>
      <c r="B383" t="s">
        <v>96</v>
      </c>
      <c r="C383" t="s">
        <v>22</v>
      </c>
      <c r="D383">
        <v>5</v>
      </c>
      <c r="E383" t="s">
        <v>31</v>
      </c>
      <c r="F383">
        <v>10</v>
      </c>
      <c r="G383" t="s">
        <v>38</v>
      </c>
      <c r="H383" t="s">
        <v>909</v>
      </c>
      <c r="I383">
        <v>97</v>
      </c>
      <c r="J383">
        <v>73</v>
      </c>
      <c r="K383">
        <v>63</v>
      </c>
      <c r="L383">
        <v>35</v>
      </c>
      <c r="M383">
        <v>69</v>
      </c>
      <c r="N383">
        <v>68</v>
      </c>
      <c r="O383">
        <v>308</v>
      </c>
      <c r="P383">
        <v>61.6</v>
      </c>
      <c r="Q383" t="s">
        <v>26</v>
      </c>
      <c r="R383" t="s">
        <v>41</v>
      </c>
      <c r="S383">
        <v>4914</v>
      </c>
      <c r="T383" t="s">
        <v>42</v>
      </c>
      <c r="U383" t="str">
        <f t="shared" si="5"/>
        <v>Pass</v>
      </c>
    </row>
    <row r="384" spans="1:21">
      <c r="A384" t="s">
        <v>910</v>
      </c>
      <c r="B384" t="s">
        <v>439</v>
      </c>
      <c r="C384" t="s">
        <v>37</v>
      </c>
      <c r="D384">
        <v>1</v>
      </c>
      <c r="E384" t="s">
        <v>26</v>
      </c>
      <c r="F384">
        <v>6</v>
      </c>
      <c r="G384" t="s">
        <v>64</v>
      </c>
      <c r="H384" t="s">
        <v>911</v>
      </c>
      <c r="I384">
        <v>96</v>
      </c>
      <c r="J384">
        <v>95</v>
      </c>
      <c r="K384">
        <v>77</v>
      </c>
      <c r="L384">
        <v>78</v>
      </c>
      <c r="M384">
        <v>60</v>
      </c>
      <c r="N384">
        <v>72</v>
      </c>
      <c r="O384">
        <v>382</v>
      </c>
      <c r="P384">
        <v>76.400000000000006</v>
      </c>
      <c r="Q384" t="s">
        <v>40</v>
      </c>
      <c r="R384" t="s">
        <v>41</v>
      </c>
      <c r="S384">
        <v>4424</v>
      </c>
      <c r="T384" t="s">
        <v>48</v>
      </c>
      <c r="U384" t="str">
        <f t="shared" si="5"/>
        <v>Pass</v>
      </c>
    </row>
    <row r="385" spans="1:21">
      <c r="A385" t="s">
        <v>912</v>
      </c>
      <c r="B385" t="s">
        <v>913</v>
      </c>
      <c r="C385" t="s">
        <v>22</v>
      </c>
      <c r="D385">
        <v>5</v>
      </c>
      <c r="E385" t="s">
        <v>23</v>
      </c>
      <c r="F385">
        <v>11</v>
      </c>
      <c r="G385" t="s">
        <v>64</v>
      </c>
      <c r="H385" t="s">
        <v>914</v>
      </c>
      <c r="I385">
        <v>96</v>
      </c>
      <c r="J385">
        <v>78</v>
      </c>
      <c r="K385">
        <v>77</v>
      </c>
      <c r="L385">
        <v>82</v>
      </c>
      <c r="M385">
        <v>74</v>
      </c>
      <c r="N385">
        <v>60</v>
      </c>
      <c r="O385">
        <v>371</v>
      </c>
      <c r="P385">
        <v>74.2</v>
      </c>
      <c r="Q385" t="s">
        <v>40</v>
      </c>
      <c r="R385" t="s">
        <v>27</v>
      </c>
      <c r="S385">
        <v>2693</v>
      </c>
      <c r="T385" t="s">
        <v>70</v>
      </c>
      <c r="U385" t="str">
        <f t="shared" si="5"/>
        <v>Pass</v>
      </c>
    </row>
    <row r="386" spans="1:21">
      <c r="A386" t="s">
        <v>915</v>
      </c>
      <c r="B386" t="s">
        <v>208</v>
      </c>
      <c r="C386" t="s">
        <v>22</v>
      </c>
      <c r="D386">
        <v>2</v>
      </c>
      <c r="E386" t="s">
        <v>31</v>
      </c>
      <c r="F386">
        <v>6</v>
      </c>
      <c r="G386" t="s">
        <v>24</v>
      </c>
      <c r="H386" t="s">
        <v>794</v>
      </c>
      <c r="I386">
        <v>99</v>
      </c>
      <c r="J386">
        <v>41</v>
      </c>
      <c r="K386">
        <v>63</v>
      </c>
      <c r="L386">
        <v>67</v>
      </c>
      <c r="M386">
        <v>43</v>
      </c>
      <c r="N386">
        <v>47</v>
      </c>
      <c r="O386">
        <v>261</v>
      </c>
      <c r="P386">
        <v>52.2</v>
      </c>
      <c r="Q386" t="s">
        <v>31</v>
      </c>
      <c r="R386" t="s">
        <v>27</v>
      </c>
      <c r="S386">
        <v>4287</v>
      </c>
      <c r="T386" t="s">
        <v>42</v>
      </c>
      <c r="U386" t="str">
        <f t="shared" si="5"/>
        <v>Fail</v>
      </c>
    </row>
    <row r="387" spans="1:21">
      <c r="A387" t="s">
        <v>916</v>
      </c>
      <c r="B387" t="s">
        <v>196</v>
      </c>
      <c r="C387" t="s">
        <v>22</v>
      </c>
      <c r="D387">
        <v>4</v>
      </c>
      <c r="E387" t="s">
        <v>31</v>
      </c>
      <c r="F387">
        <v>9</v>
      </c>
      <c r="G387" t="s">
        <v>24</v>
      </c>
      <c r="H387" t="s">
        <v>917</v>
      </c>
      <c r="I387">
        <v>86</v>
      </c>
      <c r="J387">
        <v>93</v>
      </c>
      <c r="K387">
        <v>48</v>
      </c>
      <c r="L387">
        <v>82</v>
      </c>
      <c r="M387">
        <v>97</v>
      </c>
      <c r="N387">
        <v>56</v>
      </c>
      <c r="O387">
        <v>376</v>
      </c>
      <c r="P387">
        <v>75.2</v>
      </c>
      <c r="Q387" t="s">
        <v>40</v>
      </c>
      <c r="R387" t="s">
        <v>41</v>
      </c>
      <c r="S387">
        <v>2694</v>
      </c>
      <c r="T387" t="s">
        <v>70</v>
      </c>
      <c r="U387" t="str">
        <f t="shared" ref="U387:U450" si="6">IF(P387&gt;55,"Pass","Fail")</f>
        <v>Pass</v>
      </c>
    </row>
    <row r="388" spans="1:21">
      <c r="A388" t="s">
        <v>918</v>
      </c>
      <c r="B388" t="s">
        <v>525</v>
      </c>
      <c r="C388" t="s">
        <v>22</v>
      </c>
      <c r="D388">
        <v>12</v>
      </c>
      <c r="E388" t="s">
        <v>26</v>
      </c>
      <c r="F388">
        <v>18</v>
      </c>
      <c r="G388" t="s">
        <v>32</v>
      </c>
      <c r="H388" t="s">
        <v>919</v>
      </c>
      <c r="I388">
        <v>75</v>
      </c>
      <c r="J388">
        <v>68</v>
      </c>
      <c r="K388">
        <v>88</v>
      </c>
      <c r="L388">
        <v>38</v>
      </c>
      <c r="M388">
        <v>75</v>
      </c>
      <c r="N388">
        <v>55</v>
      </c>
      <c r="O388">
        <v>324</v>
      </c>
      <c r="P388">
        <v>64.8</v>
      </c>
      <c r="Q388" t="s">
        <v>26</v>
      </c>
      <c r="R388" t="s">
        <v>41</v>
      </c>
      <c r="S388">
        <v>2433</v>
      </c>
      <c r="T388" t="s">
        <v>28</v>
      </c>
      <c r="U388" t="str">
        <f t="shared" si="6"/>
        <v>Pass</v>
      </c>
    </row>
    <row r="389" spans="1:21">
      <c r="A389" t="s">
        <v>920</v>
      </c>
      <c r="B389" t="s">
        <v>87</v>
      </c>
      <c r="C389" t="s">
        <v>37</v>
      </c>
      <c r="D389">
        <v>3</v>
      </c>
      <c r="E389" t="s">
        <v>23</v>
      </c>
      <c r="F389">
        <v>8</v>
      </c>
      <c r="G389" t="s">
        <v>64</v>
      </c>
      <c r="H389" t="s">
        <v>921</v>
      </c>
      <c r="I389">
        <v>90</v>
      </c>
      <c r="J389">
        <v>47</v>
      </c>
      <c r="K389">
        <v>55</v>
      </c>
      <c r="L389">
        <v>66</v>
      </c>
      <c r="M389">
        <v>83</v>
      </c>
      <c r="N389">
        <v>37</v>
      </c>
      <c r="O389">
        <v>288</v>
      </c>
      <c r="P389">
        <v>57.6</v>
      </c>
      <c r="Q389" t="s">
        <v>31</v>
      </c>
      <c r="R389" t="s">
        <v>27</v>
      </c>
      <c r="S389">
        <v>3831</v>
      </c>
      <c r="T389" t="s">
        <v>48</v>
      </c>
      <c r="U389" t="str">
        <f t="shared" si="6"/>
        <v>Pass</v>
      </c>
    </row>
    <row r="390" spans="1:21">
      <c r="A390" t="s">
        <v>922</v>
      </c>
      <c r="B390" t="s">
        <v>900</v>
      </c>
      <c r="C390" t="s">
        <v>37</v>
      </c>
      <c r="D390">
        <v>3</v>
      </c>
      <c r="E390" t="s">
        <v>31</v>
      </c>
      <c r="F390">
        <v>8</v>
      </c>
      <c r="G390" t="s">
        <v>64</v>
      </c>
      <c r="H390" t="s">
        <v>220</v>
      </c>
      <c r="I390">
        <v>88</v>
      </c>
      <c r="J390">
        <v>37</v>
      </c>
      <c r="K390">
        <v>91</v>
      </c>
      <c r="L390">
        <v>68</v>
      </c>
      <c r="M390">
        <v>60</v>
      </c>
      <c r="N390">
        <v>61</v>
      </c>
      <c r="O390">
        <v>317</v>
      </c>
      <c r="P390">
        <v>63.4</v>
      </c>
      <c r="Q390" t="s">
        <v>26</v>
      </c>
      <c r="R390" t="s">
        <v>41</v>
      </c>
      <c r="S390">
        <v>3730</v>
      </c>
      <c r="T390" t="s">
        <v>70</v>
      </c>
      <c r="U390" t="str">
        <f t="shared" si="6"/>
        <v>Pass</v>
      </c>
    </row>
    <row r="391" spans="1:21">
      <c r="A391" t="s">
        <v>923</v>
      </c>
      <c r="B391" t="s">
        <v>819</v>
      </c>
      <c r="C391" t="s">
        <v>37</v>
      </c>
      <c r="D391">
        <v>11</v>
      </c>
      <c r="E391" t="s">
        <v>26</v>
      </c>
      <c r="F391">
        <v>16</v>
      </c>
      <c r="G391" t="s">
        <v>45</v>
      </c>
      <c r="H391" t="s">
        <v>924</v>
      </c>
      <c r="I391">
        <v>64</v>
      </c>
      <c r="J391">
        <v>79</v>
      </c>
      <c r="K391">
        <v>45</v>
      </c>
      <c r="L391">
        <v>92</v>
      </c>
      <c r="M391">
        <v>54</v>
      </c>
      <c r="N391">
        <v>63</v>
      </c>
      <c r="O391">
        <v>333</v>
      </c>
      <c r="P391">
        <v>66.599999999999994</v>
      </c>
      <c r="Q391" t="s">
        <v>26</v>
      </c>
      <c r="R391" t="s">
        <v>27</v>
      </c>
      <c r="S391">
        <v>4871</v>
      </c>
      <c r="T391" t="s">
        <v>66</v>
      </c>
      <c r="U391" t="str">
        <f t="shared" si="6"/>
        <v>Pass</v>
      </c>
    </row>
    <row r="392" spans="1:21">
      <c r="A392" t="s">
        <v>925</v>
      </c>
      <c r="B392" t="s">
        <v>926</v>
      </c>
      <c r="C392" t="s">
        <v>37</v>
      </c>
      <c r="D392">
        <v>2</v>
      </c>
      <c r="E392" t="s">
        <v>23</v>
      </c>
      <c r="F392">
        <v>7</v>
      </c>
      <c r="G392" t="s">
        <v>38</v>
      </c>
      <c r="H392" t="s">
        <v>927</v>
      </c>
      <c r="I392">
        <v>75</v>
      </c>
      <c r="J392">
        <v>96</v>
      </c>
      <c r="K392">
        <v>83</v>
      </c>
      <c r="L392">
        <v>94</v>
      </c>
      <c r="M392">
        <v>100</v>
      </c>
      <c r="N392">
        <v>55</v>
      </c>
      <c r="O392">
        <v>428</v>
      </c>
      <c r="P392">
        <v>85.6</v>
      </c>
      <c r="Q392" t="s">
        <v>47</v>
      </c>
      <c r="R392" t="s">
        <v>27</v>
      </c>
      <c r="S392">
        <v>2676</v>
      </c>
      <c r="T392" t="s">
        <v>34</v>
      </c>
      <c r="U392" t="str">
        <f t="shared" si="6"/>
        <v>Pass</v>
      </c>
    </row>
    <row r="393" spans="1:21">
      <c r="A393" t="s">
        <v>928</v>
      </c>
      <c r="B393" t="s">
        <v>280</v>
      </c>
      <c r="C393" t="s">
        <v>22</v>
      </c>
      <c r="D393">
        <v>12</v>
      </c>
      <c r="E393" t="s">
        <v>47</v>
      </c>
      <c r="F393">
        <v>17</v>
      </c>
      <c r="G393" t="s">
        <v>32</v>
      </c>
      <c r="H393" t="s">
        <v>929</v>
      </c>
      <c r="I393">
        <v>64</v>
      </c>
      <c r="J393">
        <v>69</v>
      </c>
      <c r="K393">
        <v>92</v>
      </c>
      <c r="L393">
        <v>72</v>
      </c>
      <c r="M393">
        <v>100</v>
      </c>
      <c r="N393">
        <v>100</v>
      </c>
      <c r="O393">
        <v>433</v>
      </c>
      <c r="P393">
        <v>86.6</v>
      </c>
      <c r="Q393" t="s">
        <v>47</v>
      </c>
      <c r="R393" t="s">
        <v>27</v>
      </c>
      <c r="S393">
        <v>3373</v>
      </c>
      <c r="T393" t="s">
        <v>42</v>
      </c>
      <c r="U393" t="str">
        <f t="shared" si="6"/>
        <v>Pass</v>
      </c>
    </row>
    <row r="394" spans="1:21">
      <c r="A394" t="s">
        <v>930</v>
      </c>
      <c r="B394" t="s">
        <v>193</v>
      </c>
      <c r="C394" t="s">
        <v>22</v>
      </c>
      <c r="D394">
        <v>5</v>
      </c>
      <c r="E394" t="s">
        <v>31</v>
      </c>
      <c r="F394">
        <v>9</v>
      </c>
      <c r="G394" t="s">
        <v>38</v>
      </c>
      <c r="H394" t="s">
        <v>266</v>
      </c>
      <c r="I394">
        <v>78</v>
      </c>
      <c r="J394">
        <v>64</v>
      </c>
      <c r="K394">
        <v>36</v>
      </c>
      <c r="L394">
        <v>49</v>
      </c>
      <c r="M394">
        <v>97</v>
      </c>
      <c r="N394">
        <v>66</v>
      </c>
      <c r="O394">
        <v>312</v>
      </c>
      <c r="P394">
        <v>62.4</v>
      </c>
      <c r="Q394" t="s">
        <v>26</v>
      </c>
      <c r="R394" t="s">
        <v>41</v>
      </c>
      <c r="S394">
        <v>3453</v>
      </c>
      <c r="T394" t="s">
        <v>42</v>
      </c>
      <c r="U394" t="str">
        <f t="shared" si="6"/>
        <v>Pass</v>
      </c>
    </row>
    <row r="395" spans="1:21">
      <c r="A395" t="s">
        <v>931</v>
      </c>
      <c r="B395" t="s">
        <v>359</v>
      </c>
      <c r="C395" t="s">
        <v>22</v>
      </c>
      <c r="D395">
        <v>4</v>
      </c>
      <c r="E395" t="s">
        <v>47</v>
      </c>
      <c r="F395">
        <v>10</v>
      </c>
      <c r="G395" t="s">
        <v>38</v>
      </c>
      <c r="H395" t="s">
        <v>932</v>
      </c>
      <c r="I395">
        <v>89</v>
      </c>
      <c r="J395">
        <v>95</v>
      </c>
      <c r="K395">
        <v>97</v>
      </c>
      <c r="L395">
        <v>59</v>
      </c>
      <c r="M395">
        <v>68</v>
      </c>
      <c r="N395">
        <v>94</v>
      </c>
      <c r="O395">
        <v>413</v>
      </c>
      <c r="P395">
        <v>82.6</v>
      </c>
      <c r="Q395" t="s">
        <v>47</v>
      </c>
      <c r="R395" t="s">
        <v>27</v>
      </c>
      <c r="S395">
        <v>2458</v>
      </c>
      <c r="T395" t="s">
        <v>66</v>
      </c>
      <c r="U395" t="str">
        <f t="shared" si="6"/>
        <v>Pass</v>
      </c>
    </row>
    <row r="396" spans="1:21">
      <c r="A396" t="s">
        <v>933</v>
      </c>
      <c r="B396" t="s">
        <v>53</v>
      </c>
      <c r="C396" t="s">
        <v>22</v>
      </c>
      <c r="D396">
        <v>1</v>
      </c>
      <c r="E396" t="s">
        <v>23</v>
      </c>
      <c r="F396">
        <v>7</v>
      </c>
      <c r="G396" t="s">
        <v>32</v>
      </c>
      <c r="H396" t="s">
        <v>934</v>
      </c>
      <c r="I396">
        <v>76</v>
      </c>
      <c r="J396">
        <v>77</v>
      </c>
      <c r="K396">
        <v>65</v>
      </c>
      <c r="L396">
        <v>100</v>
      </c>
      <c r="M396">
        <v>61</v>
      </c>
      <c r="N396">
        <v>43</v>
      </c>
      <c r="O396">
        <v>346</v>
      </c>
      <c r="P396">
        <v>69.2</v>
      </c>
      <c r="Q396" t="s">
        <v>26</v>
      </c>
      <c r="R396" t="s">
        <v>41</v>
      </c>
      <c r="S396">
        <v>3854</v>
      </c>
      <c r="T396" t="s">
        <v>28</v>
      </c>
      <c r="U396" t="str">
        <f t="shared" si="6"/>
        <v>Pass</v>
      </c>
    </row>
    <row r="397" spans="1:21">
      <c r="A397" t="s">
        <v>935</v>
      </c>
      <c r="B397" t="s">
        <v>75</v>
      </c>
      <c r="C397" t="s">
        <v>37</v>
      </c>
      <c r="D397">
        <v>9</v>
      </c>
      <c r="E397" t="s">
        <v>26</v>
      </c>
      <c r="F397">
        <v>13</v>
      </c>
      <c r="G397" t="s">
        <v>38</v>
      </c>
      <c r="H397" t="s">
        <v>936</v>
      </c>
      <c r="I397">
        <v>75</v>
      </c>
      <c r="J397">
        <v>62</v>
      </c>
      <c r="K397">
        <v>43</v>
      </c>
      <c r="L397">
        <v>85</v>
      </c>
      <c r="M397">
        <v>76</v>
      </c>
      <c r="N397">
        <v>100</v>
      </c>
      <c r="O397">
        <v>366</v>
      </c>
      <c r="P397">
        <v>73.2</v>
      </c>
      <c r="Q397" t="s">
        <v>40</v>
      </c>
      <c r="R397" t="s">
        <v>27</v>
      </c>
      <c r="S397">
        <v>3208</v>
      </c>
      <c r="T397" t="s">
        <v>34</v>
      </c>
      <c r="U397" t="str">
        <f t="shared" si="6"/>
        <v>Pass</v>
      </c>
    </row>
    <row r="398" spans="1:21">
      <c r="A398" t="s">
        <v>937</v>
      </c>
      <c r="B398" t="s">
        <v>461</v>
      </c>
      <c r="C398" t="s">
        <v>37</v>
      </c>
      <c r="D398">
        <v>11</v>
      </c>
      <c r="E398" t="s">
        <v>47</v>
      </c>
      <c r="F398">
        <v>16</v>
      </c>
      <c r="G398" t="s">
        <v>32</v>
      </c>
      <c r="H398" t="s">
        <v>424</v>
      </c>
      <c r="I398">
        <v>92</v>
      </c>
      <c r="J398">
        <v>61</v>
      </c>
      <c r="K398">
        <v>45</v>
      </c>
      <c r="L398">
        <v>91</v>
      </c>
      <c r="M398">
        <v>95</v>
      </c>
      <c r="N398">
        <v>80</v>
      </c>
      <c r="O398">
        <v>372</v>
      </c>
      <c r="P398">
        <v>74.400000000000006</v>
      </c>
      <c r="Q398" t="s">
        <v>40</v>
      </c>
      <c r="R398" t="s">
        <v>27</v>
      </c>
      <c r="S398">
        <v>3786</v>
      </c>
      <c r="T398" t="s">
        <v>48</v>
      </c>
      <c r="U398" t="str">
        <f t="shared" si="6"/>
        <v>Pass</v>
      </c>
    </row>
    <row r="399" spans="1:21">
      <c r="A399" t="s">
        <v>938</v>
      </c>
      <c r="B399" t="s">
        <v>295</v>
      </c>
      <c r="C399" t="s">
        <v>22</v>
      </c>
      <c r="D399">
        <v>12</v>
      </c>
      <c r="E399" t="s">
        <v>23</v>
      </c>
      <c r="F399">
        <v>16</v>
      </c>
      <c r="G399" t="s">
        <v>32</v>
      </c>
      <c r="H399" t="s">
        <v>939</v>
      </c>
      <c r="I399">
        <v>67</v>
      </c>
      <c r="J399">
        <v>63</v>
      </c>
      <c r="K399">
        <v>36</v>
      </c>
      <c r="L399">
        <v>72</v>
      </c>
      <c r="M399">
        <v>56</v>
      </c>
      <c r="N399">
        <v>78</v>
      </c>
      <c r="O399">
        <v>305</v>
      </c>
      <c r="P399">
        <v>61</v>
      </c>
      <c r="Q399" t="s">
        <v>26</v>
      </c>
      <c r="R399" t="s">
        <v>27</v>
      </c>
      <c r="S399">
        <v>3612</v>
      </c>
      <c r="T399" t="s">
        <v>70</v>
      </c>
      <c r="U399" t="str">
        <f t="shared" si="6"/>
        <v>Pass</v>
      </c>
    </row>
    <row r="400" spans="1:21">
      <c r="A400" t="s">
        <v>940</v>
      </c>
      <c r="B400" t="s">
        <v>84</v>
      </c>
      <c r="C400" t="s">
        <v>37</v>
      </c>
      <c r="D400">
        <v>11</v>
      </c>
      <c r="E400" t="s">
        <v>26</v>
      </c>
      <c r="F400">
        <v>16</v>
      </c>
      <c r="G400" t="s">
        <v>38</v>
      </c>
      <c r="H400" t="s">
        <v>941</v>
      </c>
      <c r="I400">
        <v>69</v>
      </c>
      <c r="J400">
        <v>38</v>
      </c>
      <c r="K400">
        <v>85</v>
      </c>
      <c r="L400">
        <v>97</v>
      </c>
      <c r="M400">
        <v>89</v>
      </c>
      <c r="N400">
        <v>84</v>
      </c>
      <c r="O400">
        <v>393</v>
      </c>
      <c r="P400">
        <v>78.599999999999994</v>
      </c>
      <c r="Q400" t="s">
        <v>40</v>
      </c>
      <c r="R400" t="s">
        <v>27</v>
      </c>
      <c r="S400">
        <v>3273</v>
      </c>
      <c r="T400" t="s">
        <v>70</v>
      </c>
      <c r="U400" t="str">
        <f t="shared" si="6"/>
        <v>Pass</v>
      </c>
    </row>
    <row r="401" spans="1:21">
      <c r="A401" t="s">
        <v>942</v>
      </c>
      <c r="B401" t="s">
        <v>110</v>
      </c>
      <c r="C401" t="s">
        <v>37</v>
      </c>
      <c r="D401">
        <v>10</v>
      </c>
      <c r="E401" t="s">
        <v>31</v>
      </c>
      <c r="F401">
        <v>14</v>
      </c>
      <c r="G401" t="s">
        <v>64</v>
      </c>
      <c r="H401" t="s">
        <v>943</v>
      </c>
      <c r="I401">
        <v>95</v>
      </c>
      <c r="J401">
        <v>67</v>
      </c>
      <c r="K401">
        <v>36</v>
      </c>
      <c r="L401">
        <v>75</v>
      </c>
      <c r="M401">
        <v>87</v>
      </c>
      <c r="N401">
        <v>83</v>
      </c>
      <c r="O401">
        <v>348</v>
      </c>
      <c r="P401">
        <v>69.599999999999994</v>
      </c>
      <c r="Q401" t="s">
        <v>26</v>
      </c>
      <c r="R401" t="s">
        <v>27</v>
      </c>
      <c r="S401">
        <v>2120</v>
      </c>
      <c r="T401" t="s">
        <v>66</v>
      </c>
      <c r="U401" t="str">
        <f t="shared" si="6"/>
        <v>Pass</v>
      </c>
    </row>
    <row r="402" spans="1:21">
      <c r="A402" t="s">
        <v>944</v>
      </c>
      <c r="B402" t="s">
        <v>193</v>
      </c>
      <c r="C402" t="s">
        <v>22</v>
      </c>
      <c r="D402">
        <v>5</v>
      </c>
      <c r="E402" t="s">
        <v>31</v>
      </c>
      <c r="F402">
        <v>11</v>
      </c>
      <c r="G402" t="s">
        <v>32</v>
      </c>
      <c r="H402" t="s">
        <v>945</v>
      </c>
      <c r="I402">
        <v>93</v>
      </c>
      <c r="J402">
        <v>100</v>
      </c>
      <c r="K402">
        <v>100</v>
      </c>
      <c r="L402">
        <v>47</v>
      </c>
      <c r="M402">
        <v>43</v>
      </c>
      <c r="N402">
        <v>40</v>
      </c>
      <c r="O402">
        <v>330</v>
      </c>
      <c r="P402">
        <v>66</v>
      </c>
      <c r="Q402" t="s">
        <v>26</v>
      </c>
      <c r="R402" t="s">
        <v>27</v>
      </c>
      <c r="S402">
        <v>1542</v>
      </c>
      <c r="T402" t="s">
        <v>48</v>
      </c>
      <c r="U402" t="str">
        <f t="shared" si="6"/>
        <v>Pass</v>
      </c>
    </row>
    <row r="403" spans="1:21">
      <c r="A403" t="s">
        <v>946</v>
      </c>
      <c r="B403" t="s">
        <v>591</v>
      </c>
      <c r="C403" t="s">
        <v>22</v>
      </c>
      <c r="D403">
        <v>11</v>
      </c>
      <c r="E403" t="s">
        <v>31</v>
      </c>
      <c r="F403">
        <v>16</v>
      </c>
      <c r="G403" t="s">
        <v>54</v>
      </c>
      <c r="H403" t="s">
        <v>947</v>
      </c>
      <c r="I403">
        <v>77</v>
      </c>
      <c r="J403">
        <v>87</v>
      </c>
      <c r="K403">
        <v>53</v>
      </c>
      <c r="L403">
        <v>35</v>
      </c>
      <c r="M403">
        <v>65</v>
      </c>
      <c r="N403">
        <v>84</v>
      </c>
      <c r="O403">
        <v>324</v>
      </c>
      <c r="P403">
        <v>64.8</v>
      </c>
      <c r="Q403" t="s">
        <v>26</v>
      </c>
      <c r="R403" t="s">
        <v>27</v>
      </c>
      <c r="S403">
        <v>3500</v>
      </c>
      <c r="T403" t="s">
        <v>42</v>
      </c>
      <c r="U403" t="str">
        <f t="shared" si="6"/>
        <v>Pass</v>
      </c>
    </row>
    <row r="404" spans="1:21">
      <c r="A404" t="s">
        <v>948</v>
      </c>
      <c r="B404" t="s">
        <v>748</v>
      </c>
      <c r="C404" t="s">
        <v>37</v>
      </c>
      <c r="D404">
        <v>8</v>
      </c>
      <c r="E404" t="s">
        <v>31</v>
      </c>
      <c r="F404">
        <v>13</v>
      </c>
      <c r="G404" t="s">
        <v>32</v>
      </c>
      <c r="H404" t="s">
        <v>949</v>
      </c>
      <c r="I404">
        <v>63</v>
      </c>
      <c r="J404">
        <v>63</v>
      </c>
      <c r="K404">
        <v>37</v>
      </c>
      <c r="L404">
        <v>81</v>
      </c>
      <c r="M404">
        <v>61</v>
      </c>
      <c r="N404">
        <v>70</v>
      </c>
      <c r="O404">
        <v>312</v>
      </c>
      <c r="P404">
        <v>62.4</v>
      </c>
      <c r="Q404" t="s">
        <v>26</v>
      </c>
      <c r="R404" t="s">
        <v>41</v>
      </c>
      <c r="S404">
        <v>4043</v>
      </c>
      <c r="T404" t="s">
        <v>66</v>
      </c>
      <c r="U404" t="str">
        <f t="shared" si="6"/>
        <v>Pass</v>
      </c>
    </row>
    <row r="405" spans="1:21">
      <c r="A405" t="s">
        <v>950</v>
      </c>
      <c r="B405" t="s">
        <v>256</v>
      </c>
      <c r="C405" t="s">
        <v>37</v>
      </c>
      <c r="D405">
        <v>7</v>
      </c>
      <c r="E405" t="s">
        <v>31</v>
      </c>
      <c r="F405">
        <v>12</v>
      </c>
      <c r="G405" t="s">
        <v>38</v>
      </c>
      <c r="H405" t="s">
        <v>951</v>
      </c>
      <c r="I405">
        <v>71</v>
      </c>
      <c r="J405">
        <v>72</v>
      </c>
      <c r="K405">
        <v>91</v>
      </c>
      <c r="L405">
        <v>76</v>
      </c>
      <c r="M405">
        <v>85</v>
      </c>
      <c r="N405">
        <v>39</v>
      </c>
      <c r="O405">
        <v>363</v>
      </c>
      <c r="P405">
        <v>72.599999999999994</v>
      </c>
      <c r="Q405" t="s">
        <v>40</v>
      </c>
      <c r="R405" t="s">
        <v>27</v>
      </c>
      <c r="S405">
        <v>4615</v>
      </c>
      <c r="T405" t="s">
        <v>66</v>
      </c>
      <c r="U405" t="str">
        <f t="shared" si="6"/>
        <v>Pass</v>
      </c>
    </row>
    <row r="406" spans="1:21">
      <c r="A406" t="s">
        <v>952</v>
      </c>
      <c r="B406" t="s">
        <v>53</v>
      </c>
      <c r="C406" t="s">
        <v>22</v>
      </c>
      <c r="D406">
        <v>3</v>
      </c>
      <c r="E406" t="s">
        <v>26</v>
      </c>
      <c r="F406">
        <v>9</v>
      </c>
      <c r="G406" t="s">
        <v>54</v>
      </c>
      <c r="H406" t="s">
        <v>953</v>
      </c>
      <c r="I406">
        <v>69</v>
      </c>
      <c r="J406">
        <v>61</v>
      </c>
      <c r="K406">
        <v>44</v>
      </c>
      <c r="L406">
        <v>52</v>
      </c>
      <c r="M406">
        <v>95</v>
      </c>
      <c r="N406">
        <v>75</v>
      </c>
      <c r="O406">
        <v>327</v>
      </c>
      <c r="P406">
        <v>65.400000000000006</v>
      </c>
      <c r="Q406" t="s">
        <v>26</v>
      </c>
      <c r="R406" t="s">
        <v>41</v>
      </c>
      <c r="S406">
        <v>2243</v>
      </c>
      <c r="T406" t="s">
        <v>34</v>
      </c>
      <c r="U406" t="str">
        <f t="shared" si="6"/>
        <v>Pass</v>
      </c>
    </row>
    <row r="407" spans="1:21">
      <c r="A407" t="s">
        <v>954</v>
      </c>
      <c r="B407" t="s">
        <v>386</v>
      </c>
      <c r="C407" t="s">
        <v>37</v>
      </c>
      <c r="D407">
        <v>11</v>
      </c>
      <c r="E407" t="s">
        <v>26</v>
      </c>
      <c r="F407">
        <v>17</v>
      </c>
      <c r="G407" t="s">
        <v>58</v>
      </c>
      <c r="H407" t="s">
        <v>176</v>
      </c>
      <c r="I407">
        <v>97</v>
      </c>
      <c r="J407">
        <v>57</v>
      </c>
      <c r="K407">
        <v>85</v>
      </c>
      <c r="L407">
        <v>58</v>
      </c>
      <c r="M407">
        <v>89</v>
      </c>
      <c r="N407">
        <v>40</v>
      </c>
      <c r="O407">
        <v>329</v>
      </c>
      <c r="P407">
        <v>65.8</v>
      </c>
      <c r="Q407" t="s">
        <v>26</v>
      </c>
      <c r="R407" t="s">
        <v>41</v>
      </c>
      <c r="S407">
        <v>2913</v>
      </c>
      <c r="T407" t="s">
        <v>28</v>
      </c>
      <c r="U407" t="str">
        <f t="shared" si="6"/>
        <v>Pass</v>
      </c>
    </row>
    <row r="408" spans="1:21">
      <c r="A408" t="s">
        <v>955</v>
      </c>
      <c r="B408" t="s">
        <v>50</v>
      </c>
      <c r="C408" t="s">
        <v>37</v>
      </c>
      <c r="D408">
        <v>2</v>
      </c>
      <c r="E408" t="s">
        <v>23</v>
      </c>
      <c r="F408">
        <v>8</v>
      </c>
      <c r="G408" t="s">
        <v>32</v>
      </c>
      <c r="H408" t="s">
        <v>956</v>
      </c>
      <c r="I408">
        <v>62</v>
      </c>
      <c r="J408">
        <v>99</v>
      </c>
      <c r="K408">
        <v>84</v>
      </c>
      <c r="L408">
        <v>49</v>
      </c>
      <c r="M408">
        <v>82</v>
      </c>
      <c r="N408">
        <v>73</v>
      </c>
      <c r="O408">
        <v>387</v>
      </c>
      <c r="P408">
        <v>77.400000000000006</v>
      </c>
      <c r="Q408" t="s">
        <v>40</v>
      </c>
      <c r="R408" t="s">
        <v>41</v>
      </c>
      <c r="S408">
        <v>2042</v>
      </c>
      <c r="T408" t="s">
        <v>48</v>
      </c>
      <c r="U408" t="str">
        <f t="shared" si="6"/>
        <v>Pass</v>
      </c>
    </row>
    <row r="409" spans="1:21">
      <c r="A409" t="s">
        <v>957</v>
      </c>
      <c r="B409" t="s">
        <v>226</v>
      </c>
      <c r="C409" t="s">
        <v>22</v>
      </c>
      <c r="D409">
        <v>8</v>
      </c>
      <c r="E409" t="s">
        <v>26</v>
      </c>
      <c r="F409">
        <v>12</v>
      </c>
      <c r="G409" t="s">
        <v>45</v>
      </c>
      <c r="H409" t="s">
        <v>958</v>
      </c>
      <c r="I409">
        <v>63</v>
      </c>
      <c r="J409">
        <v>67</v>
      </c>
      <c r="K409">
        <v>69</v>
      </c>
      <c r="L409">
        <v>72</v>
      </c>
      <c r="M409">
        <v>99</v>
      </c>
      <c r="N409">
        <v>54</v>
      </c>
      <c r="O409">
        <v>361</v>
      </c>
      <c r="P409">
        <v>72.2</v>
      </c>
      <c r="Q409" t="s">
        <v>40</v>
      </c>
      <c r="R409" t="s">
        <v>27</v>
      </c>
      <c r="S409">
        <v>4709</v>
      </c>
      <c r="T409" t="s">
        <v>28</v>
      </c>
      <c r="U409" t="str">
        <f t="shared" si="6"/>
        <v>Pass</v>
      </c>
    </row>
    <row r="410" spans="1:21">
      <c r="A410" t="s">
        <v>959</v>
      </c>
      <c r="B410" t="s">
        <v>160</v>
      </c>
      <c r="C410" t="s">
        <v>22</v>
      </c>
      <c r="D410">
        <v>12</v>
      </c>
      <c r="E410" t="s">
        <v>47</v>
      </c>
      <c r="F410">
        <v>18</v>
      </c>
      <c r="G410" t="s">
        <v>54</v>
      </c>
      <c r="H410" t="s">
        <v>105</v>
      </c>
      <c r="I410">
        <v>73</v>
      </c>
      <c r="J410">
        <v>52</v>
      </c>
      <c r="K410">
        <v>47</v>
      </c>
      <c r="L410">
        <v>50</v>
      </c>
      <c r="M410">
        <v>100</v>
      </c>
      <c r="N410">
        <v>57</v>
      </c>
      <c r="O410">
        <v>306</v>
      </c>
      <c r="P410">
        <v>61.2</v>
      </c>
      <c r="Q410" t="s">
        <v>26</v>
      </c>
      <c r="R410" t="s">
        <v>27</v>
      </c>
      <c r="S410">
        <v>4852</v>
      </c>
      <c r="T410" t="s">
        <v>70</v>
      </c>
      <c r="U410" t="str">
        <f t="shared" si="6"/>
        <v>Pass</v>
      </c>
    </row>
    <row r="411" spans="1:21">
      <c r="A411" t="s">
        <v>960</v>
      </c>
      <c r="B411" t="s">
        <v>493</v>
      </c>
      <c r="C411" t="s">
        <v>22</v>
      </c>
      <c r="D411">
        <v>1</v>
      </c>
      <c r="E411" t="s">
        <v>26</v>
      </c>
      <c r="F411">
        <v>6</v>
      </c>
      <c r="G411" t="s">
        <v>64</v>
      </c>
      <c r="H411" t="s">
        <v>961</v>
      </c>
      <c r="I411">
        <v>75</v>
      </c>
      <c r="J411">
        <v>49</v>
      </c>
      <c r="K411">
        <v>83</v>
      </c>
      <c r="L411">
        <v>54</v>
      </c>
      <c r="M411">
        <v>60</v>
      </c>
      <c r="N411">
        <v>86</v>
      </c>
      <c r="O411">
        <v>332</v>
      </c>
      <c r="P411">
        <v>66.400000000000006</v>
      </c>
      <c r="Q411" t="s">
        <v>26</v>
      </c>
      <c r="R411" t="s">
        <v>41</v>
      </c>
      <c r="S411">
        <v>1792</v>
      </c>
      <c r="T411" t="s">
        <v>28</v>
      </c>
      <c r="U411" t="str">
        <f t="shared" si="6"/>
        <v>Pass</v>
      </c>
    </row>
    <row r="412" spans="1:21">
      <c r="A412" t="s">
        <v>962</v>
      </c>
      <c r="B412" t="s">
        <v>735</v>
      </c>
      <c r="C412" t="s">
        <v>37</v>
      </c>
      <c r="D412">
        <v>10</v>
      </c>
      <c r="E412" t="s">
        <v>26</v>
      </c>
      <c r="F412">
        <v>16</v>
      </c>
      <c r="G412" t="s">
        <v>58</v>
      </c>
      <c r="H412" t="s">
        <v>963</v>
      </c>
      <c r="I412">
        <v>65</v>
      </c>
      <c r="J412">
        <v>38</v>
      </c>
      <c r="K412">
        <v>42</v>
      </c>
      <c r="L412">
        <v>65</v>
      </c>
      <c r="M412">
        <v>94</v>
      </c>
      <c r="N412">
        <v>55</v>
      </c>
      <c r="O412">
        <v>294</v>
      </c>
      <c r="P412">
        <v>58.8</v>
      </c>
      <c r="Q412" t="s">
        <v>31</v>
      </c>
      <c r="R412" t="s">
        <v>41</v>
      </c>
      <c r="S412">
        <v>3251</v>
      </c>
      <c r="T412" t="s">
        <v>34</v>
      </c>
      <c r="U412" t="str">
        <f t="shared" si="6"/>
        <v>Pass</v>
      </c>
    </row>
    <row r="413" spans="1:21">
      <c r="A413" t="s">
        <v>964</v>
      </c>
      <c r="B413" t="s">
        <v>343</v>
      </c>
      <c r="C413" t="s">
        <v>22</v>
      </c>
      <c r="D413">
        <v>5</v>
      </c>
      <c r="E413" t="s">
        <v>23</v>
      </c>
      <c r="F413">
        <v>9</v>
      </c>
      <c r="G413" t="s">
        <v>32</v>
      </c>
      <c r="H413" t="s">
        <v>965</v>
      </c>
      <c r="I413">
        <v>83</v>
      </c>
      <c r="J413">
        <v>85</v>
      </c>
      <c r="K413">
        <v>56</v>
      </c>
      <c r="L413">
        <v>73</v>
      </c>
      <c r="M413">
        <v>91</v>
      </c>
      <c r="N413">
        <v>58</v>
      </c>
      <c r="O413">
        <v>363</v>
      </c>
      <c r="P413">
        <v>72.599999999999994</v>
      </c>
      <c r="Q413" t="s">
        <v>40</v>
      </c>
      <c r="R413" t="s">
        <v>41</v>
      </c>
      <c r="S413">
        <v>1677</v>
      </c>
      <c r="T413" t="s">
        <v>70</v>
      </c>
      <c r="U413" t="str">
        <f t="shared" si="6"/>
        <v>Pass</v>
      </c>
    </row>
    <row r="414" spans="1:21">
      <c r="A414" t="s">
        <v>966</v>
      </c>
      <c r="B414" t="s">
        <v>123</v>
      </c>
      <c r="C414" t="s">
        <v>37</v>
      </c>
      <c r="D414">
        <v>12</v>
      </c>
      <c r="E414" t="s">
        <v>47</v>
      </c>
      <c r="F414">
        <v>18</v>
      </c>
      <c r="G414" t="s">
        <v>45</v>
      </c>
      <c r="H414" t="s">
        <v>699</v>
      </c>
      <c r="I414">
        <v>70</v>
      </c>
      <c r="J414">
        <v>72</v>
      </c>
      <c r="K414">
        <v>91</v>
      </c>
      <c r="L414">
        <v>42</v>
      </c>
      <c r="M414">
        <v>98</v>
      </c>
      <c r="N414">
        <v>74</v>
      </c>
      <c r="O414">
        <v>377</v>
      </c>
      <c r="P414">
        <v>75.400000000000006</v>
      </c>
      <c r="Q414" t="s">
        <v>40</v>
      </c>
      <c r="R414" t="s">
        <v>41</v>
      </c>
      <c r="S414">
        <v>4491</v>
      </c>
      <c r="T414" t="s">
        <v>66</v>
      </c>
      <c r="U414" t="str">
        <f t="shared" si="6"/>
        <v>Pass</v>
      </c>
    </row>
    <row r="415" spans="1:21">
      <c r="A415" t="s">
        <v>967</v>
      </c>
      <c r="B415" t="s">
        <v>555</v>
      </c>
      <c r="C415" t="s">
        <v>22</v>
      </c>
      <c r="D415">
        <v>3</v>
      </c>
      <c r="E415" t="s">
        <v>31</v>
      </c>
      <c r="F415">
        <v>8</v>
      </c>
      <c r="G415" t="s">
        <v>24</v>
      </c>
      <c r="H415" t="s">
        <v>968</v>
      </c>
      <c r="I415">
        <v>96</v>
      </c>
      <c r="J415">
        <v>46</v>
      </c>
      <c r="K415">
        <v>96</v>
      </c>
      <c r="L415">
        <v>79</v>
      </c>
      <c r="M415">
        <v>57</v>
      </c>
      <c r="N415">
        <v>72</v>
      </c>
      <c r="O415">
        <v>350</v>
      </c>
      <c r="P415">
        <v>70</v>
      </c>
      <c r="Q415" t="s">
        <v>40</v>
      </c>
      <c r="R415" t="s">
        <v>41</v>
      </c>
      <c r="S415">
        <v>1804</v>
      </c>
      <c r="T415" t="s">
        <v>48</v>
      </c>
      <c r="U415" t="str">
        <f t="shared" si="6"/>
        <v>Pass</v>
      </c>
    </row>
    <row r="416" spans="1:21">
      <c r="A416" t="s">
        <v>969</v>
      </c>
      <c r="B416" t="s">
        <v>113</v>
      </c>
      <c r="C416" t="s">
        <v>22</v>
      </c>
      <c r="D416">
        <v>6</v>
      </c>
      <c r="E416" t="s">
        <v>47</v>
      </c>
      <c r="F416">
        <v>11</v>
      </c>
      <c r="G416" t="s">
        <v>38</v>
      </c>
      <c r="H416" t="s">
        <v>970</v>
      </c>
      <c r="I416">
        <v>80</v>
      </c>
      <c r="J416">
        <v>58</v>
      </c>
      <c r="K416">
        <v>57</v>
      </c>
      <c r="L416">
        <v>91</v>
      </c>
      <c r="M416">
        <v>72</v>
      </c>
      <c r="N416">
        <v>100</v>
      </c>
      <c r="O416">
        <v>378</v>
      </c>
      <c r="P416">
        <v>75.599999999999994</v>
      </c>
      <c r="Q416" t="s">
        <v>40</v>
      </c>
      <c r="R416" t="s">
        <v>41</v>
      </c>
      <c r="S416">
        <v>4376</v>
      </c>
      <c r="T416" t="s">
        <v>66</v>
      </c>
      <c r="U416" t="str">
        <f t="shared" si="6"/>
        <v>Pass</v>
      </c>
    </row>
    <row r="417" spans="1:21">
      <c r="A417" t="s">
        <v>971</v>
      </c>
      <c r="B417" t="s">
        <v>900</v>
      </c>
      <c r="C417" t="s">
        <v>37</v>
      </c>
      <c r="D417">
        <v>10</v>
      </c>
      <c r="E417" t="s">
        <v>23</v>
      </c>
      <c r="F417">
        <v>14</v>
      </c>
      <c r="G417" t="s">
        <v>24</v>
      </c>
      <c r="H417" t="s">
        <v>972</v>
      </c>
      <c r="I417">
        <v>60</v>
      </c>
      <c r="J417">
        <v>96</v>
      </c>
      <c r="K417">
        <v>43</v>
      </c>
      <c r="L417">
        <v>88</v>
      </c>
      <c r="M417">
        <v>55</v>
      </c>
      <c r="N417">
        <v>69</v>
      </c>
      <c r="O417">
        <v>351</v>
      </c>
      <c r="P417">
        <v>70.2</v>
      </c>
      <c r="Q417" t="s">
        <v>40</v>
      </c>
      <c r="R417" t="s">
        <v>27</v>
      </c>
      <c r="S417">
        <v>4259</v>
      </c>
      <c r="T417" t="s">
        <v>48</v>
      </c>
      <c r="U417" t="str">
        <f t="shared" si="6"/>
        <v>Pass</v>
      </c>
    </row>
    <row r="418" spans="1:21">
      <c r="A418" t="s">
        <v>973</v>
      </c>
      <c r="B418" t="s">
        <v>184</v>
      </c>
      <c r="C418" t="s">
        <v>37</v>
      </c>
      <c r="D418">
        <v>1</v>
      </c>
      <c r="E418" t="s">
        <v>31</v>
      </c>
      <c r="F418">
        <v>7</v>
      </c>
      <c r="G418" t="s">
        <v>24</v>
      </c>
      <c r="H418" t="s">
        <v>974</v>
      </c>
      <c r="I418">
        <v>88</v>
      </c>
      <c r="J418">
        <v>100</v>
      </c>
      <c r="K418">
        <v>53</v>
      </c>
      <c r="L418">
        <v>46</v>
      </c>
      <c r="M418">
        <v>68</v>
      </c>
      <c r="N418">
        <v>59</v>
      </c>
      <c r="O418">
        <v>326</v>
      </c>
      <c r="P418">
        <v>65.2</v>
      </c>
      <c r="Q418" t="s">
        <v>26</v>
      </c>
      <c r="R418" t="s">
        <v>41</v>
      </c>
      <c r="S418">
        <v>3275</v>
      </c>
      <c r="T418" t="s">
        <v>66</v>
      </c>
      <c r="U418" t="str">
        <f t="shared" si="6"/>
        <v>Pass</v>
      </c>
    </row>
    <row r="419" spans="1:21">
      <c r="A419" t="s">
        <v>975</v>
      </c>
      <c r="B419" t="s">
        <v>205</v>
      </c>
      <c r="C419" t="s">
        <v>22</v>
      </c>
      <c r="D419">
        <v>3</v>
      </c>
      <c r="E419" t="s">
        <v>31</v>
      </c>
      <c r="F419">
        <v>9</v>
      </c>
      <c r="G419" t="s">
        <v>32</v>
      </c>
      <c r="H419" t="s">
        <v>976</v>
      </c>
      <c r="I419">
        <v>63</v>
      </c>
      <c r="J419">
        <v>65</v>
      </c>
      <c r="K419">
        <v>89</v>
      </c>
      <c r="L419">
        <v>41</v>
      </c>
      <c r="M419">
        <v>96</v>
      </c>
      <c r="N419">
        <v>74</v>
      </c>
      <c r="O419">
        <v>365</v>
      </c>
      <c r="P419">
        <v>73</v>
      </c>
      <c r="Q419" t="s">
        <v>40</v>
      </c>
      <c r="R419" t="s">
        <v>41</v>
      </c>
      <c r="S419">
        <v>4469</v>
      </c>
      <c r="T419" t="s">
        <v>34</v>
      </c>
      <c r="U419" t="str">
        <f t="shared" si="6"/>
        <v>Pass</v>
      </c>
    </row>
    <row r="420" spans="1:21">
      <c r="A420" t="s">
        <v>977</v>
      </c>
      <c r="B420" t="s">
        <v>978</v>
      </c>
      <c r="C420" t="s">
        <v>22</v>
      </c>
      <c r="D420">
        <v>2</v>
      </c>
      <c r="E420" t="s">
        <v>47</v>
      </c>
      <c r="F420">
        <v>7</v>
      </c>
      <c r="G420" t="s">
        <v>45</v>
      </c>
      <c r="H420" t="s">
        <v>979</v>
      </c>
      <c r="I420">
        <v>76</v>
      </c>
      <c r="J420">
        <v>49</v>
      </c>
      <c r="K420">
        <v>61</v>
      </c>
      <c r="L420">
        <v>97</v>
      </c>
      <c r="M420">
        <v>66</v>
      </c>
      <c r="N420">
        <v>37</v>
      </c>
      <c r="O420">
        <v>310</v>
      </c>
      <c r="P420">
        <v>62</v>
      </c>
      <c r="Q420" t="s">
        <v>26</v>
      </c>
      <c r="R420" t="s">
        <v>41</v>
      </c>
      <c r="S420">
        <v>2769</v>
      </c>
      <c r="T420" t="s">
        <v>66</v>
      </c>
      <c r="U420" t="str">
        <f t="shared" si="6"/>
        <v>Pass</v>
      </c>
    </row>
    <row r="421" spans="1:21">
      <c r="A421" t="s">
        <v>980</v>
      </c>
      <c r="B421" t="s">
        <v>118</v>
      </c>
      <c r="C421" t="s">
        <v>22</v>
      </c>
      <c r="D421">
        <v>7</v>
      </c>
      <c r="E421" t="s">
        <v>23</v>
      </c>
      <c r="F421">
        <v>12</v>
      </c>
      <c r="G421" t="s">
        <v>24</v>
      </c>
      <c r="H421" t="s">
        <v>540</v>
      </c>
      <c r="I421">
        <v>79</v>
      </c>
      <c r="J421">
        <v>82</v>
      </c>
      <c r="K421">
        <v>42</v>
      </c>
      <c r="L421">
        <v>65</v>
      </c>
      <c r="M421">
        <v>75</v>
      </c>
      <c r="N421">
        <v>95</v>
      </c>
      <c r="O421">
        <v>359</v>
      </c>
      <c r="P421">
        <v>71.8</v>
      </c>
      <c r="Q421" t="s">
        <v>40</v>
      </c>
      <c r="R421" t="s">
        <v>41</v>
      </c>
      <c r="S421">
        <v>3780</v>
      </c>
      <c r="T421" t="s">
        <v>28</v>
      </c>
      <c r="U421" t="str">
        <f t="shared" si="6"/>
        <v>Pass</v>
      </c>
    </row>
    <row r="422" spans="1:21">
      <c r="A422" t="s">
        <v>981</v>
      </c>
      <c r="B422" t="s">
        <v>982</v>
      </c>
      <c r="C422" t="s">
        <v>22</v>
      </c>
      <c r="D422">
        <v>11</v>
      </c>
      <c r="E422" t="s">
        <v>47</v>
      </c>
      <c r="F422">
        <v>16</v>
      </c>
      <c r="G422" t="s">
        <v>54</v>
      </c>
      <c r="H422" t="s">
        <v>983</v>
      </c>
      <c r="I422">
        <v>88</v>
      </c>
      <c r="J422">
        <v>67</v>
      </c>
      <c r="K422">
        <v>89</v>
      </c>
      <c r="L422">
        <v>61</v>
      </c>
      <c r="M422">
        <v>51</v>
      </c>
      <c r="N422">
        <v>93</v>
      </c>
      <c r="O422">
        <v>361</v>
      </c>
      <c r="P422">
        <v>72.2</v>
      </c>
      <c r="Q422" t="s">
        <v>40</v>
      </c>
      <c r="R422" t="s">
        <v>27</v>
      </c>
      <c r="S422">
        <v>4885</v>
      </c>
      <c r="T422" t="s">
        <v>48</v>
      </c>
      <c r="U422" t="str">
        <f t="shared" si="6"/>
        <v>Pass</v>
      </c>
    </row>
    <row r="423" spans="1:21">
      <c r="A423" t="s">
        <v>984</v>
      </c>
      <c r="B423" t="s">
        <v>714</v>
      </c>
      <c r="C423" t="s">
        <v>22</v>
      </c>
      <c r="D423">
        <v>5</v>
      </c>
      <c r="E423" t="s">
        <v>31</v>
      </c>
      <c r="F423">
        <v>11</v>
      </c>
      <c r="G423" t="s">
        <v>58</v>
      </c>
      <c r="H423" t="s">
        <v>985</v>
      </c>
      <c r="I423">
        <v>89</v>
      </c>
      <c r="J423">
        <v>81</v>
      </c>
      <c r="K423">
        <v>64</v>
      </c>
      <c r="L423">
        <v>57</v>
      </c>
      <c r="M423">
        <v>45</v>
      </c>
      <c r="N423">
        <v>98</v>
      </c>
      <c r="O423">
        <v>345</v>
      </c>
      <c r="P423">
        <v>69</v>
      </c>
      <c r="Q423" t="s">
        <v>26</v>
      </c>
      <c r="R423" t="s">
        <v>27</v>
      </c>
      <c r="S423">
        <v>2517</v>
      </c>
      <c r="T423" t="s">
        <v>66</v>
      </c>
      <c r="U423" t="str">
        <f t="shared" si="6"/>
        <v>Pass</v>
      </c>
    </row>
    <row r="424" spans="1:21">
      <c r="A424" t="s">
        <v>986</v>
      </c>
      <c r="B424" t="s">
        <v>614</v>
      </c>
      <c r="C424" t="s">
        <v>37</v>
      </c>
      <c r="D424">
        <v>9</v>
      </c>
      <c r="E424" t="s">
        <v>23</v>
      </c>
      <c r="F424">
        <v>14</v>
      </c>
      <c r="G424" t="s">
        <v>32</v>
      </c>
      <c r="H424" t="s">
        <v>987</v>
      </c>
      <c r="I424">
        <v>76</v>
      </c>
      <c r="J424">
        <v>70</v>
      </c>
      <c r="K424">
        <v>35</v>
      </c>
      <c r="L424">
        <v>88</v>
      </c>
      <c r="M424">
        <v>68</v>
      </c>
      <c r="N424">
        <v>99</v>
      </c>
      <c r="O424">
        <v>360</v>
      </c>
      <c r="P424">
        <v>72</v>
      </c>
      <c r="Q424" t="s">
        <v>40</v>
      </c>
      <c r="R424" t="s">
        <v>41</v>
      </c>
      <c r="S424">
        <v>4685</v>
      </c>
      <c r="T424" t="s">
        <v>48</v>
      </c>
      <c r="U424" t="str">
        <f t="shared" si="6"/>
        <v>Pass</v>
      </c>
    </row>
    <row r="425" spans="1:21">
      <c r="A425" t="s">
        <v>988</v>
      </c>
      <c r="B425" t="s">
        <v>586</v>
      </c>
      <c r="C425" t="s">
        <v>22</v>
      </c>
      <c r="D425">
        <v>1</v>
      </c>
      <c r="E425" t="s">
        <v>26</v>
      </c>
      <c r="F425">
        <v>6</v>
      </c>
      <c r="G425" t="s">
        <v>24</v>
      </c>
      <c r="H425" t="s">
        <v>989</v>
      </c>
      <c r="I425">
        <v>68</v>
      </c>
      <c r="J425">
        <v>66</v>
      </c>
      <c r="K425">
        <v>87</v>
      </c>
      <c r="L425">
        <v>60</v>
      </c>
      <c r="M425">
        <v>86</v>
      </c>
      <c r="N425">
        <v>65</v>
      </c>
      <c r="O425">
        <v>364</v>
      </c>
      <c r="P425">
        <v>72.8</v>
      </c>
      <c r="Q425" t="s">
        <v>40</v>
      </c>
      <c r="R425" t="s">
        <v>27</v>
      </c>
      <c r="S425">
        <v>3585</v>
      </c>
      <c r="T425" t="s">
        <v>70</v>
      </c>
      <c r="U425" t="str">
        <f t="shared" si="6"/>
        <v>Pass</v>
      </c>
    </row>
    <row r="426" spans="1:21">
      <c r="A426" t="s">
        <v>990</v>
      </c>
      <c r="B426" t="s">
        <v>292</v>
      </c>
      <c r="C426" t="s">
        <v>22</v>
      </c>
      <c r="D426">
        <v>6</v>
      </c>
      <c r="E426" t="s">
        <v>26</v>
      </c>
      <c r="F426">
        <v>10</v>
      </c>
      <c r="G426" t="s">
        <v>58</v>
      </c>
      <c r="H426" t="s">
        <v>991</v>
      </c>
      <c r="I426">
        <v>96</v>
      </c>
      <c r="J426">
        <v>37</v>
      </c>
      <c r="K426">
        <v>56</v>
      </c>
      <c r="L426">
        <v>67</v>
      </c>
      <c r="M426">
        <v>35</v>
      </c>
      <c r="N426">
        <v>66</v>
      </c>
      <c r="O426">
        <v>261</v>
      </c>
      <c r="P426">
        <v>52.2</v>
      </c>
      <c r="Q426" t="s">
        <v>31</v>
      </c>
      <c r="R426" t="s">
        <v>27</v>
      </c>
      <c r="S426">
        <v>4853</v>
      </c>
      <c r="T426" t="s">
        <v>42</v>
      </c>
      <c r="U426" t="str">
        <f t="shared" si="6"/>
        <v>Fail</v>
      </c>
    </row>
    <row r="427" spans="1:21">
      <c r="A427" t="s">
        <v>992</v>
      </c>
      <c r="B427" t="s">
        <v>134</v>
      </c>
      <c r="C427" t="s">
        <v>22</v>
      </c>
      <c r="D427">
        <v>2</v>
      </c>
      <c r="E427" t="s">
        <v>47</v>
      </c>
      <c r="F427">
        <v>7</v>
      </c>
      <c r="G427" t="s">
        <v>38</v>
      </c>
      <c r="H427" t="s">
        <v>313</v>
      </c>
      <c r="I427">
        <v>95</v>
      </c>
      <c r="J427">
        <v>86</v>
      </c>
      <c r="K427">
        <v>61</v>
      </c>
      <c r="L427">
        <v>72</v>
      </c>
      <c r="M427">
        <v>71</v>
      </c>
      <c r="N427">
        <v>75</v>
      </c>
      <c r="O427">
        <v>365</v>
      </c>
      <c r="P427">
        <v>73</v>
      </c>
      <c r="Q427" t="s">
        <v>40</v>
      </c>
      <c r="R427" t="s">
        <v>27</v>
      </c>
      <c r="S427">
        <v>1853</v>
      </c>
      <c r="T427" t="s">
        <v>70</v>
      </c>
      <c r="U427" t="str">
        <f t="shared" si="6"/>
        <v>Pass</v>
      </c>
    </row>
    <row r="428" spans="1:21">
      <c r="A428" t="s">
        <v>993</v>
      </c>
      <c r="B428" t="s">
        <v>777</v>
      </c>
      <c r="C428" t="s">
        <v>37</v>
      </c>
      <c r="D428">
        <v>8</v>
      </c>
      <c r="E428" t="s">
        <v>23</v>
      </c>
      <c r="F428">
        <v>12</v>
      </c>
      <c r="G428" t="s">
        <v>45</v>
      </c>
      <c r="H428" t="s">
        <v>994</v>
      </c>
      <c r="I428">
        <v>73</v>
      </c>
      <c r="J428">
        <v>100</v>
      </c>
      <c r="K428">
        <v>85</v>
      </c>
      <c r="L428">
        <v>79</v>
      </c>
      <c r="M428">
        <v>50</v>
      </c>
      <c r="N428">
        <v>63</v>
      </c>
      <c r="O428">
        <v>377</v>
      </c>
      <c r="P428">
        <v>75.400000000000006</v>
      </c>
      <c r="Q428" t="s">
        <v>40</v>
      </c>
      <c r="R428" t="s">
        <v>27</v>
      </c>
      <c r="S428">
        <v>4510</v>
      </c>
      <c r="T428" t="s">
        <v>70</v>
      </c>
      <c r="U428" t="str">
        <f t="shared" si="6"/>
        <v>Pass</v>
      </c>
    </row>
    <row r="429" spans="1:21">
      <c r="A429" t="s">
        <v>995</v>
      </c>
      <c r="B429" t="s">
        <v>579</v>
      </c>
      <c r="C429" t="s">
        <v>22</v>
      </c>
      <c r="D429">
        <v>12</v>
      </c>
      <c r="E429" t="s">
        <v>26</v>
      </c>
      <c r="F429">
        <v>18</v>
      </c>
      <c r="G429" t="s">
        <v>64</v>
      </c>
      <c r="H429" t="s">
        <v>422</v>
      </c>
      <c r="I429">
        <v>87</v>
      </c>
      <c r="J429">
        <v>86</v>
      </c>
      <c r="K429">
        <v>38</v>
      </c>
      <c r="L429">
        <v>91</v>
      </c>
      <c r="M429">
        <v>53</v>
      </c>
      <c r="N429">
        <v>45</v>
      </c>
      <c r="O429">
        <v>313</v>
      </c>
      <c r="P429">
        <v>62.6</v>
      </c>
      <c r="Q429" t="s">
        <v>26</v>
      </c>
      <c r="R429" t="s">
        <v>41</v>
      </c>
      <c r="S429">
        <v>3355</v>
      </c>
      <c r="T429" t="s">
        <v>70</v>
      </c>
      <c r="U429" t="str">
        <f t="shared" si="6"/>
        <v>Pass</v>
      </c>
    </row>
    <row r="430" spans="1:21">
      <c r="A430" t="s">
        <v>996</v>
      </c>
      <c r="B430" t="s">
        <v>236</v>
      </c>
      <c r="C430" t="s">
        <v>22</v>
      </c>
      <c r="D430">
        <v>3</v>
      </c>
      <c r="E430" t="s">
        <v>47</v>
      </c>
      <c r="F430">
        <v>7</v>
      </c>
      <c r="G430" t="s">
        <v>45</v>
      </c>
      <c r="H430" t="s">
        <v>997</v>
      </c>
      <c r="I430">
        <v>77</v>
      </c>
      <c r="J430">
        <v>56</v>
      </c>
      <c r="K430">
        <v>93</v>
      </c>
      <c r="L430">
        <v>58</v>
      </c>
      <c r="M430">
        <v>74</v>
      </c>
      <c r="N430">
        <v>42</v>
      </c>
      <c r="O430">
        <v>323</v>
      </c>
      <c r="P430">
        <v>64.599999999999994</v>
      </c>
      <c r="Q430" t="s">
        <v>26</v>
      </c>
      <c r="R430" t="s">
        <v>27</v>
      </c>
      <c r="S430">
        <v>2863</v>
      </c>
      <c r="T430" t="s">
        <v>48</v>
      </c>
      <c r="U430" t="str">
        <f t="shared" si="6"/>
        <v>Pass</v>
      </c>
    </row>
    <row r="431" spans="1:21">
      <c r="A431" t="s">
        <v>998</v>
      </c>
      <c r="B431" t="s">
        <v>242</v>
      </c>
      <c r="C431" t="s">
        <v>37</v>
      </c>
      <c r="D431">
        <v>3</v>
      </c>
      <c r="E431" t="s">
        <v>26</v>
      </c>
      <c r="F431">
        <v>9</v>
      </c>
      <c r="G431" t="s">
        <v>45</v>
      </c>
      <c r="H431" t="s">
        <v>999</v>
      </c>
      <c r="I431">
        <v>88</v>
      </c>
      <c r="J431">
        <v>41</v>
      </c>
      <c r="K431">
        <v>37</v>
      </c>
      <c r="L431">
        <v>43</v>
      </c>
      <c r="M431">
        <v>96</v>
      </c>
      <c r="N431">
        <v>93</v>
      </c>
      <c r="O431">
        <v>310</v>
      </c>
      <c r="P431">
        <v>62</v>
      </c>
      <c r="Q431" t="s">
        <v>26</v>
      </c>
      <c r="R431" t="s">
        <v>27</v>
      </c>
      <c r="S431">
        <v>4386</v>
      </c>
      <c r="T431" t="s">
        <v>70</v>
      </c>
      <c r="U431" t="str">
        <f t="shared" si="6"/>
        <v>Pass</v>
      </c>
    </row>
    <row r="432" spans="1:21">
      <c r="A432" t="s">
        <v>1000</v>
      </c>
      <c r="B432" t="s">
        <v>145</v>
      </c>
      <c r="C432" t="s">
        <v>37</v>
      </c>
      <c r="D432">
        <v>12</v>
      </c>
      <c r="E432" t="s">
        <v>26</v>
      </c>
      <c r="F432">
        <v>18</v>
      </c>
      <c r="G432" t="s">
        <v>54</v>
      </c>
      <c r="H432" t="s">
        <v>1001</v>
      </c>
      <c r="I432">
        <v>66</v>
      </c>
      <c r="J432">
        <v>50</v>
      </c>
      <c r="K432">
        <v>100</v>
      </c>
      <c r="L432">
        <v>67</v>
      </c>
      <c r="M432">
        <v>41</v>
      </c>
      <c r="N432">
        <v>38</v>
      </c>
      <c r="O432">
        <v>296</v>
      </c>
      <c r="P432">
        <v>59.2</v>
      </c>
      <c r="Q432" t="s">
        <v>31</v>
      </c>
      <c r="R432" t="s">
        <v>41</v>
      </c>
      <c r="S432">
        <v>2600</v>
      </c>
      <c r="T432" t="s">
        <v>70</v>
      </c>
      <c r="U432" t="str">
        <f t="shared" si="6"/>
        <v>Pass</v>
      </c>
    </row>
    <row r="433" spans="1:21">
      <c r="A433" t="s">
        <v>1002</v>
      </c>
      <c r="B433" t="s">
        <v>378</v>
      </c>
      <c r="C433" t="s">
        <v>37</v>
      </c>
      <c r="D433">
        <v>11</v>
      </c>
      <c r="E433" t="s">
        <v>47</v>
      </c>
      <c r="F433">
        <v>17</v>
      </c>
      <c r="G433" t="s">
        <v>58</v>
      </c>
      <c r="H433" t="s">
        <v>1003</v>
      </c>
      <c r="I433">
        <v>96</v>
      </c>
      <c r="J433">
        <v>54</v>
      </c>
      <c r="K433">
        <v>96</v>
      </c>
      <c r="L433">
        <v>92</v>
      </c>
      <c r="M433">
        <v>71</v>
      </c>
      <c r="N433">
        <v>97</v>
      </c>
      <c r="O433">
        <v>410</v>
      </c>
      <c r="P433">
        <v>82</v>
      </c>
      <c r="Q433" t="s">
        <v>47</v>
      </c>
      <c r="R433" t="s">
        <v>27</v>
      </c>
      <c r="S433">
        <v>2028</v>
      </c>
      <c r="T433" t="s">
        <v>34</v>
      </c>
      <c r="U433" t="str">
        <f t="shared" si="6"/>
        <v>Pass</v>
      </c>
    </row>
    <row r="434" spans="1:21">
      <c r="A434" t="s">
        <v>1004</v>
      </c>
      <c r="B434" t="s">
        <v>256</v>
      </c>
      <c r="C434" t="s">
        <v>37</v>
      </c>
      <c r="D434">
        <v>7</v>
      </c>
      <c r="E434" t="s">
        <v>47</v>
      </c>
      <c r="F434">
        <v>12</v>
      </c>
      <c r="G434" t="s">
        <v>45</v>
      </c>
      <c r="H434" t="s">
        <v>1005</v>
      </c>
      <c r="I434">
        <v>68</v>
      </c>
      <c r="J434">
        <v>93</v>
      </c>
      <c r="K434">
        <v>82</v>
      </c>
      <c r="L434">
        <v>79</v>
      </c>
      <c r="M434">
        <v>55</v>
      </c>
      <c r="N434">
        <v>71</v>
      </c>
      <c r="O434">
        <v>380</v>
      </c>
      <c r="P434">
        <v>76</v>
      </c>
      <c r="Q434" t="s">
        <v>40</v>
      </c>
      <c r="R434" t="s">
        <v>41</v>
      </c>
      <c r="S434">
        <v>2242</v>
      </c>
      <c r="T434" t="s">
        <v>70</v>
      </c>
      <c r="U434" t="str">
        <f t="shared" si="6"/>
        <v>Pass</v>
      </c>
    </row>
    <row r="435" spans="1:21">
      <c r="A435" t="s">
        <v>1006</v>
      </c>
      <c r="B435" t="s">
        <v>508</v>
      </c>
      <c r="C435" t="s">
        <v>22</v>
      </c>
      <c r="D435">
        <v>10</v>
      </c>
      <c r="E435" t="s">
        <v>47</v>
      </c>
      <c r="F435">
        <v>14</v>
      </c>
      <c r="G435" t="s">
        <v>64</v>
      </c>
      <c r="H435" t="s">
        <v>1007</v>
      </c>
      <c r="I435">
        <v>72</v>
      </c>
      <c r="J435">
        <v>90</v>
      </c>
      <c r="K435">
        <v>74</v>
      </c>
      <c r="L435">
        <v>83</v>
      </c>
      <c r="M435">
        <v>97</v>
      </c>
      <c r="N435">
        <v>57</v>
      </c>
      <c r="O435">
        <v>401</v>
      </c>
      <c r="P435">
        <v>80.2</v>
      </c>
      <c r="Q435" t="s">
        <v>47</v>
      </c>
      <c r="R435" t="s">
        <v>41</v>
      </c>
      <c r="S435">
        <v>3052</v>
      </c>
      <c r="T435" t="s">
        <v>42</v>
      </c>
      <c r="U435" t="str">
        <f t="shared" si="6"/>
        <v>Pass</v>
      </c>
    </row>
    <row r="436" spans="1:21">
      <c r="A436" t="s">
        <v>1008</v>
      </c>
      <c r="B436" t="s">
        <v>84</v>
      </c>
      <c r="C436" t="s">
        <v>37</v>
      </c>
      <c r="D436">
        <v>12</v>
      </c>
      <c r="E436" t="s">
        <v>31</v>
      </c>
      <c r="F436">
        <v>16</v>
      </c>
      <c r="G436" t="s">
        <v>58</v>
      </c>
      <c r="H436" t="s">
        <v>1009</v>
      </c>
      <c r="I436">
        <v>87</v>
      </c>
      <c r="J436">
        <v>82</v>
      </c>
      <c r="K436">
        <v>40</v>
      </c>
      <c r="L436">
        <v>37</v>
      </c>
      <c r="M436">
        <v>58</v>
      </c>
      <c r="N436">
        <v>47</v>
      </c>
      <c r="O436">
        <v>264</v>
      </c>
      <c r="P436">
        <v>52.8</v>
      </c>
      <c r="Q436" t="s">
        <v>31</v>
      </c>
      <c r="R436" t="s">
        <v>41</v>
      </c>
      <c r="S436">
        <v>2610</v>
      </c>
      <c r="T436" t="s">
        <v>70</v>
      </c>
      <c r="U436" t="str">
        <f t="shared" si="6"/>
        <v>Fail</v>
      </c>
    </row>
    <row r="437" spans="1:21">
      <c r="A437" t="s">
        <v>1010</v>
      </c>
      <c r="B437" t="s">
        <v>518</v>
      </c>
      <c r="C437" t="s">
        <v>37</v>
      </c>
      <c r="D437">
        <v>6</v>
      </c>
      <c r="E437" t="s">
        <v>23</v>
      </c>
      <c r="F437">
        <v>10</v>
      </c>
      <c r="G437" t="s">
        <v>32</v>
      </c>
      <c r="H437" t="s">
        <v>1011</v>
      </c>
      <c r="I437">
        <v>65</v>
      </c>
      <c r="J437">
        <v>60</v>
      </c>
      <c r="K437">
        <v>100</v>
      </c>
      <c r="L437">
        <v>70</v>
      </c>
      <c r="M437">
        <v>40</v>
      </c>
      <c r="N437">
        <v>80</v>
      </c>
      <c r="O437">
        <v>350</v>
      </c>
      <c r="P437">
        <v>70</v>
      </c>
      <c r="Q437" t="s">
        <v>40</v>
      </c>
      <c r="R437" t="s">
        <v>27</v>
      </c>
      <c r="S437">
        <v>3734</v>
      </c>
      <c r="T437" t="s">
        <v>66</v>
      </c>
      <c r="U437" t="str">
        <f t="shared" si="6"/>
        <v>Pass</v>
      </c>
    </row>
    <row r="438" spans="1:21">
      <c r="A438" t="s">
        <v>1012</v>
      </c>
      <c r="B438" t="s">
        <v>134</v>
      </c>
      <c r="C438" t="s">
        <v>22</v>
      </c>
      <c r="D438">
        <v>4</v>
      </c>
      <c r="E438" t="s">
        <v>47</v>
      </c>
      <c r="F438">
        <v>8</v>
      </c>
      <c r="G438" t="s">
        <v>45</v>
      </c>
      <c r="H438" t="s">
        <v>619</v>
      </c>
      <c r="I438">
        <v>76</v>
      </c>
      <c r="J438">
        <v>67</v>
      </c>
      <c r="K438">
        <v>92</v>
      </c>
      <c r="L438">
        <v>68</v>
      </c>
      <c r="M438">
        <v>71</v>
      </c>
      <c r="N438">
        <v>66</v>
      </c>
      <c r="O438">
        <v>364</v>
      </c>
      <c r="P438">
        <v>72.8</v>
      </c>
      <c r="Q438" t="s">
        <v>40</v>
      </c>
      <c r="R438" t="s">
        <v>41</v>
      </c>
      <c r="S438">
        <v>3836</v>
      </c>
      <c r="T438" t="s">
        <v>70</v>
      </c>
      <c r="U438" t="str">
        <f t="shared" si="6"/>
        <v>Pass</v>
      </c>
    </row>
    <row r="439" spans="1:21">
      <c r="A439" t="s">
        <v>1013</v>
      </c>
      <c r="B439" t="s">
        <v>292</v>
      </c>
      <c r="C439" t="s">
        <v>37</v>
      </c>
      <c r="D439">
        <v>10</v>
      </c>
      <c r="E439" t="s">
        <v>47</v>
      </c>
      <c r="F439">
        <v>14</v>
      </c>
      <c r="G439" t="s">
        <v>24</v>
      </c>
      <c r="H439" t="s">
        <v>1014</v>
      </c>
      <c r="I439">
        <v>95</v>
      </c>
      <c r="J439">
        <v>79</v>
      </c>
      <c r="K439">
        <v>38</v>
      </c>
      <c r="L439">
        <v>35</v>
      </c>
      <c r="M439">
        <v>85</v>
      </c>
      <c r="N439">
        <v>49</v>
      </c>
      <c r="O439">
        <v>286</v>
      </c>
      <c r="P439">
        <v>57.2</v>
      </c>
      <c r="Q439" t="s">
        <v>31</v>
      </c>
      <c r="R439" t="s">
        <v>41</v>
      </c>
      <c r="S439">
        <v>3738</v>
      </c>
      <c r="T439" t="s">
        <v>48</v>
      </c>
      <c r="U439" t="str">
        <f t="shared" si="6"/>
        <v>Pass</v>
      </c>
    </row>
    <row r="440" spans="1:21">
      <c r="A440" t="s">
        <v>1015</v>
      </c>
      <c r="B440" t="s">
        <v>900</v>
      </c>
      <c r="C440" t="s">
        <v>22</v>
      </c>
      <c r="D440">
        <v>12</v>
      </c>
      <c r="E440" t="s">
        <v>26</v>
      </c>
      <c r="F440">
        <v>17</v>
      </c>
      <c r="G440" t="s">
        <v>24</v>
      </c>
      <c r="H440" t="s">
        <v>1016</v>
      </c>
      <c r="I440">
        <v>92</v>
      </c>
      <c r="J440">
        <v>64</v>
      </c>
      <c r="K440">
        <v>64</v>
      </c>
      <c r="L440">
        <v>97</v>
      </c>
      <c r="M440">
        <v>66</v>
      </c>
      <c r="N440">
        <v>98</v>
      </c>
      <c r="O440">
        <v>389</v>
      </c>
      <c r="P440">
        <v>77.8</v>
      </c>
      <c r="Q440" t="s">
        <v>40</v>
      </c>
      <c r="R440" t="s">
        <v>27</v>
      </c>
      <c r="S440">
        <v>2920</v>
      </c>
      <c r="T440" t="s">
        <v>34</v>
      </c>
      <c r="U440" t="str">
        <f t="shared" si="6"/>
        <v>Pass</v>
      </c>
    </row>
    <row r="441" spans="1:21">
      <c r="A441" t="s">
        <v>1017</v>
      </c>
      <c r="B441" t="s">
        <v>305</v>
      </c>
      <c r="C441" t="s">
        <v>22</v>
      </c>
      <c r="D441">
        <v>4</v>
      </c>
      <c r="E441" t="s">
        <v>31</v>
      </c>
      <c r="F441">
        <v>8</v>
      </c>
      <c r="G441" t="s">
        <v>54</v>
      </c>
      <c r="H441" t="s">
        <v>1018</v>
      </c>
      <c r="I441">
        <v>67</v>
      </c>
      <c r="J441">
        <v>51</v>
      </c>
      <c r="K441">
        <v>82</v>
      </c>
      <c r="L441">
        <v>57</v>
      </c>
      <c r="M441">
        <v>46</v>
      </c>
      <c r="N441">
        <v>89</v>
      </c>
      <c r="O441">
        <v>325</v>
      </c>
      <c r="P441">
        <v>65</v>
      </c>
      <c r="Q441" t="s">
        <v>26</v>
      </c>
      <c r="R441" t="s">
        <v>27</v>
      </c>
      <c r="S441">
        <v>4516</v>
      </c>
      <c r="T441" t="s">
        <v>34</v>
      </c>
      <c r="U441" t="str">
        <f t="shared" si="6"/>
        <v>Pass</v>
      </c>
    </row>
    <row r="442" spans="1:21">
      <c r="A442" t="s">
        <v>1019</v>
      </c>
      <c r="B442" t="s">
        <v>277</v>
      </c>
      <c r="C442" t="s">
        <v>22</v>
      </c>
      <c r="D442">
        <v>10</v>
      </c>
      <c r="E442" t="s">
        <v>26</v>
      </c>
      <c r="F442">
        <v>15</v>
      </c>
      <c r="G442" t="s">
        <v>45</v>
      </c>
      <c r="H442" t="s">
        <v>1020</v>
      </c>
      <c r="I442">
        <v>95</v>
      </c>
      <c r="J442">
        <v>60</v>
      </c>
      <c r="K442">
        <v>66</v>
      </c>
      <c r="L442">
        <v>91</v>
      </c>
      <c r="M442">
        <v>66</v>
      </c>
      <c r="N442">
        <v>56</v>
      </c>
      <c r="O442">
        <v>339</v>
      </c>
      <c r="P442">
        <v>67.8</v>
      </c>
      <c r="Q442" t="s">
        <v>26</v>
      </c>
      <c r="R442" t="s">
        <v>41</v>
      </c>
      <c r="S442">
        <v>2349</v>
      </c>
      <c r="T442" t="s">
        <v>48</v>
      </c>
      <c r="U442" t="str">
        <f t="shared" si="6"/>
        <v>Pass</v>
      </c>
    </row>
    <row r="443" spans="1:21">
      <c r="A443" t="s">
        <v>1021</v>
      </c>
      <c r="B443" t="s">
        <v>824</v>
      </c>
      <c r="C443" t="s">
        <v>22</v>
      </c>
      <c r="D443">
        <v>4</v>
      </c>
      <c r="E443" t="s">
        <v>23</v>
      </c>
      <c r="F443">
        <v>8</v>
      </c>
      <c r="G443" t="s">
        <v>45</v>
      </c>
      <c r="H443" t="s">
        <v>1022</v>
      </c>
      <c r="I443">
        <v>79</v>
      </c>
      <c r="J443">
        <v>84</v>
      </c>
      <c r="K443">
        <v>51</v>
      </c>
      <c r="L443">
        <v>62</v>
      </c>
      <c r="M443">
        <v>44</v>
      </c>
      <c r="N443">
        <v>76</v>
      </c>
      <c r="O443">
        <v>317</v>
      </c>
      <c r="P443">
        <v>63.4</v>
      </c>
      <c r="Q443" t="s">
        <v>26</v>
      </c>
      <c r="R443" t="s">
        <v>27</v>
      </c>
      <c r="S443">
        <v>4719</v>
      </c>
      <c r="T443" t="s">
        <v>70</v>
      </c>
      <c r="U443" t="str">
        <f t="shared" si="6"/>
        <v>Pass</v>
      </c>
    </row>
    <row r="444" spans="1:21">
      <c r="A444" t="s">
        <v>1023</v>
      </c>
      <c r="B444" t="s">
        <v>386</v>
      </c>
      <c r="C444" t="s">
        <v>22</v>
      </c>
      <c r="D444">
        <v>12</v>
      </c>
      <c r="E444" t="s">
        <v>23</v>
      </c>
      <c r="F444">
        <v>18</v>
      </c>
      <c r="G444" t="s">
        <v>24</v>
      </c>
      <c r="H444" t="s">
        <v>1024</v>
      </c>
      <c r="I444">
        <v>96</v>
      </c>
      <c r="J444">
        <v>94</v>
      </c>
      <c r="K444">
        <v>81</v>
      </c>
      <c r="L444">
        <v>46</v>
      </c>
      <c r="M444">
        <v>79</v>
      </c>
      <c r="N444">
        <v>63</v>
      </c>
      <c r="O444">
        <v>363</v>
      </c>
      <c r="P444">
        <v>72.599999999999994</v>
      </c>
      <c r="Q444" t="s">
        <v>40</v>
      </c>
      <c r="R444" t="s">
        <v>41</v>
      </c>
      <c r="S444">
        <v>3106</v>
      </c>
      <c r="T444" t="s">
        <v>66</v>
      </c>
      <c r="U444" t="str">
        <f t="shared" si="6"/>
        <v>Pass</v>
      </c>
    </row>
    <row r="445" spans="1:21">
      <c r="A445" t="s">
        <v>1025</v>
      </c>
      <c r="B445" t="s">
        <v>261</v>
      </c>
      <c r="C445" t="s">
        <v>37</v>
      </c>
      <c r="D445">
        <v>5</v>
      </c>
      <c r="E445" t="s">
        <v>23</v>
      </c>
      <c r="F445">
        <v>9</v>
      </c>
      <c r="G445" t="s">
        <v>24</v>
      </c>
      <c r="H445" t="s">
        <v>1026</v>
      </c>
      <c r="I445">
        <v>66</v>
      </c>
      <c r="J445">
        <v>93</v>
      </c>
      <c r="K445">
        <v>68</v>
      </c>
      <c r="L445">
        <v>69</v>
      </c>
      <c r="M445">
        <v>97</v>
      </c>
      <c r="N445">
        <v>55</v>
      </c>
      <c r="O445">
        <v>382</v>
      </c>
      <c r="P445">
        <v>76.400000000000006</v>
      </c>
      <c r="Q445" t="s">
        <v>40</v>
      </c>
      <c r="R445" t="s">
        <v>41</v>
      </c>
      <c r="S445">
        <v>2127</v>
      </c>
      <c r="T445" t="s">
        <v>34</v>
      </c>
      <c r="U445" t="str">
        <f t="shared" si="6"/>
        <v>Pass</v>
      </c>
    </row>
    <row r="446" spans="1:21">
      <c r="A446" t="s">
        <v>1027</v>
      </c>
      <c r="B446" t="s">
        <v>308</v>
      </c>
      <c r="C446" t="s">
        <v>22</v>
      </c>
      <c r="D446">
        <v>6</v>
      </c>
      <c r="E446" t="s">
        <v>26</v>
      </c>
      <c r="F446">
        <v>12</v>
      </c>
      <c r="G446" t="s">
        <v>38</v>
      </c>
      <c r="H446" t="s">
        <v>617</v>
      </c>
      <c r="I446">
        <v>83</v>
      </c>
      <c r="J446">
        <v>68</v>
      </c>
      <c r="K446">
        <v>71</v>
      </c>
      <c r="L446">
        <v>80</v>
      </c>
      <c r="M446">
        <v>56</v>
      </c>
      <c r="N446">
        <v>78</v>
      </c>
      <c r="O446">
        <v>353</v>
      </c>
      <c r="P446">
        <v>70.599999999999994</v>
      </c>
      <c r="Q446" t="s">
        <v>40</v>
      </c>
      <c r="R446" t="s">
        <v>41</v>
      </c>
      <c r="S446">
        <v>2909</v>
      </c>
      <c r="T446" t="s">
        <v>28</v>
      </c>
      <c r="U446" t="str">
        <f t="shared" si="6"/>
        <v>Pass</v>
      </c>
    </row>
    <row r="447" spans="1:21">
      <c r="A447" t="s">
        <v>1028</v>
      </c>
      <c r="B447" t="s">
        <v>490</v>
      </c>
      <c r="C447" t="s">
        <v>37</v>
      </c>
      <c r="D447">
        <v>8</v>
      </c>
      <c r="E447" t="s">
        <v>26</v>
      </c>
      <c r="F447">
        <v>13</v>
      </c>
      <c r="G447" t="s">
        <v>32</v>
      </c>
      <c r="H447" t="s">
        <v>1029</v>
      </c>
      <c r="I447">
        <v>85</v>
      </c>
      <c r="J447">
        <v>36</v>
      </c>
      <c r="K447">
        <v>35</v>
      </c>
      <c r="L447">
        <v>95</v>
      </c>
      <c r="M447">
        <v>46</v>
      </c>
      <c r="N447">
        <v>55</v>
      </c>
      <c r="O447">
        <v>267</v>
      </c>
      <c r="P447">
        <v>53.4</v>
      </c>
      <c r="Q447" t="s">
        <v>31</v>
      </c>
      <c r="R447" t="s">
        <v>41</v>
      </c>
      <c r="S447">
        <v>4168</v>
      </c>
      <c r="T447" t="s">
        <v>34</v>
      </c>
      <c r="U447" t="str">
        <f t="shared" si="6"/>
        <v>Fail</v>
      </c>
    </row>
    <row r="448" spans="1:21">
      <c r="A448" t="s">
        <v>1030</v>
      </c>
      <c r="B448" t="s">
        <v>579</v>
      </c>
      <c r="C448" t="s">
        <v>37</v>
      </c>
      <c r="D448">
        <v>1</v>
      </c>
      <c r="E448" t="s">
        <v>47</v>
      </c>
      <c r="F448">
        <v>6</v>
      </c>
      <c r="G448" t="s">
        <v>54</v>
      </c>
      <c r="H448" t="s">
        <v>1031</v>
      </c>
      <c r="I448">
        <v>82</v>
      </c>
      <c r="J448">
        <v>42</v>
      </c>
      <c r="K448">
        <v>69</v>
      </c>
      <c r="L448">
        <v>52</v>
      </c>
      <c r="M448">
        <v>85</v>
      </c>
      <c r="N448">
        <v>35</v>
      </c>
      <c r="O448">
        <v>283</v>
      </c>
      <c r="P448">
        <v>56.6</v>
      </c>
      <c r="Q448" t="s">
        <v>31</v>
      </c>
      <c r="R448" t="s">
        <v>27</v>
      </c>
      <c r="S448">
        <v>2039</v>
      </c>
      <c r="T448" t="s">
        <v>28</v>
      </c>
      <c r="U448" t="str">
        <f t="shared" si="6"/>
        <v>Pass</v>
      </c>
    </row>
    <row r="449" spans="1:21">
      <c r="A449" t="s">
        <v>1032</v>
      </c>
      <c r="B449" t="s">
        <v>104</v>
      </c>
      <c r="C449" t="s">
        <v>37</v>
      </c>
      <c r="D449">
        <v>2</v>
      </c>
      <c r="E449" t="s">
        <v>26</v>
      </c>
      <c r="F449">
        <v>6</v>
      </c>
      <c r="G449" t="s">
        <v>54</v>
      </c>
      <c r="H449" t="s">
        <v>1033</v>
      </c>
      <c r="I449">
        <v>77</v>
      </c>
      <c r="J449">
        <v>66</v>
      </c>
      <c r="K449">
        <v>47</v>
      </c>
      <c r="L449">
        <v>98</v>
      </c>
      <c r="M449">
        <v>48</v>
      </c>
      <c r="N449">
        <v>78</v>
      </c>
      <c r="O449">
        <v>337</v>
      </c>
      <c r="P449">
        <v>67.400000000000006</v>
      </c>
      <c r="Q449" t="s">
        <v>26</v>
      </c>
      <c r="R449" t="s">
        <v>41</v>
      </c>
      <c r="S449">
        <v>4522</v>
      </c>
      <c r="T449" t="s">
        <v>66</v>
      </c>
      <c r="U449" t="str">
        <f t="shared" si="6"/>
        <v>Pass</v>
      </c>
    </row>
    <row r="450" spans="1:21">
      <c r="A450" t="s">
        <v>1034</v>
      </c>
      <c r="B450" t="s">
        <v>242</v>
      </c>
      <c r="C450" t="s">
        <v>22</v>
      </c>
      <c r="D450">
        <v>6</v>
      </c>
      <c r="E450" t="s">
        <v>26</v>
      </c>
      <c r="F450">
        <v>12</v>
      </c>
      <c r="G450" t="s">
        <v>54</v>
      </c>
      <c r="H450" t="s">
        <v>1035</v>
      </c>
      <c r="I450">
        <v>71</v>
      </c>
      <c r="J450">
        <v>52</v>
      </c>
      <c r="K450">
        <v>42</v>
      </c>
      <c r="L450">
        <v>37</v>
      </c>
      <c r="M450">
        <v>62</v>
      </c>
      <c r="N450">
        <v>82</v>
      </c>
      <c r="O450">
        <v>275</v>
      </c>
      <c r="P450">
        <v>55</v>
      </c>
      <c r="Q450" t="s">
        <v>31</v>
      </c>
      <c r="R450" t="s">
        <v>41</v>
      </c>
      <c r="S450">
        <v>3390</v>
      </c>
      <c r="T450" t="s">
        <v>66</v>
      </c>
      <c r="U450" t="str">
        <f t="shared" si="6"/>
        <v>Fail</v>
      </c>
    </row>
    <row r="451" spans="1:21">
      <c r="A451" t="s">
        <v>1036</v>
      </c>
      <c r="B451" t="s">
        <v>157</v>
      </c>
      <c r="C451" t="s">
        <v>37</v>
      </c>
      <c r="D451">
        <v>2</v>
      </c>
      <c r="E451" t="s">
        <v>23</v>
      </c>
      <c r="F451">
        <v>8</v>
      </c>
      <c r="G451" t="s">
        <v>24</v>
      </c>
      <c r="H451" t="s">
        <v>1037</v>
      </c>
      <c r="I451">
        <v>64</v>
      </c>
      <c r="J451">
        <v>37</v>
      </c>
      <c r="K451">
        <v>58</v>
      </c>
      <c r="L451">
        <v>47</v>
      </c>
      <c r="M451">
        <v>66</v>
      </c>
      <c r="N451">
        <v>53</v>
      </c>
      <c r="O451">
        <v>261</v>
      </c>
      <c r="P451">
        <v>52.2</v>
      </c>
      <c r="Q451" t="s">
        <v>31</v>
      </c>
      <c r="R451" t="s">
        <v>41</v>
      </c>
      <c r="S451">
        <v>3820</v>
      </c>
      <c r="T451" t="s">
        <v>42</v>
      </c>
      <c r="U451" t="str">
        <f t="shared" ref="U451:U514" si="7">IF(P451&gt;55,"Pass","Fail")</f>
        <v>Fail</v>
      </c>
    </row>
    <row r="452" spans="1:21">
      <c r="A452" t="s">
        <v>1038</v>
      </c>
      <c r="B452" t="s">
        <v>913</v>
      </c>
      <c r="C452" t="s">
        <v>22</v>
      </c>
      <c r="D452">
        <v>11</v>
      </c>
      <c r="E452" t="s">
        <v>31</v>
      </c>
      <c r="F452">
        <v>16</v>
      </c>
      <c r="G452" t="s">
        <v>45</v>
      </c>
      <c r="H452" t="s">
        <v>1039</v>
      </c>
      <c r="I452">
        <v>62</v>
      </c>
      <c r="J452">
        <v>79</v>
      </c>
      <c r="K452">
        <v>76</v>
      </c>
      <c r="L452">
        <v>81</v>
      </c>
      <c r="M452">
        <v>57</v>
      </c>
      <c r="N452">
        <v>86</v>
      </c>
      <c r="O452">
        <v>379</v>
      </c>
      <c r="P452">
        <v>75.8</v>
      </c>
      <c r="Q452" t="s">
        <v>40</v>
      </c>
      <c r="R452" t="s">
        <v>27</v>
      </c>
      <c r="S452">
        <v>1597</v>
      </c>
      <c r="T452" t="s">
        <v>42</v>
      </c>
      <c r="U452" t="str">
        <f t="shared" si="7"/>
        <v>Pass</v>
      </c>
    </row>
    <row r="453" spans="1:21">
      <c r="A453" t="s">
        <v>1040</v>
      </c>
      <c r="B453" t="s">
        <v>518</v>
      </c>
      <c r="C453" t="s">
        <v>22</v>
      </c>
      <c r="D453">
        <v>8</v>
      </c>
      <c r="E453" t="s">
        <v>23</v>
      </c>
      <c r="F453">
        <v>12</v>
      </c>
      <c r="G453" t="s">
        <v>32</v>
      </c>
      <c r="H453" t="s">
        <v>1041</v>
      </c>
      <c r="I453">
        <v>75</v>
      </c>
      <c r="J453">
        <v>57</v>
      </c>
      <c r="K453">
        <v>64</v>
      </c>
      <c r="L453">
        <v>98</v>
      </c>
      <c r="M453">
        <v>77</v>
      </c>
      <c r="N453">
        <v>65</v>
      </c>
      <c r="O453">
        <v>361</v>
      </c>
      <c r="P453">
        <v>72.2</v>
      </c>
      <c r="Q453" t="s">
        <v>40</v>
      </c>
      <c r="R453" t="s">
        <v>41</v>
      </c>
      <c r="S453">
        <v>4254</v>
      </c>
      <c r="T453" t="s">
        <v>48</v>
      </c>
      <c r="U453" t="str">
        <f t="shared" si="7"/>
        <v>Pass</v>
      </c>
    </row>
    <row r="454" spans="1:21">
      <c r="A454" t="s">
        <v>1042</v>
      </c>
      <c r="B454" t="s">
        <v>30</v>
      </c>
      <c r="C454" t="s">
        <v>22</v>
      </c>
      <c r="D454">
        <v>5</v>
      </c>
      <c r="E454" t="s">
        <v>47</v>
      </c>
      <c r="F454">
        <v>9</v>
      </c>
      <c r="G454" t="s">
        <v>24</v>
      </c>
      <c r="H454" t="s">
        <v>1043</v>
      </c>
      <c r="I454">
        <v>74</v>
      </c>
      <c r="J454">
        <v>98</v>
      </c>
      <c r="K454">
        <v>92</v>
      </c>
      <c r="L454">
        <v>68</v>
      </c>
      <c r="M454">
        <v>51</v>
      </c>
      <c r="N454">
        <v>79</v>
      </c>
      <c r="O454">
        <v>388</v>
      </c>
      <c r="P454">
        <v>77.599999999999994</v>
      </c>
      <c r="Q454" t="s">
        <v>40</v>
      </c>
      <c r="R454" t="s">
        <v>41</v>
      </c>
      <c r="S454">
        <v>1888</v>
      </c>
      <c r="T454" t="s">
        <v>42</v>
      </c>
      <c r="U454" t="str">
        <f t="shared" si="7"/>
        <v>Pass</v>
      </c>
    </row>
    <row r="455" spans="1:21">
      <c r="A455" t="s">
        <v>1044</v>
      </c>
      <c r="B455" t="s">
        <v>832</v>
      </c>
      <c r="C455" t="s">
        <v>37</v>
      </c>
      <c r="D455">
        <v>12</v>
      </c>
      <c r="E455" t="s">
        <v>31</v>
      </c>
      <c r="F455">
        <v>18</v>
      </c>
      <c r="G455" t="s">
        <v>54</v>
      </c>
      <c r="H455" t="s">
        <v>1045</v>
      </c>
      <c r="I455">
        <v>83</v>
      </c>
      <c r="J455">
        <v>63</v>
      </c>
      <c r="K455">
        <v>45</v>
      </c>
      <c r="L455">
        <v>46</v>
      </c>
      <c r="M455">
        <v>81</v>
      </c>
      <c r="N455">
        <v>89</v>
      </c>
      <c r="O455">
        <v>324</v>
      </c>
      <c r="P455">
        <v>64.8</v>
      </c>
      <c r="Q455" t="s">
        <v>26</v>
      </c>
      <c r="R455" t="s">
        <v>27</v>
      </c>
      <c r="S455">
        <v>3719</v>
      </c>
      <c r="T455" t="s">
        <v>34</v>
      </c>
      <c r="U455" t="str">
        <f t="shared" si="7"/>
        <v>Pass</v>
      </c>
    </row>
    <row r="456" spans="1:21">
      <c r="A456" t="s">
        <v>1046</v>
      </c>
      <c r="B456" t="s">
        <v>651</v>
      </c>
      <c r="C456" t="s">
        <v>22</v>
      </c>
      <c r="D456">
        <v>6</v>
      </c>
      <c r="E456" t="s">
        <v>47</v>
      </c>
      <c r="F456">
        <v>12</v>
      </c>
      <c r="G456" t="s">
        <v>38</v>
      </c>
      <c r="H456" t="s">
        <v>1047</v>
      </c>
      <c r="I456">
        <v>99</v>
      </c>
      <c r="J456">
        <v>35</v>
      </c>
      <c r="K456">
        <v>86</v>
      </c>
      <c r="L456">
        <v>75</v>
      </c>
      <c r="M456">
        <v>64</v>
      </c>
      <c r="N456">
        <v>59</v>
      </c>
      <c r="O456">
        <v>319</v>
      </c>
      <c r="P456">
        <v>63.8</v>
      </c>
      <c r="Q456" t="s">
        <v>26</v>
      </c>
      <c r="R456" t="s">
        <v>27</v>
      </c>
      <c r="S456">
        <v>4658</v>
      </c>
      <c r="T456" t="s">
        <v>70</v>
      </c>
      <c r="U456" t="str">
        <f t="shared" si="7"/>
        <v>Pass</v>
      </c>
    </row>
    <row r="457" spans="1:21">
      <c r="A457" t="s">
        <v>1048</v>
      </c>
      <c r="B457" t="s">
        <v>582</v>
      </c>
      <c r="C457" t="s">
        <v>37</v>
      </c>
      <c r="D457">
        <v>12</v>
      </c>
      <c r="E457" t="s">
        <v>31</v>
      </c>
      <c r="F457">
        <v>16</v>
      </c>
      <c r="G457" t="s">
        <v>32</v>
      </c>
      <c r="H457" t="s">
        <v>464</v>
      </c>
      <c r="I457">
        <v>81</v>
      </c>
      <c r="J457">
        <v>70</v>
      </c>
      <c r="K457">
        <v>92</v>
      </c>
      <c r="L457">
        <v>99</v>
      </c>
      <c r="M457">
        <v>55</v>
      </c>
      <c r="N457">
        <v>70</v>
      </c>
      <c r="O457">
        <v>386</v>
      </c>
      <c r="P457">
        <v>77.2</v>
      </c>
      <c r="Q457" t="s">
        <v>40</v>
      </c>
      <c r="R457" t="s">
        <v>41</v>
      </c>
      <c r="S457">
        <v>3023</v>
      </c>
      <c r="T457" t="s">
        <v>28</v>
      </c>
      <c r="U457" t="str">
        <f t="shared" si="7"/>
        <v>Pass</v>
      </c>
    </row>
    <row r="458" spans="1:21">
      <c r="A458" t="s">
        <v>1049</v>
      </c>
      <c r="B458" t="s">
        <v>408</v>
      </c>
      <c r="C458" t="s">
        <v>22</v>
      </c>
      <c r="D458">
        <v>8</v>
      </c>
      <c r="E458" t="s">
        <v>47</v>
      </c>
      <c r="F458">
        <v>12</v>
      </c>
      <c r="G458" t="s">
        <v>24</v>
      </c>
      <c r="H458" t="s">
        <v>1050</v>
      </c>
      <c r="I458">
        <v>66</v>
      </c>
      <c r="J458">
        <v>75</v>
      </c>
      <c r="K458">
        <v>66</v>
      </c>
      <c r="L458">
        <v>87</v>
      </c>
      <c r="M458">
        <v>53</v>
      </c>
      <c r="N458">
        <v>79</v>
      </c>
      <c r="O458">
        <v>360</v>
      </c>
      <c r="P458">
        <v>72</v>
      </c>
      <c r="Q458" t="s">
        <v>40</v>
      </c>
      <c r="R458" t="s">
        <v>27</v>
      </c>
      <c r="S458">
        <v>2755</v>
      </c>
      <c r="T458" t="s">
        <v>66</v>
      </c>
      <c r="U458" t="str">
        <f t="shared" si="7"/>
        <v>Pass</v>
      </c>
    </row>
    <row r="459" spans="1:21">
      <c r="A459" t="s">
        <v>1051</v>
      </c>
      <c r="B459" t="s">
        <v>193</v>
      </c>
      <c r="C459" t="s">
        <v>22</v>
      </c>
      <c r="D459">
        <v>4</v>
      </c>
      <c r="E459" t="s">
        <v>47</v>
      </c>
      <c r="F459">
        <v>8</v>
      </c>
      <c r="G459" t="s">
        <v>38</v>
      </c>
      <c r="H459" t="s">
        <v>1052</v>
      </c>
      <c r="I459">
        <v>69</v>
      </c>
      <c r="J459">
        <v>45</v>
      </c>
      <c r="K459">
        <v>69</v>
      </c>
      <c r="L459">
        <v>55</v>
      </c>
      <c r="M459">
        <v>49</v>
      </c>
      <c r="N459">
        <v>51</v>
      </c>
      <c r="O459">
        <v>269</v>
      </c>
      <c r="P459">
        <v>53.8</v>
      </c>
      <c r="Q459" t="s">
        <v>31</v>
      </c>
      <c r="R459" t="s">
        <v>41</v>
      </c>
      <c r="S459">
        <v>4915</v>
      </c>
      <c r="T459" t="s">
        <v>34</v>
      </c>
      <c r="U459" t="str">
        <f t="shared" si="7"/>
        <v>Fail</v>
      </c>
    </row>
    <row r="460" spans="1:21">
      <c r="A460" t="s">
        <v>1053</v>
      </c>
      <c r="B460" t="s">
        <v>735</v>
      </c>
      <c r="C460" t="s">
        <v>37</v>
      </c>
      <c r="D460">
        <v>7</v>
      </c>
      <c r="E460" t="s">
        <v>47</v>
      </c>
      <c r="F460">
        <v>13</v>
      </c>
      <c r="G460" t="s">
        <v>38</v>
      </c>
      <c r="H460" t="s">
        <v>1054</v>
      </c>
      <c r="I460">
        <v>82</v>
      </c>
      <c r="J460">
        <v>38</v>
      </c>
      <c r="K460">
        <v>79</v>
      </c>
      <c r="L460">
        <v>82</v>
      </c>
      <c r="M460">
        <v>55</v>
      </c>
      <c r="N460">
        <v>35</v>
      </c>
      <c r="O460">
        <v>289</v>
      </c>
      <c r="P460">
        <v>57.8</v>
      </c>
      <c r="Q460" t="s">
        <v>31</v>
      </c>
      <c r="R460" t="s">
        <v>27</v>
      </c>
      <c r="S460">
        <v>4232</v>
      </c>
      <c r="T460" t="s">
        <v>66</v>
      </c>
      <c r="U460" t="str">
        <f t="shared" si="7"/>
        <v>Pass</v>
      </c>
    </row>
    <row r="461" spans="1:21">
      <c r="A461" t="s">
        <v>1055</v>
      </c>
      <c r="B461" t="s">
        <v>214</v>
      </c>
      <c r="C461" t="s">
        <v>37</v>
      </c>
      <c r="D461">
        <v>8</v>
      </c>
      <c r="E461" t="s">
        <v>31</v>
      </c>
      <c r="F461">
        <v>13</v>
      </c>
      <c r="G461" t="s">
        <v>54</v>
      </c>
      <c r="H461" t="s">
        <v>1056</v>
      </c>
      <c r="I461">
        <v>97</v>
      </c>
      <c r="J461">
        <v>37</v>
      </c>
      <c r="K461">
        <v>89</v>
      </c>
      <c r="L461">
        <v>49</v>
      </c>
      <c r="M461">
        <v>48</v>
      </c>
      <c r="N461">
        <v>59</v>
      </c>
      <c r="O461">
        <v>282</v>
      </c>
      <c r="P461">
        <v>56.4</v>
      </c>
      <c r="Q461" t="s">
        <v>31</v>
      </c>
      <c r="R461" t="s">
        <v>27</v>
      </c>
      <c r="S461">
        <v>3802</v>
      </c>
      <c r="T461" t="s">
        <v>48</v>
      </c>
      <c r="U461" t="str">
        <f t="shared" si="7"/>
        <v>Pass</v>
      </c>
    </row>
    <row r="462" spans="1:21">
      <c r="A462" t="s">
        <v>1057</v>
      </c>
      <c r="B462" t="s">
        <v>777</v>
      </c>
      <c r="C462" t="s">
        <v>22</v>
      </c>
      <c r="D462">
        <v>9</v>
      </c>
      <c r="E462" t="s">
        <v>26</v>
      </c>
      <c r="F462">
        <v>14</v>
      </c>
      <c r="G462" t="s">
        <v>24</v>
      </c>
      <c r="H462" t="s">
        <v>1029</v>
      </c>
      <c r="I462">
        <v>62</v>
      </c>
      <c r="J462">
        <v>59</v>
      </c>
      <c r="K462">
        <v>49</v>
      </c>
      <c r="L462">
        <v>67</v>
      </c>
      <c r="M462">
        <v>58</v>
      </c>
      <c r="N462">
        <v>56</v>
      </c>
      <c r="O462">
        <v>289</v>
      </c>
      <c r="P462">
        <v>57.8</v>
      </c>
      <c r="Q462" t="s">
        <v>31</v>
      </c>
      <c r="R462" t="s">
        <v>41</v>
      </c>
      <c r="S462">
        <v>4349</v>
      </c>
      <c r="T462" t="s">
        <v>48</v>
      </c>
      <c r="U462" t="str">
        <f t="shared" si="7"/>
        <v>Pass</v>
      </c>
    </row>
    <row r="463" spans="1:21">
      <c r="A463" t="s">
        <v>1058</v>
      </c>
      <c r="B463" t="s">
        <v>168</v>
      </c>
      <c r="C463" t="s">
        <v>37</v>
      </c>
      <c r="D463">
        <v>2</v>
      </c>
      <c r="E463" t="s">
        <v>26</v>
      </c>
      <c r="F463">
        <v>8</v>
      </c>
      <c r="G463" t="s">
        <v>58</v>
      </c>
      <c r="H463" t="s">
        <v>220</v>
      </c>
      <c r="I463">
        <v>73</v>
      </c>
      <c r="J463">
        <v>67</v>
      </c>
      <c r="K463">
        <v>89</v>
      </c>
      <c r="L463">
        <v>91</v>
      </c>
      <c r="M463">
        <v>73</v>
      </c>
      <c r="N463">
        <v>42</v>
      </c>
      <c r="O463">
        <v>362</v>
      </c>
      <c r="P463">
        <v>72.400000000000006</v>
      </c>
      <c r="Q463" t="s">
        <v>40</v>
      </c>
      <c r="R463" t="s">
        <v>41</v>
      </c>
      <c r="S463">
        <v>3600</v>
      </c>
      <c r="T463" t="s">
        <v>70</v>
      </c>
      <c r="U463" t="str">
        <f t="shared" si="7"/>
        <v>Pass</v>
      </c>
    </row>
    <row r="464" spans="1:21">
      <c r="A464" t="s">
        <v>1059</v>
      </c>
      <c r="B464" t="s">
        <v>140</v>
      </c>
      <c r="C464" t="s">
        <v>22</v>
      </c>
      <c r="D464">
        <v>5</v>
      </c>
      <c r="E464" t="s">
        <v>26</v>
      </c>
      <c r="F464">
        <v>11</v>
      </c>
      <c r="G464" t="s">
        <v>32</v>
      </c>
      <c r="H464" t="s">
        <v>1060</v>
      </c>
      <c r="I464">
        <v>96</v>
      </c>
      <c r="J464">
        <v>60</v>
      </c>
      <c r="K464">
        <v>67</v>
      </c>
      <c r="L464">
        <v>37</v>
      </c>
      <c r="M464">
        <v>39</v>
      </c>
      <c r="N464">
        <v>84</v>
      </c>
      <c r="O464">
        <v>287</v>
      </c>
      <c r="P464">
        <v>57.4</v>
      </c>
      <c r="Q464" t="s">
        <v>31</v>
      </c>
      <c r="R464" t="s">
        <v>41</v>
      </c>
      <c r="S464">
        <v>4258</v>
      </c>
      <c r="T464" t="s">
        <v>66</v>
      </c>
      <c r="U464" t="str">
        <f t="shared" si="7"/>
        <v>Pass</v>
      </c>
    </row>
    <row r="465" spans="1:21">
      <c r="A465" t="s">
        <v>1061</v>
      </c>
      <c r="B465" t="s">
        <v>518</v>
      </c>
      <c r="C465" t="s">
        <v>37</v>
      </c>
      <c r="D465">
        <v>11</v>
      </c>
      <c r="E465" t="s">
        <v>31</v>
      </c>
      <c r="F465">
        <v>15</v>
      </c>
      <c r="G465" t="s">
        <v>24</v>
      </c>
      <c r="H465" t="s">
        <v>468</v>
      </c>
      <c r="I465">
        <v>71</v>
      </c>
      <c r="J465">
        <v>81</v>
      </c>
      <c r="K465">
        <v>98</v>
      </c>
      <c r="L465">
        <v>56</v>
      </c>
      <c r="M465">
        <v>75</v>
      </c>
      <c r="N465">
        <v>91</v>
      </c>
      <c r="O465">
        <v>401</v>
      </c>
      <c r="P465">
        <v>80.2</v>
      </c>
      <c r="Q465" t="s">
        <v>47</v>
      </c>
      <c r="R465" t="s">
        <v>41</v>
      </c>
      <c r="S465">
        <v>2216</v>
      </c>
      <c r="T465" t="s">
        <v>66</v>
      </c>
      <c r="U465" t="str">
        <f t="shared" si="7"/>
        <v>Pass</v>
      </c>
    </row>
    <row r="466" spans="1:21">
      <c r="A466" t="s">
        <v>1062</v>
      </c>
      <c r="B466" t="s">
        <v>289</v>
      </c>
      <c r="C466" t="s">
        <v>37</v>
      </c>
      <c r="D466">
        <v>2</v>
      </c>
      <c r="E466" t="s">
        <v>31</v>
      </c>
      <c r="F466">
        <v>7</v>
      </c>
      <c r="G466" t="s">
        <v>64</v>
      </c>
      <c r="H466" t="s">
        <v>1063</v>
      </c>
      <c r="I466">
        <v>88</v>
      </c>
      <c r="J466">
        <v>40</v>
      </c>
      <c r="K466">
        <v>71</v>
      </c>
      <c r="L466">
        <v>44</v>
      </c>
      <c r="M466">
        <v>71</v>
      </c>
      <c r="N466">
        <v>50</v>
      </c>
      <c r="O466">
        <v>276</v>
      </c>
      <c r="P466">
        <v>55.2</v>
      </c>
      <c r="Q466" t="s">
        <v>31</v>
      </c>
      <c r="R466" t="s">
        <v>27</v>
      </c>
      <c r="S466">
        <v>4300</v>
      </c>
      <c r="T466" t="s">
        <v>34</v>
      </c>
      <c r="U466" t="str">
        <f t="shared" si="7"/>
        <v>Pass</v>
      </c>
    </row>
    <row r="467" spans="1:21">
      <c r="A467" t="s">
        <v>1064</v>
      </c>
      <c r="B467" t="s">
        <v>448</v>
      </c>
      <c r="C467" t="s">
        <v>37</v>
      </c>
      <c r="D467">
        <v>10</v>
      </c>
      <c r="E467" t="s">
        <v>23</v>
      </c>
      <c r="F467">
        <v>16</v>
      </c>
      <c r="G467" t="s">
        <v>45</v>
      </c>
      <c r="H467" t="s">
        <v>1065</v>
      </c>
      <c r="I467">
        <v>92</v>
      </c>
      <c r="J467">
        <v>67</v>
      </c>
      <c r="K467">
        <v>63</v>
      </c>
      <c r="L467">
        <v>48</v>
      </c>
      <c r="M467">
        <v>45</v>
      </c>
      <c r="N467">
        <v>59</v>
      </c>
      <c r="O467">
        <v>282</v>
      </c>
      <c r="P467">
        <v>56.4</v>
      </c>
      <c r="Q467" t="s">
        <v>31</v>
      </c>
      <c r="R467" t="s">
        <v>27</v>
      </c>
      <c r="S467">
        <v>3445</v>
      </c>
      <c r="T467" t="s">
        <v>70</v>
      </c>
      <c r="U467" t="str">
        <f t="shared" si="7"/>
        <v>Pass</v>
      </c>
    </row>
    <row r="468" spans="1:21">
      <c r="A468" t="s">
        <v>1066</v>
      </c>
      <c r="B468" t="s">
        <v>253</v>
      </c>
      <c r="C468" t="s">
        <v>22</v>
      </c>
      <c r="D468">
        <v>3</v>
      </c>
      <c r="E468" t="s">
        <v>31</v>
      </c>
      <c r="F468">
        <v>7</v>
      </c>
      <c r="G468" t="s">
        <v>32</v>
      </c>
      <c r="H468" t="s">
        <v>379</v>
      </c>
      <c r="I468">
        <v>63</v>
      </c>
      <c r="J468">
        <v>80</v>
      </c>
      <c r="K468">
        <v>59</v>
      </c>
      <c r="L468">
        <v>95</v>
      </c>
      <c r="M468">
        <v>48</v>
      </c>
      <c r="N468">
        <v>96</v>
      </c>
      <c r="O468">
        <v>378</v>
      </c>
      <c r="P468">
        <v>75.599999999999994</v>
      </c>
      <c r="Q468" t="s">
        <v>40</v>
      </c>
      <c r="R468" t="s">
        <v>27</v>
      </c>
      <c r="S468">
        <v>4560</v>
      </c>
      <c r="T468" t="s">
        <v>48</v>
      </c>
      <c r="U468" t="str">
        <f t="shared" si="7"/>
        <v>Pass</v>
      </c>
    </row>
    <row r="469" spans="1:21">
      <c r="A469" t="s">
        <v>1067</v>
      </c>
      <c r="B469" t="s">
        <v>96</v>
      </c>
      <c r="C469" t="s">
        <v>22</v>
      </c>
      <c r="D469">
        <v>10</v>
      </c>
      <c r="E469" t="s">
        <v>31</v>
      </c>
      <c r="F469">
        <v>15</v>
      </c>
      <c r="G469" t="s">
        <v>58</v>
      </c>
      <c r="H469" t="s">
        <v>1068</v>
      </c>
      <c r="I469">
        <v>69</v>
      </c>
      <c r="J469">
        <v>67</v>
      </c>
      <c r="K469">
        <v>67</v>
      </c>
      <c r="L469">
        <v>92</v>
      </c>
      <c r="M469">
        <v>38</v>
      </c>
      <c r="N469">
        <v>96</v>
      </c>
      <c r="O469">
        <v>360</v>
      </c>
      <c r="P469">
        <v>72</v>
      </c>
      <c r="Q469" t="s">
        <v>40</v>
      </c>
      <c r="R469" t="s">
        <v>27</v>
      </c>
      <c r="S469">
        <v>3632</v>
      </c>
      <c r="T469" t="s">
        <v>66</v>
      </c>
      <c r="U469" t="str">
        <f t="shared" si="7"/>
        <v>Pass</v>
      </c>
    </row>
    <row r="470" spans="1:21">
      <c r="A470" t="s">
        <v>1069</v>
      </c>
      <c r="B470" t="s">
        <v>118</v>
      </c>
      <c r="C470" t="s">
        <v>37</v>
      </c>
      <c r="D470">
        <v>4</v>
      </c>
      <c r="E470" t="s">
        <v>26</v>
      </c>
      <c r="F470">
        <v>9</v>
      </c>
      <c r="G470" t="s">
        <v>45</v>
      </c>
      <c r="H470" t="s">
        <v>1070</v>
      </c>
      <c r="I470">
        <v>89</v>
      </c>
      <c r="J470">
        <v>45</v>
      </c>
      <c r="K470">
        <v>80</v>
      </c>
      <c r="L470">
        <v>66</v>
      </c>
      <c r="M470">
        <v>58</v>
      </c>
      <c r="N470">
        <v>85</v>
      </c>
      <c r="O470">
        <v>334</v>
      </c>
      <c r="P470">
        <v>66.8</v>
      </c>
      <c r="Q470" t="s">
        <v>26</v>
      </c>
      <c r="R470" t="s">
        <v>27</v>
      </c>
      <c r="S470">
        <v>2665</v>
      </c>
      <c r="T470" t="s">
        <v>28</v>
      </c>
      <c r="U470" t="str">
        <f t="shared" si="7"/>
        <v>Pass</v>
      </c>
    </row>
    <row r="471" spans="1:21">
      <c r="A471" t="s">
        <v>1071</v>
      </c>
      <c r="B471" t="s">
        <v>104</v>
      </c>
      <c r="C471" t="s">
        <v>37</v>
      </c>
      <c r="D471">
        <v>1</v>
      </c>
      <c r="E471" t="s">
        <v>31</v>
      </c>
      <c r="F471">
        <v>7</v>
      </c>
      <c r="G471" t="s">
        <v>24</v>
      </c>
      <c r="H471" t="s">
        <v>1072</v>
      </c>
      <c r="I471">
        <v>76</v>
      </c>
      <c r="J471">
        <v>67</v>
      </c>
      <c r="K471">
        <v>64</v>
      </c>
      <c r="L471">
        <v>38</v>
      </c>
      <c r="M471">
        <v>91</v>
      </c>
      <c r="N471">
        <v>47</v>
      </c>
      <c r="O471">
        <v>307</v>
      </c>
      <c r="P471">
        <v>61.4</v>
      </c>
      <c r="Q471" t="s">
        <v>26</v>
      </c>
      <c r="R471" t="s">
        <v>27</v>
      </c>
      <c r="S471">
        <v>4643</v>
      </c>
      <c r="T471" t="s">
        <v>48</v>
      </c>
      <c r="U471" t="str">
        <f t="shared" si="7"/>
        <v>Pass</v>
      </c>
    </row>
    <row r="472" spans="1:21">
      <c r="A472" t="s">
        <v>1073</v>
      </c>
      <c r="B472" t="s">
        <v>365</v>
      </c>
      <c r="C472" t="s">
        <v>37</v>
      </c>
      <c r="D472">
        <v>11</v>
      </c>
      <c r="E472" t="s">
        <v>26</v>
      </c>
      <c r="F472">
        <v>17</v>
      </c>
      <c r="G472" t="s">
        <v>54</v>
      </c>
      <c r="H472" t="s">
        <v>1074</v>
      </c>
      <c r="I472">
        <v>84</v>
      </c>
      <c r="J472">
        <v>44</v>
      </c>
      <c r="K472">
        <v>67</v>
      </c>
      <c r="L472">
        <v>100</v>
      </c>
      <c r="M472">
        <v>95</v>
      </c>
      <c r="N472">
        <v>65</v>
      </c>
      <c r="O472">
        <v>371</v>
      </c>
      <c r="P472">
        <v>74.2</v>
      </c>
      <c r="Q472" t="s">
        <v>40</v>
      </c>
      <c r="R472" t="s">
        <v>27</v>
      </c>
      <c r="S472">
        <v>2504</v>
      </c>
      <c r="T472" t="s">
        <v>66</v>
      </c>
      <c r="U472" t="str">
        <f t="shared" si="7"/>
        <v>Pass</v>
      </c>
    </row>
    <row r="473" spans="1:21">
      <c r="A473" t="s">
        <v>1075</v>
      </c>
      <c r="B473" t="s">
        <v>625</v>
      </c>
      <c r="C473" t="s">
        <v>37</v>
      </c>
      <c r="D473">
        <v>12</v>
      </c>
      <c r="E473" t="s">
        <v>23</v>
      </c>
      <c r="F473">
        <v>17</v>
      </c>
      <c r="G473" t="s">
        <v>45</v>
      </c>
      <c r="H473" t="s">
        <v>1076</v>
      </c>
      <c r="I473">
        <v>66</v>
      </c>
      <c r="J473">
        <v>66</v>
      </c>
      <c r="K473">
        <v>40</v>
      </c>
      <c r="L473">
        <v>44</v>
      </c>
      <c r="M473">
        <v>43</v>
      </c>
      <c r="N473">
        <v>78</v>
      </c>
      <c r="O473">
        <v>271</v>
      </c>
      <c r="P473">
        <v>54.2</v>
      </c>
      <c r="Q473" t="s">
        <v>31</v>
      </c>
      <c r="R473" t="s">
        <v>27</v>
      </c>
      <c r="S473">
        <v>3873</v>
      </c>
      <c r="T473" t="s">
        <v>48</v>
      </c>
      <c r="U473" t="str">
        <f t="shared" si="7"/>
        <v>Fail</v>
      </c>
    </row>
    <row r="474" spans="1:21">
      <c r="A474" t="s">
        <v>1077</v>
      </c>
      <c r="B474" t="s">
        <v>370</v>
      </c>
      <c r="C474" t="s">
        <v>37</v>
      </c>
      <c r="D474">
        <v>3</v>
      </c>
      <c r="E474" t="s">
        <v>47</v>
      </c>
      <c r="F474">
        <v>8</v>
      </c>
      <c r="G474" t="s">
        <v>32</v>
      </c>
      <c r="H474" t="s">
        <v>1078</v>
      </c>
      <c r="I474">
        <v>82</v>
      </c>
      <c r="J474">
        <v>40</v>
      </c>
      <c r="K474">
        <v>74</v>
      </c>
      <c r="L474">
        <v>37</v>
      </c>
      <c r="M474">
        <v>63</v>
      </c>
      <c r="N474">
        <v>35</v>
      </c>
      <c r="O474">
        <v>249</v>
      </c>
      <c r="P474">
        <v>49.8</v>
      </c>
      <c r="Q474" t="s">
        <v>23</v>
      </c>
      <c r="R474" t="s">
        <v>27</v>
      </c>
      <c r="S474">
        <v>3269</v>
      </c>
      <c r="T474" t="s">
        <v>34</v>
      </c>
      <c r="U474" t="str">
        <f t="shared" si="7"/>
        <v>Fail</v>
      </c>
    </row>
    <row r="475" spans="1:21">
      <c r="A475" t="s">
        <v>1079</v>
      </c>
      <c r="B475" t="s">
        <v>1080</v>
      </c>
      <c r="C475" t="s">
        <v>22</v>
      </c>
      <c r="D475">
        <v>6</v>
      </c>
      <c r="E475" t="s">
        <v>47</v>
      </c>
      <c r="F475">
        <v>11</v>
      </c>
      <c r="G475" t="s">
        <v>32</v>
      </c>
      <c r="H475" t="s">
        <v>1081</v>
      </c>
      <c r="I475">
        <v>83</v>
      </c>
      <c r="J475">
        <v>53</v>
      </c>
      <c r="K475">
        <v>83</v>
      </c>
      <c r="L475">
        <v>55</v>
      </c>
      <c r="M475">
        <v>43</v>
      </c>
      <c r="N475">
        <v>89</v>
      </c>
      <c r="O475">
        <v>323</v>
      </c>
      <c r="P475">
        <v>64.599999999999994</v>
      </c>
      <c r="Q475" t="s">
        <v>26</v>
      </c>
      <c r="R475" t="s">
        <v>27</v>
      </c>
      <c r="S475">
        <v>1998</v>
      </c>
      <c r="T475" t="s">
        <v>48</v>
      </c>
      <c r="U475" t="str">
        <f t="shared" si="7"/>
        <v>Pass</v>
      </c>
    </row>
    <row r="476" spans="1:21">
      <c r="A476" t="s">
        <v>1082</v>
      </c>
      <c r="B476" t="s">
        <v>448</v>
      </c>
      <c r="C476" t="s">
        <v>37</v>
      </c>
      <c r="D476">
        <v>8</v>
      </c>
      <c r="E476" t="s">
        <v>31</v>
      </c>
      <c r="F476">
        <v>12</v>
      </c>
      <c r="G476" t="s">
        <v>54</v>
      </c>
      <c r="H476" t="s">
        <v>1083</v>
      </c>
      <c r="I476">
        <v>92</v>
      </c>
      <c r="J476">
        <v>60</v>
      </c>
      <c r="K476">
        <v>53</v>
      </c>
      <c r="L476">
        <v>38</v>
      </c>
      <c r="M476">
        <v>80</v>
      </c>
      <c r="N476">
        <v>90</v>
      </c>
      <c r="O476">
        <v>321</v>
      </c>
      <c r="P476">
        <v>64.2</v>
      </c>
      <c r="Q476" t="s">
        <v>26</v>
      </c>
      <c r="R476" t="s">
        <v>41</v>
      </c>
      <c r="S476">
        <v>4480</v>
      </c>
      <c r="T476" t="s">
        <v>42</v>
      </c>
      <c r="U476" t="str">
        <f t="shared" si="7"/>
        <v>Pass</v>
      </c>
    </row>
    <row r="477" spans="1:21">
      <c r="A477" t="s">
        <v>1084</v>
      </c>
      <c r="B477" t="s">
        <v>126</v>
      </c>
      <c r="C477" t="s">
        <v>37</v>
      </c>
      <c r="D477">
        <v>1</v>
      </c>
      <c r="E477" t="s">
        <v>31</v>
      </c>
      <c r="F477">
        <v>6</v>
      </c>
      <c r="G477" t="s">
        <v>32</v>
      </c>
      <c r="H477" t="s">
        <v>455</v>
      </c>
      <c r="I477">
        <v>79</v>
      </c>
      <c r="J477">
        <v>36</v>
      </c>
      <c r="K477">
        <v>55</v>
      </c>
      <c r="L477">
        <v>36</v>
      </c>
      <c r="M477">
        <v>43</v>
      </c>
      <c r="N477">
        <v>52</v>
      </c>
      <c r="O477">
        <v>222</v>
      </c>
      <c r="P477">
        <v>44.4</v>
      </c>
      <c r="Q477" t="s">
        <v>23</v>
      </c>
      <c r="R477" t="s">
        <v>41</v>
      </c>
      <c r="S477">
        <v>3736</v>
      </c>
      <c r="T477" t="s">
        <v>66</v>
      </c>
      <c r="U477" t="str">
        <f t="shared" si="7"/>
        <v>Fail</v>
      </c>
    </row>
    <row r="478" spans="1:21">
      <c r="A478" t="s">
        <v>1085</v>
      </c>
      <c r="B478" t="s">
        <v>157</v>
      </c>
      <c r="C478" t="s">
        <v>22</v>
      </c>
      <c r="D478">
        <v>12</v>
      </c>
      <c r="E478" t="s">
        <v>23</v>
      </c>
      <c r="F478">
        <v>17</v>
      </c>
      <c r="G478" t="s">
        <v>32</v>
      </c>
      <c r="H478" t="s">
        <v>1086</v>
      </c>
      <c r="I478">
        <v>78</v>
      </c>
      <c r="J478">
        <v>85</v>
      </c>
      <c r="K478">
        <v>54</v>
      </c>
      <c r="L478">
        <v>91</v>
      </c>
      <c r="M478">
        <v>85</v>
      </c>
      <c r="N478">
        <v>65</v>
      </c>
      <c r="O478">
        <v>380</v>
      </c>
      <c r="P478">
        <v>76</v>
      </c>
      <c r="Q478" t="s">
        <v>40</v>
      </c>
      <c r="R478" t="s">
        <v>41</v>
      </c>
      <c r="S478">
        <v>4119</v>
      </c>
      <c r="T478" t="s">
        <v>66</v>
      </c>
      <c r="U478" t="str">
        <f t="shared" si="7"/>
        <v>Pass</v>
      </c>
    </row>
    <row r="479" spans="1:21">
      <c r="A479" t="s">
        <v>1087</v>
      </c>
      <c r="B479" t="s">
        <v>1088</v>
      </c>
      <c r="C479" t="s">
        <v>22</v>
      </c>
      <c r="D479">
        <v>3</v>
      </c>
      <c r="E479" t="s">
        <v>47</v>
      </c>
      <c r="F479">
        <v>7</v>
      </c>
      <c r="G479" t="s">
        <v>24</v>
      </c>
      <c r="H479" t="s">
        <v>817</v>
      </c>
      <c r="I479">
        <v>84</v>
      </c>
      <c r="J479">
        <v>40</v>
      </c>
      <c r="K479">
        <v>42</v>
      </c>
      <c r="L479">
        <v>45</v>
      </c>
      <c r="M479">
        <v>69</v>
      </c>
      <c r="N479">
        <v>67</v>
      </c>
      <c r="O479">
        <v>263</v>
      </c>
      <c r="P479">
        <v>52.6</v>
      </c>
      <c r="Q479" t="s">
        <v>31</v>
      </c>
      <c r="R479" t="s">
        <v>41</v>
      </c>
      <c r="S479">
        <v>3895</v>
      </c>
      <c r="T479" t="s">
        <v>70</v>
      </c>
      <c r="U479" t="str">
        <f t="shared" si="7"/>
        <v>Fail</v>
      </c>
    </row>
    <row r="480" spans="1:21">
      <c r="A480" t="s">
        <v>1089</v>
      </c>
      <c r="B480" t="s">
        <v>562</v>
      </c>
      <c r="C480" t="s">
        <v>37</v>
      </c>
      <c r="D480">
        <v>9</v>
      </c>
      <c r="E480" t="s">
        <v>23</v>
      </c>
      <c r="F480">
        <v>14</v>
      </c>
      <c r="G480" t="s">
        <v>54</v>
      </c>
      <c r="H480" t="s">
        <v>1090</v>
      </c>
      <c r="I480">
        <v>92</v>
      </c>
      <c r="J480">
        <v>56</v>
      </c>
      <c r="K480">
        <v>81</v>
      </c>
      <c r="L480">
        <v>97</v>
      </c>
      <c r="M480">
        <v>49</v>
      </c>
      <c r="N480">
        <v>69</v>
      </c>
      <c r="O480">
        <v>352</v>
      </c>
      <c r="P480">
        <v>70.400000000000006</v>
      </c>
      <c r="Q480" t="s">
        <v>40</v>
      </c>
      <c r="R480" t="s">
        <v>27</v>
      </c>
      <c r="S480">
        <v>3190</v>
      </c>
      <c r="T480" t="s">
        <v>70</v>
      </c>
      <c r="U480" t="str">
        <f t="shared" si="7"/>
        <v>Pass</v>
      </c>
    </row>
    <row r="481" spans="1:21">
      <c r="A481" t="s">
        <v>1091</v>
      </c>
      <c r="B481" t="s">
        <v>148</v>
      </c>
      <c r="C481" t="s">
        <v>22</v>
      </c>
      <c r="D481">
        <v>1</v>
      </c>
      <c r="E481" t="s">
        <v>47</v>
      </c>
      <c r="F481">
        <v>7</v>
      </c>
      <c r="G481" t="s">
        <v>32</v>
      </c>
      <c r="H481" t="s">
        <v>1092</v>
      </c>
      <c r="I481">
        <v>85</v>
      </c>
      <c r="J481">
        <v>80</v>
      </c>
      <c r="K481">
        <v>67</v>
      </c>
      <c r="L481">
        <v>39</v>
      </c>
      <c r="M481">
        <v>100</v>
      </c>
      <c r="N481">
        <v>57</v>
      </c>
      <c r="O481">
        <v>343</v>
      </c>
      <c r="P481">
        <v>68.599999999999994</v>
      </c>
      <c r="Q481" t="s">
        <v>26</v>
      </c>
      <c r="R481" t="s">
        <v>41</v>
      </c>
      <c r="S481">
        <v>4411</v>
      </c>
      <c r="T481" t="s">
        <v>34</v>
      </c>
      <c r="U481" t="str">
        <f t="shared" si="7"/>
        <v>Pass</v>
      </c>
    </row>
    <row r="482" spans="1:21">
      <c r="A482" t="s">
        <v>1093</v>
      </c>
      <c r="B482" t="s">
        <v>219</v>
      </c>
      <c r="C482" t="s">
        <v>37</v>
      </c>
      <c r="D482">
        <v>4</v>
      </c>
      <c r="E482" t="s">
        <v>26</v>
      </c>
      <c r="F482">
        <v>8</v>
      </c>
      <c r="G482" t="s">
        <v>38</v>
      </c>
      <c r="H482" t="s">
        <v>842</v>
      </c>
      <c r="I482">
        <v>66</v>
      </c>
      <c r="J482">
        <v>58</v>
      </c>
      <c r="K482">
        <v>64</v>
      </c>
      <c r="L482">
        <v>71</v>
      </c>
      <c r="M482">
        <v>69</v>
      </c>
      <c r="N482">
        <v>96</v>
      </c>
      <c r="O482">
        <v>358</v>
      </c>
      <c r="P482">
        <v>71.599999999999994</v>
      </c>
      <c r="Q482" t="s">
        <v>40</v>
      </c>
      <c r="R482" t="s">
        <v>41</v>
      </c>
      <c r="S482">
        <v>2572</v>
      </c>
      <c r="T482" t="s">
        <v>42</v>
      </c>
      <c r="U482" t="str">
        <f t="shared" si="7"/>
        <v>Pass</v>
      </c>
    </row>
    <row r="483" spans="1:21">
      <c r="A483" t="s">
        <v>1094</v>
      </c>
      <c r="B483" t="s">
        <v>824</v>
      </c>
      <c r="C483" t="s">
        <v>37</v>
      </c>
      <c r="D483">
        <v>6</v>
      </c>
      <c r="E483" t="s">
        <v>23</v>
      </c>
      <c r="F483">
        <v>11</v>
      </c>
      <c r="G483" t="s">
        <v>24</v>
      </c>
      <c r="H483" t="s">
        <v>1095</v>
      </c>
      <c r="I483">
        <v>97</v>
      </c>
      <c r="J483">
        <v>50</v>
      </c>
      <c r="K483">
        <v>37</v>
      </c>
      <c r="L483">
        <v>43</v>
      </c>
      <c r="M483">
        <v>93</v>
      </c>
      <c r="N483">
        <v>63</v>
      </c>
      <c r="O483">
        <v>286</v>
      </c>
      <c r="P483">
        <v>57.2</v>
      </c>
      <c r="Q483" t="s">
        <v>31</v>
      </c>
      <c r="R483" t="s">
        <v>27</v>
      </c>
      <c r="S483">
        <v>1846</v>
      </c>
      <c r="T483" t="s">
        <v>34</v>
      </c>
      <c r="U483" t="str">
        <f t="shared" si="7"/>
        <v>Pass</v>
      </c>
    </row>
    <row r="484" spans="1:21">
      <c r="A484" t="s">
        <v>1096</v>
      </c>
      <c r="B484" t="s">
        <v>277</v>
      </c>
      <c r="C484" t="s">
        <v>22</v>
      </c>
      <c r="D484">
        <v>11</v>
      </c>
      <c r="E484" t="s">
        <v>26</v>
      </c>
      <c r="F484">
        <v>15</v>
      </c>
      <c r="G484" t="s">
        <v>45</v>
      </c>
      <c r="H484" t="s">
        <v>1097</v>
      </c>
      <c r="I484">
        <v>62</v>
      </c>
      <c r="J484">
        <v>71</v>
      </c>
      <c r="K484">
        <v>49</v>
      </c>
      <c r="L484">
        <v>54</v>
      </c>
      <c r="M484">
        <v>58</v>
      </c>
      <c r="N484">
        <v>47</v>
      </c>
      <c r="O484">
        <v>279</v>
      </c>
      <c r="P484">
        <v>55.8</v>
      </c>
      <c r="Q484" t="s">
        <v>31</v>
      </c>
      <c r="R484" t="s">
        <v>27</v>
      </c>
      <c r="S484">
        <v>3432</v>
      </c>
      <c r="T484" t="s">
        <v>66</v>
      </c>
      <c r="U484" t="str">
        <f t="shared" si="7"/>
        <v>Pass</v>
      </c>
    </row>
    <row r="485" spans="1:21">
      <c r="A485" t="s">
        <v>1098</v>
      </c>
      <c r="B485" t="s">
        <v>165</v>
      </c>
      <c r="C485" t="s">
        <v>22</v>
      </c>
      <c r="D485">
        <v>5</v>
      </c>
      <c r="E485" t="s">
        <v>47</v>
      </c>
      <c r="F485">
        <v>11</v>
      </c>
      <c r="G485" t="s">
        <v>38</v>
      </c>
      <c r="H485" t="s">
        <v>1099</v>
      </c>
      <c r="I485">
        <v>80</v>
      </c>
      <c r="J485">
        <v>39</v>
      </c>
      <c r="K485">
        <v>67</v>
      </c>
      <c r="L485">
        <v>82</v>
      </c>
      <c r="M485">
        <v>85</v>
      </c>
      <c r="N485">
        <v>75</v>
      </c>
      <c r="O485">
        <v>348</v>
      </c>
      <c r="P485">
        <v>69.599999999999994</v>
      </c>
      <c r="Q485" t="s">
        <v>26</v>
      </c>
      <c r="R485" t="s">
        <v>41</v>
      </c>
      <c r="S485">
        <v>2605</v>
      </c>
      <c r="T485" t="s">
        <v>48</v>
      </c>
      <c r="U485" t="str">
        <f t="shared" si="7"/>
        <v>Pass</v>
      </c>
    </row>
    <row r="486" spans="1:21">
      <c r="A486" t="s">
        <v>1100</v>
      </c>
      <c r="B486" t="s">
        <v>72</v>
      </c>
      <c r="C486" t="s">
        <v>22</v>
      </c>
      <c r="D486">
        <v>4</v>
      </c>
      <c r="E486" t="s">
        <v>26</v>
      </c>
      <c r="F486">
        <v>9</v>
      </c>
      <c r="G486" t="s">
        <v>54</v>
      </c>
      <c r="H486" t="s">
        <v>1101</v>
      </c>
      <c r="I486">
        <v>91</v>
      </c>
      <c r="J486">
        <v>100</v>
      </c>
      <c r="K486">
        <v>95</v>
      </c>
      <c r="L486">
        <v>88</v>
      </c>
      <c r="M486">
        <v>68</v>
      </c>
      <c r="N486">
        <v>76</v>
      </c>
      <c r="O486">
        <v>427</v>
      </c>
      <c r="P486">
        <v>85.4</v>
      </c>
      <c r="Q486" t="s">
        <v>47</v>
      </c>
      <c r="R486" t="s">
        <v>27</v>
      </c>
      <c r="S486">
        <v>4317</v>
      </c>
      <c r="T486" t="s">
        <v>42</v>
      </c>
      <c r="U486" t="str">
        <f t="shared" si="7"/>
        <v>Pass</v>
      </c>
    </row>
    <row r="487" spans="1:21">
      <c r="A487" t="s">
        <v>1102</v>
      </c>
      <c r="B487" t="s">
        <v>518</v>
      </c>
      <c r="C487" t="s">
        <v>22</v>
      </c>
      <c r="D487">
        <v>6</v>
      </c>
      <c r="E487" t="s">
        <v>23</v>
      </c>
      <c r="F487">
        <v>10</v>
      </c>
      <c r="G487" t="s">
        <v>54</v>
      </c>
      <c r="H487" t="s">
        <v>1103</v>
      </c>
      <c r="I487">
        <v>87</v>
      </c>
      <c r="J487">
        <v>86</v>
      </c>
      <c r="K487">
        <v>95</v>
      </c>
      <c r="L487">
        <v>44</v>
      </c>
      <c r="M487">
        <v>43</v>
      </c>
      <c r="N487">
        <v>38</v>
      </c>
      <c r="O487">
        <v>306</v>
      </c>
      <c r="P487">
        <v>61.2</v>
      </c>
      <c r="Q487" t="s">
        <v>26</v>
      </c>
      <c r="R487" t="s">
        <v>27</v>
      </c>
      <c r="S487">
        <v>2793</v>
      </c>
      <c r="T487" t="s">
        <v>66</v>
      </c>
      <c r="U487" t="str">
        <f t="shared" si="7"/>
        <v>Pass</v>
      </c>
    </row>
    <row r="488" spans="1:21">
      <c r="A488" t="s">
        <v>1104</v>
      </c>
      <c r="B488" t="s">
        <v>308</v>
      </c>
      <c r="C488" t="s">
        <v>37</v>
      </c>
      <c r="D488">
        <v>5</v>
      </c>
      <c r="E488" t="s">
        <v>31</v>
      </c>
      <c r="F488">
        <v>9</v>
      </c>
      <c r="G488" t="s">
        <v>32</v>
      </c>
      <c r="H488" t="s">
        <v>381</v>
      </c>
      <c r="I488">
        <v>83</v>
      </c>
      <c r="J488">
        <v>60</v>
      </c>
      <c r="K488">
        <v>43</v>
      </c>
      <c r="L488">
        <v>78</v>
      </c>
      <c r="M488">
        <v>43</v>
      </c>
      <c r="N488">
        <v>87</v>
      </c>
      <c r="O488">
        <v>311</v>
      </c>
      <c r="P488">
        <v>62.2</v>
      </c>
      <c r="Q488" t="s">
        <v>26</v>
      </c>
      <c r="R488" t="s">
        <v>41</v>
      </c>
      <c r="S488">
        <v>4565</v>
      </c>
      <c r="T488" t="s">
        <v>48</v>
      </c>
      <c r="U488" t="str">
        <f t="shared" si="7"/>
        <v>Pass</v>
      </c>
    </row>
    <row r="489" spans="1:21">
      <c r="A489" t="s">
        <v>1105</v>
      </c>
      <c r="B489" t="s">
        <v>261</v>
      </c>
      <c r="C489" t="s">
        <v>37</v>
      </c>
      <c r="D489">
        <v>5</v>
      </c>
      <c r="E489" t="s">
        <v>23</v>
      </c>
      <c r="F489">
        <v>10</v>
      </c>
      <c r="G489" t="s">
        <v>64</v>
      </c>
      <c r="H489" t="s">
        <v>558</v>
      </c>
      <c r="I489">
        <v>79</v>
      </c>
      <c r="J489">
        <v>59</v>
      </c>
      <c r="K489">
        <v>87</v>
      </c>
      <c r="L489">
        <v>83</v>
      </c>
      <c r="M489">
        <v>70</v>
      </c>
      <c r="N489">
        <v>94</v>
      </c>
      <c r="O489">
        <v>393</v>
      </c>
      <c r="P489">
        <v>78.599999999999994</v>
      </c>
      <c r="Q489" t="s">
        <v>40</v>
      </c>
      <c r="R489" t="s">
        <v>27</v>
      </c>
      <c r="S489">
        <v>4307</v>
      </c>
      <c r="T489" t="s">
        <v>42</v>
      </c>
      <c r="U489" t="str">
        <f t="shared" si="7"/>
        <v>Pass</v>
      </c>
    </row>
    <row r="490" spans="1:21">
      <c r="A490" t="s">
        <v>1106</v>
      </c>
      <c r="B490" t="s">
        <v>884</v>
      </c>
      <c r="C490" t="s">
        <v>22</v>
      </c>
      <c r="D490">
        <v>2</v>
      </c>
      <c r="E490" t="s">
        <v>23</v>
      </c>
      <c r="F490">
        <v>6</v>
      </c>
      <c r="G490" t="s">
        <v>54</v>
      </c>
      <c r="H490" t="s">
        <v>934</v>
      </c>
      <c r="I490">
        <v>76</v>
      </c>
      <c r="J490">
        <v>71</v>
      </c>
      <c r="K490">
        <v>97</v>
      </c>
      <c r="L490">
        <v>46</v>
      </c>
      <c r="M490">
        <v>40</v>
      </c>
      <c r="N490">
        <v>51</v>
      </c>
      <c r="O490">
        <v>305</v>
      </c>
      <c r="P490">
        <v>61</v>
      </c>
      <c r="Q490" t="s">
        <v>26</v>
      </c>
      <c r="R490" t="s">
        <v>27</v>
      </c>
      <c r="S490">
        <v>1736</v>
      </c>
      <c r="T490" t="s">
        <v>28</v>
      </c>
      <c r="U490" t="str">
        <f t="shared" si="7"/>
        <v>Pass</v>
      </c>
    </row>
    <row r="491" spans="1:21">
      <c r="A491" t="s">
        <v>1107</v>
      </c>
      <c r="B491" t="s">
        <v>308</v>
      </c>
      <c r="C491" t="s">
        <v>22</v>
      </c>
      <c r="D491">
        <v>12</v>
      </c>
      <c r="E491" t="s">
        <v>26</v>
      </c>
      <c r="F491">
        <v>18</v>
      </c>
      <c r="G491" t="s">
        <v>54</v>
      </c>
      <c r="H491" t="s">
        <v>320</v>
      </c>
      <c r="I491">
        <v>89</v>
      </c>
      <c r="J491">
        <v>86</v>
      </c>
      <c r="K491">
        <v>39</v>
      </c>
      <c r="L491">
        <v>48</v>
      </c>
      <c r="M491">
        <v>73</v>
      </c>
      <c r="N491">
        <v>46</v>
      </c>
      <c r="O491">
        <v>292</v>
      </c>
      <c r="P491">
        <v>58.4</v>
      </c>
      <c r="Q491" t="s">
        <v>31</v>
      </c>
      <c r="R491" t="s">
        <v>27</v>
      </c>
      <c r="S491">
        <v>3813</v>
      </c>
      <c r="T491" t="s">
        <v>42</v>
      </c>
      <c r="U491" t="str">
        <f t="shared" si="7"/>
        <v>Pass</v>
      </c>
    </row>
    <row r="492" spans="1:21">
      <c r="A492" t="s">
        <v>1108</v>
      </c>
      <c r="B492" t="s">
        <v>493</v>
      </c>
      <c r="C492" t="s">
        <v>37</v>
      </c>
      <c r="D492">
        <v>4</v>
      </c>
      <c r="E492" t="s">
        <v>23</v>
      </c>
      <c r="F492">
        <v>10</v>
      </c>
      <c r="G492" t="s">
        <v>32</v>
      </c>
      <c r="H492" t="s">
        <v>1109</v>
      </c>
      <c r="I492">
        <v>86</v>
      </c>
      <c r="J492">
        <v>74</v>
      </c>
      <c r="K492">
        <v>89</v>
      </c>
      <c r="L492">
        <v>84</v>
      </c>
      <c r="M492">
        <v>43</v>
      </c>
      <c r="N492">
        <v>80</v>
      </c>
      <c r="O492">
        <v>370</v>
      </c>
      <c r="P492">
        <v>74</v>
      </c>
      <c r="Q492" t="s">
        <v>40</v>
      </c>
      <c r="R492" t="s">
        <v>27</v>
      </c>
      <c r="S492">
        <v>3939</v>
      </c>
      <c r="T492" t="s">
        <v>70</v>
      </c>
      <c r="U492" t="str">
        <f t="shared" si="7"/>
        <v>Pass</v>
      </c>
    </row>
    <row r="493" spans="1:21">
      <c r="A493" t="s">
        <v>1110</v>
      </c>
      <c r="B493" t="s">
        <v>134</v>
      </c>
      <c r="C493" t="s">
        <v>22</v>
      </c>
      <c r="D493">
        <v>7</v>
      </c>
      <c r="E493" t="s">
        <v>47</v>
      </c>
      <c r="F493">
        <v>13</v>
      </c>
      <c r="G493" t="s">
        <v>38</v>
      </c>
      <c r="H493" t="s">
        <v>1111</v>
      </c>
      <c r="I493">
        <v>97</v>
      </c>
      <c r="J493">
        <v>84</v>
      </c>
      <c r="K493">
        <v>86</v>
      </c>
      <c r="L493">
        <v>62</v>
      </c>
      <c r="M493">
        <v>78</v>
      </c>
      <c r="N493">
        <v>58</v>
      </c>
      <c r="O493">
        <v>368</v>
      </c>
      <c r="P493">
        <v>73.599999999999994</v>
      </c>
      <c r="Q493" t="s">
        <v>40</v>
      </c>
      <c r="R493" t="s">
        <v>41</v>
      </c>
      <c r="S493">
        <v>3421</v>
      </c>
      <c r="T493" t="s">
        <v>48</v>
      </c>
      <c r="U493" t="str">
        <f t="shared" si="7"/>
        <v>Pass</v>
      </c>
    </row>
    <row r="494" spans="1:21">
      <c r="A494" t="s">
        <v>1112</v>
      </c>
      <c r="B494" t="s">
        <v>735</v>
      </c>
      <c r="C494" t="s">
        <v>22</v>
      </c>
      <c r="D494">
        <v>2</v>
      </c>
      <c r="E494" t="s">
        <v>31</v>
      </c>
      <c r="F494">
        <v>8</v>
      </c>
      <c r="G494" t="s">
        <v>24</v>
      </c>
      <c r="H494" t="s">
        <v>1113</v>
      </c>
      <c r="I494">
        <v>68</v>
      </c>
      <c r="J494">
        <v>78</v>
      </c>
      <c r="K494">
        <v>47</v>
      </c>
      <c r="L494">
        <v>65</v>
      </c>
      <c r="M494">
        <v>55</v>
      </c>
      <c r="N494">
        <v>63</v>
      </c>
      <c r="O494">
        <v>308</v>
      </c>
      <c r="P494">
        <v>61.6</v>
      </c>
      <c r="Q494" t="s">
        <v>26</v>
      </c>
      <c r="R494" t="s">
        <v>27</v>
      </c>
      <c r="S494">
        <v>2214</v>
      </c>
      <c r="T494" t="s">
        <v>34</v>
      </c>
      <c r="U494" t="str">
        <f t="shared" si="7"/>
        <v>Pass</v>
      </c>
    </row>
    <row r="495" spans="1:21">
      <c r="A495" t="s">
        <v>1114</v>
      </c>
      <c r="B495" t="s">
        <v>87</v>
      </c>
      <c r="C495" t="s">
        <v>22</v>
      </c>
      <c r="D495">
        <v>1</v>
      </c>
      <c r="E495" t="s">
        <v>23</v>
      </c>
      <c r="F495">
        <v>6</v>
      </c>
      <c r="G495" t="s">
        <v>58</v>
      </c>
      <c r="H495" t="s">
        <v>320</v>
      </c>
      <c r="I495">
        <v>70</v>
      </c>
      <c r="J495">
        <v>74</v>
      </c>
      <c r="K495">
        <v>74</v>
      </c>
      <c r="L495">
        <v>77</v>
      </c>
      <c r="M495">
        <v>59</v>
      </c>
      <c r="N495">
        <v>76</v>
      </c>
      <c r="O495">
        <v>360</v>
      </c>
      <c r="P495">
        <v>72</v>
      </c>
      <c r="Q495" t="s">
        <v>40</v>
      </c>
      <c r="R495" t="s">
        <v>41</v>
      </c>
      <c r="S495">
        <v>4780</v>
      </c>
      <c r="T495" t="s">
        <v>48</v>
      </c>
      <c r="U495" t="str">
        <f t="shared" si="7"/>
        <v>Pass</v>
      </c>
    </row>
    <row r="496" spans="1:21">
      <c r="A496" t="s">
        <v>1115</v>
      </c>
      <c r="B496" t="s">
        <v>190</v>
      </c>
      <c r="C496" t="s">
        <v>37</v>
      </c>
      <c r="D496">
        <v>11</v>
      </c>
      <c r="E496" t="s">
        <v>23</v>
      </c>
      <c r="F496">
        <v>15</v>
      </c>
      <c r="G496" t="s">
        <v>54</v>
      </c>
      <c r="H496" t="s">
        <v>1116</v>
      </c>
      <c r="I496">
        <v>89</v>
      </c>
      <c r="J496">
        <v>50</v>
      </c>
      <c r="K496">
        <v>80</v>
      </c>
      <c r="L496">
        <v>95</v>
      </c>
      <c r="M496">
        <v>76</v>
      </c>
      <c r="N496">
        <v>81</v>
      </c>
      <c r="O496">
        <v>382</v>
      </c>
      <c r="P496">
        <v>76.400000000000006</v>
      </c>
      <c r="Q496" t="s">
        <v>40</v>
      </c>
      <c r="R496" t="s">
        <v>41</v>
      </c>
      <c r="S496">
        <v>3886</v>
      </c>
      <c r="T496" t="s">
        <v>48</v>
      </c>
      <c r="U496" t="str">
        <f t="shared" si="7"/>
        <v>Pass</v>
      </c>
    </row>
    <row r="497" spans="1:21">
      <c r="A497" t="s">
        <v>1117</v>
      </c>
      <c r="B497" t="s">
        <v>884</v>
      </c>
      <c r="C497" t="s">
        <v>22</v>
      </c>
      <c r="D497">
        <v>7</v>
      </c>
      <c r="E497" t="s">
        <v>31</v>
      </c>
      <c r="F497">
        <v>13</v>
      </c>
      <c r="G497" t="s">
        <v>32</v>
      </c>
      <c r="H497" t="s">
        <v>1118</v>
      </c>
      <c r="I497">
        <v>60</v>
      </c>
      <c r="J497">
        <v>35</v>
      </c>
      <c r="K497">
        <v>55</v>
      </c>
      <c r="L497">
        <v>47</v>
      </c>
      <c r="M497">
        <v>69</v>
      </c>
      <c r="N497">
        <v>44</v>
      </c>
      <c r="O497">
        <v>250</v>
      </c>
      <c r="P497">
        <v>50</v>
      </c>
      <c r="Q497" t="s">
        <v>31</v>
      </c>
      <c r="R497" t="s">
        <v>41</v>
      </c>
      <c r="S497">
        <v>2815</v>
      </c>
      <c r="T497" t="s">
        <v>34</v>
      </c>
      <c r="U497" t="str">
        <f t="shared" si="7"/>
        <v>Fail</v>
      </c>
    </row>
    <row r="498" spans="1:21">
      <c r="A498" t="s">
        <v>1119</v>
      </c>
      <c r="B498" t="s">
        <v>175</v>
      </c>
      <c r="C498" t="s">
        <v>22</v>
      </c>
      <c r="D498">
        <v>1</v>
      </c>
      <c r="E498" t="s">
        <v>47</v>
      </c>
      <c r="F498">
        <v>6</v>
      </c>
      <c r="G498" t="s">
        <v>38</v>
      </c>
      <c r="H498" t="s">
        <v>1120</v>
      </c>
      <c r="I498">
        <v>72</v>
      </c>
      <c r="J498">
        <v>41</v>
      </c>
      <c r="K498">
        <v>98</v>
      </c>
      <c r="L498">
        <v>48</v>
      </c>
      <c r="M498">
        <v>50</v>
      </c>
      <c r="N498">
        <v>49</v>
      </c>
      <c r="O498">
        <v>286</v>
      </c>
      <c r="P498">
        <v>57.2</v>
      </c>
      <c r="Q498" t="s">
        <v>31</v>
      </c>
      <c r="R498" t="s">
        <v>41</v>
      </c>
      <c r="S498">
        <v>4803</v>
      </c>
      <c r="T498" t="s">
        <v>70</v>
      </c>
      <c r="U498" t="str">
        <f t="shared" si="7"/>
        <v>Pass</v>
      </c>
    </row>
    <row r="499" spans="1:21">
      <c r="A499" t="s">
        <v>1121</v>
      </c>
      <c r="B499" t="s">
        <v>622</v>
      </c>
      <c r="C499" t="s">
        <v>37</v>
      </c>
      <c r="D499">
        <v>5</v>
      </c>
      <c r="E499" t="s">
        <v>23</v>
      </c>
      <c r="F499">
        <v>10</v>
      </c>
      <c r="G499" t="s">
        <v>54</v>
      </c>
      <c r="H499" t="s">
        <v>1122</v>
      </c>
      <c r="I499">
        <v>61</v>
      </c>
      <c r="J499">
        <v>46</v>
      </c>
      <c r="K499">
        <v>75</v>
      </c>
      <c r="L499">
        <v>89</v>
      </c>
      <c r="M499">
        <v>49</v>
      </c>
      <c r="N499">
        <v>38</v>
      </c>
      <c r="O499">
        <v>297</v>
      </c>
      <c r="P499">
        <v>59.4</v>
      </c>
      <c r="Q499" t="s">
        <v>31</v>
      </c>
      <c r="R499" t="s">
        <v>27</v>
      </c>
      <c r="S499">
        <v>1525</v>
      </c>
      <c r="T499" t="s">
        <v>28</v>
      </c>
      <c r="U499" t="str">
        <f t="shared" si="7"/>
        <v>Pass</v>
      </c>
    </row>
    <row r="500" spans="1:21">
      <c r="A500" t="s">
        <v>1123</v>
      </c>
      <c r="B500" t="s">
        <v>126</v>
      </c>
      <c r="C500" t="s">
        <v>37</v>
      </c>
      <c r="D500">
        <v>6</v>
      </c>
      <c r="E500" t="s">
        <v>31</v>
      </c>
      <c r="F500">
        <v>12</v>
      </c>
      <c r="G500" t="s">
        <v>64</v>
      </c>
      <c r="H500" t="s">
        <v>1124</v>
      </c>
      <c r="I500">
        <v>80</v>
      </c>
      <c r="J500">
        <v>77</v>
      </c>
      <c r="K500">
        <v>46</v>
      </c>
      <c r="L500">
        <v>55</v>
      </c>
      <c r="M500">
        <v>67</v>
      </c>
      <c r="N500">
        <v>52</v>
      </c>
      <c r="O500">
        <v>297</v>
      </c>
      <c r="P500">
        <v>59.4</v>
      </c>
      <c r="Q500" t="s">
        <v>31</v>
      </c>
      <c r="R500" t="s">
        <v>27</v>
      </c>
      <c r="S500">
        <v>4535</v>
      </c>
      <c r="T500" t="s">
        <v>28</v>
      </c>
      <c r="U500" t="str">
        <f t="shared" si="7"/>
        <v>Pass</v>
      </c>
    </row>
    <row r="501" spans="1:21">
      <c r="A501" t="s">
        <v>1125</v>
      </c>
      <c r="B501" t="s">
        <v>175</v>
      </c>
      <c r="C501" t="s">
        <v>37</v>
      </c>
      <c r="D501">
        <v>10</v>
      </c>
      <c r="E501" t="s">
        <v>31</v>
      </c>
      <c r="F501">
        <v>15</v>
      </c>
      <c r="G501" t="s">
        <v>58</v>
      </c>
      <c r="H501" t="s">
        <v>1126</v>
      </c>
      <c r="I501">
        <v>60</v>
      </c>
      <c r="J501">
        <v>97</v>
      </c>
      <c r="K501">
        <v>65</v>
      </c>
      <c r="L501">
        <v>52</v>
      </c>
      <c r="M501">
        <v>80</v>
      </c>
      <c r="N501">
        <v>88</v>
      </c>
      <c r="O501">
        <v>382</v>
      </c>
      <c r="P501">
        <v>76.400000000000006</v>
      </c>
      <c r="Q501" t="s">
        <v>40</v>
      </c>
      <c r="R501" t="s">
        <v>41</v>
      </c>
      <c r="S501">
        <v>2507</v>
      </c>
      <c r="T501" t="s">
        <v>70</v>
      </c>
      <c r="U501" t="str">
        <f t="shared" si="7"/>
        <v>Pass</v>
      </c>
    </row>
    <row r="502" spans="1:21">
      <c r="A502" t="s">
        <v>1127</v>
      </c>
      <c r="B502" t="s">
        <v>835</v>
      </c>
      <c r="C502" t="s">
        <v>37</v>
      </c>
      <c r="D502">
        <v>5</v>
      </c>
      <c r="E502" t="s">
        <v>26</v>
      </c>
      <c r="F502">
        <v>10</v>
      </c>
      <c r="G502" t="s">
        <v>32</v>
      </c>
      <c r="H502" t="s">
        <v>1128</v>
      </c>
      <c r="I502">
        <v>79</v>
      </c>
      <c r="J502">
        <v>39</v>
      </c>
      <c r="K502">
        <v>64</v>
      </c>
      <c r="L502">
        <v>58</v>
      </c>
      <c r="M502">
        <v>40</v>
      </c>
      <c r="N502">
        <v>55</v>
      </c>
      <c r="O502">
        <v>256</v>
      </c>
      <c r="P502">
        <v>51.2</v>
      </c>
      <c r="Q502" t="s">
        <v>31</v>
      </c>
      <c r="R502" t="s">
        <v>27</v>
      </c>
      <c r="S502">
        <v>4095</v>
      </c>
      <c r="T502" t="s">
        <v>66</v>
      </c>
      <c r="U502" t="str">
        <f t="shared" si="7"/>
        <v>Fail</v>
      </c>
    </row>
    <row r="503" spans="1:21">
      <c r="A503" t="s">
        <v>1129</v>
      </c>
      <c r="B503" t="s">
        <v>184</v>
      </c>
      <c r="C503" t="s">
        <v>22</v>
      </c>
      <c r="D503">
        <v>7</v>
      </c>
      <c r="E503" t="s">
        <v>26</v>
      </c>
      <c r="F503">
        <v>12</v>
      </c>
      <c r="G503" t="s">
        <v>64</v>
      </c>
      <c r="H503" t="s">
        <v>1130</v>
      </c>
      <c r="I503">
        <v>63</v>
      </c>
      <c r="J503">
        <v>94</v>
      </c>
      <c r="K503">
        <v>55</v>
      </c>
      <c r="L503">
        <v>96</v>
      </c>
      <c r="M503">
        <v>60</v>
      </c>
      <c r="N503">
        <v>98</v>
      </c>
      <c r="O503">
        <v>403</v>
      </c>
      <c r="P503">
        <v>80.599999999999994</v>
      </c>
      <c r="Q503" t="s">
        <v>47</v>
      </c>
      <c r="R503" t="s">
        <v>27</v>
      </c>
      <c r="S503">
        <v>4112</v>
      </c>
      <c r="T503" t="s">
        <v>42</v>
      </c>
      <c r="U503" t="str">
        <f t="shared" si="7"/>
        <v>Pass</v>
      </c>
    </row>
    <row r="504" spans="1:21">
      <c r="A504" t="s">
        <v>1131</v>
      </c>
      <c r="B504" t="s">
        <v>735</v>
      </c>
      <c r="C504" t="s">
        <v>37</v>
      </c>
      <c r="D504">
        <v>2</v>
      </c>
      <c r="E504" t="s">
        <v>31</v>
      </c>
      <c r="F504">
        <v>7</v>
      </c>
      <c r="G504" t="s">
        <v>54</v>
      </c>
      <c r="H504" t="s">
        <v>1132</v>
      </c>
      <c r="I504">
        <v>89</v>
      </c>
      <c r="J504">
        <v>56</v>
      </c>
      <c r="K504">
        <v>81</v>
      </c>
      <c r="L504">
        <v>50</v>
      </c>
      <c r="M504">
        <v>53</v>
      </c>
      <c r="N504">
        <v>87</v>
      </c>
      <c r="O504">
        <v>327</v>
      </c>
      <c r="P504">
        <v>65.400000000000006</v>
      </c>
      <c r="Q504" t="s">
        <v>26</v>
      </c>
      <c r="R504" t="s">
        <v>27</v>
      </c>
      <c r="S504">
        <v>2533</v>
      </c>
      <c r="T504" t="s">
        <v>42</v>
      </c>
      <c r="U504" t="str">
        <f t="shared" si="7"/>
        <v>Pass</v>
      </c>
    </row>
    <row r="505" spans="1:21">
      <c r="A505" t="s">
        <v>1133</v>
      </c>
      <c r="B505" t="s">
        <v>231</v>
      </c>
      <c r="C505" t="s">
        <v>37</v>
      </c>
      <c r="D505">
        <v>3</v>
      </c>
      <c r="E505" t="s">
        <v>31</v>
      </c>
      <c r="F505">
        <v>9</v>
      </c>
      <c r="G505" t="s">
        <v>45</v>
      </c>
      <c r="H505" t="s">
        <v>1134</v>
      </c>
      <c r="I505">
        <v>64</v>
      </c>
      <c r="J505">
        <v>75</v>
      </c>
      <c r="K505">
        <v>56</v>
      </c>
      <c r="L505">
        <v>76</v>
      </c>
      <c r="M505">
        <v>97</v>
      </c>
      <c r="N505">
        <v>81</v>
      </c>
      <c r="O505">
        <v>385</v>
      </c>
      <c r="P505">
        <v>77</v>
      </c>
      <c r="Q505" t="s">
        <v>40</v>
      </c>
      <c r="R505" t="s">
        <v>41</v>
      </c>
      <c r="S505">
        <v>1855</v>
      </c>
      <c r="T505" t="s">
        <v>70</v>
      </c>
      <c r="U505" t="str">
        <f t="shared" si="7"/>
        <v>Pass</v>
      </c>
    </row>
    <row r="506" spans="1:21">
      <c r="A506" t="s">
        <v>1135</v>
      </c>
      <c r="B506" t="s">
        <v>335</v>
      </c>
      <c r="C506" t="s">
        <v>22</v>
      </c>
      <c r="D506">
        <v>11</v>
      </c>
      <c r="E506" t="s">
        <v>26</v>
      </c>
      <c r="F506">
        <v>17</v>
      </c>
      <c r="G506" t="s">
        <v>64</v>
      </c>
      <c r="H506" t="s">
        <v>1136</v>
      </c>
      <c r="I506">
        <v>81</v>
      </c>
      <c r="J506">
        <v>41</v>
      </c>
      <c r="K506">
        <v>67</v>
      </c>
      <c r="L506">
        <v>84</v>
      </c>
      <c r="M506">
        <v>36</v>
      </c>
      <c r="N506">
        <v>37</v>
      </c>
      <c r="O506">
        <v>265</v>
      </c>
      <c r="P506">
        <v>53</v>
      </c>
      <c r="Q506" t="s">
        <v>31</v>
      </c>
      <c r="R506" t="s">
        <v>41</v>
      </c>
      <c r="S506">
        <v>3692</v>
      </c>
      <c r="T506" t="s">
        <v>48</v>
      </c>
      <c r="U506" t="str">
        <f t="shared" si="7"/>
        <v>Fail</v>
      </c>
    </row>
    <row r="507" spans="1:21">
      <c r="A507" t="s">
        <v>1137</v>
      </c>
      <c r="B507" t="s">
        <v>295</v>
      </c>
      <c r="C507" t="s">
        <v>37</v>
      </c>
      <c r="D507">
        <v>5</v>
      </c>
      <c r="E507" t="s">
        <v>31</v>
      </c>
      <c r="F507">
        <v>9</v>
      </c>
      <c r="G507" t="s">
        <v>45</v>
      </c>
      <c r="H507" t="s">
        <v>1138</v>
      </c>
      <c r="I507">
        <v>91</v>
      </c>
      <c r="J507">
        <v>62</v>
      </c>
      <c r="K507">
        <v>50</v>
      </c>
      <c r="L507">
        <v>47</v>
      </c>
      <c r="M507">
        <v>40</v>
      </c>
      <c r="N507">
        <v>46</v>
      </c>
      <c r="O507">
        <v>245</v>
      </c>
      <c r="P507">
        <v>49</v>
      </c>
      <c r="Q507" t="s">
        <v>23</v>
      </c>
      <c r="R507" t="s">
        <v>27</v>
      </c>
      <c r="S507">
        <v>2300</v>
      </c>
      <c r="T507" t="s">
        <v>48</v>
      </c>
      <c r="U507" t="str">
        <f t="shared" si="7"/>
        <v>Fail</v>
      </c>
    </row>
    <row r="508" spans="1:21">
      <c r="A508" t="s">
        <v>1139</v>
      </c>
      <c r="B508" t="s">
        <v>68</v>
      </c>
      <c r="C508" t="s">
        <v>37</v>
      </c>
      <c r="D508">
        <v>2</v>
      </c>
      <c r="E508" t="s">
        <v>31</v>
      </c>
      <c r="F508">
        <v>8</v>
      </c>
      <c r="G508" t="s">
        <v>58</v>
      </c>
      <c r="H508" t="s">
        <v>1140</v>
      </c>
      <c r="I508">
        <v>83</v>
      </c>
      <c r="J508">
        <v>71</v>
      </c>
      <c r="K508">
        <v>89</v>
      </c>
      <c r="L508">
        <v>99</v>
      </c>
      <c r="M508">
        <v>39</v>
      </c>
      <c r="N508">
        <v>36</v>
      </c>
      <c r="O508">
        <v>334</v>
      </c>
      <c r="P508">
        <v>66.8</v>
      </c>
      <c r="Q508" t="s">
        <v>26</v>
      </c>
      <c r="R508" t="s">
        <v>27</v>
      </c>
      <c r="S508">
        <v>4835</v>
      </c>
      <c r="T508" t="s">
        <v>66</v>
      </c>
      <c r="U508" t="str">
        <f t="shared" si="7"/>
        <v>Pass</v>
      </c>
    </row>
    <row r="509" spans="1:21">
      <c r="A509" t="s">
        <v>1141</v>
      </c>
      <c r="B509" t="s">
        <v>1142</v>
      </c>
      <c r="C509" t="s">
        <v>22</v>
      </c>
      <c r="D509">
        <v>7</v>
      </c>
      <c r="E509" t="s">
        <v>47</v>
      </c>
      <c r="F509">
        <v>13</v>
      </c>
      <c r="G509" t="s">
        <v>24</v>
      </c>
      <c r="H509" t="s">
        <v>1143</v>
      </c>
      <c r="I509">
        <v>80</v>
      </c>
      <c r="J509">
        <v>67</v>
      </c>
      <c r="K509">
        <v>82</v>
      </c>
      <c r="L509">
        <v>97</v>
      </c>
      <c r="M509">
        <v>55</v>
      </c>
      <c r="N509">
        <v>63</v>
      </c>
      <c r="O509">
        <v>364</v>
      </c>
      <c r="P509">
        <v>72.8</v>
      </c>
      <c r="Q509" t="s">
        <v>40</v>
      </c>
      <c r="R509" t="s">
        <v>27</v>
      </c>
      <c r="S509">
        <v>2015</v>
      </c>
      <c r="T509" t="s">
        <v>42</v>
      </c>
      <c r="U509" t="str">
        <f t="shared" si="7"/>
        <v>Pass</v>
      </c>
    </row>
    <row r="510" spans="1:21">
      <c r="A510" t="s">
        <v>1144</v>
      </c>
      <c r="B510" t="s">
        <v>247</v>
      </c>
      <c r="C510" t="s">
        <v>22</v>
      </c>
      <c r="D510">
        <v>12</v>
      </c>
      <c r="E510" t="s">
        <v>47</v>
      </c>
      <c r="F510">
        <v>16</v>
      </c>
      <c r="G510" t="s">
        <v>32</v>
      </c>
      <c r="H510" t="s">
        <v>1145</v>
      </c>
      <c r="I510">
        <v>73</v>
      </c>
      <c r="J510">
        <v>59</v>
      </c>
      <c r="K510">
        <v>78</v>
      </c>
      <c r="L510">
        <v>37</v>
      </c>
      <c r="M510">
        <v>46</v>
      </c>
      <c r="N510">
        <v>80</v>
      </c>
      <c r="O510">
        <v>300</v>
      </c>
      <c r="P510">
        <v>60</v>
      </c>
      <c r="Q510" t="s">
        <v>26</v>
      </c>
      <c r="R510" t="s">
        <v>41</v>
      </c>
      <c r="S510">
        <v>2160</v>
      </c>
      <c r="T510" t="s">
        <v>66</v>
      </c>
      <c r="U510" t="str">
        <f t="shared" si="7"/>
        <v>Pass</v>
      </c>
    </row>
    <row r="511" spans="1:21">
      <c r="A511" t="s">
        <v>1146</v>
      </c>
      <c r="B511" t="s">
        <v>247</v>
      </c>
      <c r="C511" t="s">
        <v>22</v>
      </c>
      <c r="D511">
        <v>8</v>
      </c>
      <c r="E511" t="s">
        <v>47</v>
      </c>
      <c r="F511">
        <v>12</v>
      </c>
      <c r="G511" t="s">
        <v>58</v>
      </c>
      <c r="H511" t="s">
        <v>1147</v>
      </c>
      <c r="I511">
        <v>60</v>
      </c>
      <c r="J511">
        <v>76</v>
      </c>
      <c r="K511">
        <v>35</v>
      </c>
      <c r="L511">
        <v>70</v>
      </c>
      <c r="M511">
        <v>83</v>
      </c>
      <c r="N511">
        <v>99</v>
      </c>
      <c r="O511">
        <v>363</v>
      </c>
      <c r="P511">
        <v>72.599999999999994</v>
      </c>
      <c r="Q511" t="s">
        <v>40</v>
      </c>
      <c r="R511" t="s">
        <v>27</v>
      </c>
      <c r="S511">
        <v>2698</v>
      </c>
      <c r="T511" t="s">
        <v>70</v>
      </c>
      <c r="U511" t="str">
        <f t="shared" si="7"/>
        <v>Pass</v>
      </c>
    </row>
    <row r="512" spans="1:21">
      <c r="A512" t="s">
        <v>1148</v>
      </c>
      <c r="B512" t="s">
        <v>389</v>
      </c>
      <c r="C512" t="s">
        <v>22</v>
      </c>
      <c r="D512">
        <v>1</v>
      </c>
      <c r="E512" t="s">
        <v>47</v>
      </c>
      <c r="F512">
        <v>7</v>
      </c>
      <c r="G512" t="s">
        <v>54</v>
      </c>
      <c r="H512" t="s">
        <v>1149</v>
      </c>
      <c r="I512">
        <v>70</v>
      </c>
      <c r="J512">
        <v>76</v>
      </c>
      <c r="K512">
        <v>50</v>
      </c>
      <c r="L512">
        <v>68</v>
      </c>
      <c r="M512">
        <v>86</v>
      </c>
      <c r="N512">
        <v>52</v>
      </c>
      <c r="O512">
        <v>332</v>
      </c>
      <c r="P512">
        <v>66.400000000000006</v>
      </c>
      <c r="Q512" t="s">
        <v>26</v>
      </c>
      <c r="R512" t="s">
        <v>27</v>
      </c>
      <c r="S512">
        <v>3602</v>
      </c>
      <c r="T512" t="s">
        <v>42</v>
      </c>
      <c r="U512" t="str">
        <f t="shared" si="7"/>
        <v>Pass</v>
      </c>
    </row>
    <row r="513" spans="1:21">
      <c r="A513" t="s">
        <v>1150</v>
      </c>
      <c r="B513" t="s">
        <v>295</v>
      </c>
      <c r="C513" t="s">
        <v>37</v>
      </c>
      <c r="D513">
        <v>8</v>
      </c>
      <c r="E513" t="s">
        <v>47</v>
      </c>
      <c r="F513">
        <v>13</v>
      </c>
      <c r="G513" t="s">
        <v>54</v>
      </c>
      <c r="H513" t="s">
        <v>1151</v>
      </c>
      <c r="I513">
        <v>88</v>
      </c>
      <c r="J513">
        <v>41</v>
      </c>
      <c r="K513">
        <v>69</v>
      </c>
      <c r="L513">
        <v>53</v>
      </c>
      <c r="M513">
        <v>46</v>
      </c>
      <c r="N513">
        <v>98</v>
      </c>
      <c r="O513">
        <v>307</v>
      </c>
      <c r="P513">
        <v>61.4</v>
      </c>
      <c r="Q513" t="s">
        <v>26</v>
      </c>
      <c r="R513" t="s">
        <v>27</v>
      </c>
      <c r="S513">
        <v>3281</v>
      </c>
      <c r="T513" t="s">
        <v>42</v>
      </c>
      <c r="U513" t="str">
        <f t="shared" si="7"/>
        <v>Pass</v>
      </c>
    </row>
    <row r="514" spans="1:21">
      <c r="A514" t="s">
        <v>1152</v>
      </c>
      <c r="B514" t="s">
        <v>365</v>
      </c>
      <c r="C514" t="s">
        <v>37</v>
      </c>
      <c r="D514">
        <v>8</v>
      </c>
      <c r="E514" t="s">
        <v>23</v>
      </c>
      <c r="F514">
        <v>12</v>
      </c>
      <c r="G514" t="s">
        <v>54</v>
      </c>
      <c r="H514" t="s">
        <v>1153</v>
      </c>
      <c r="I514">
        <v>94</v>
      </c>
      <c r="J514">
        <v>86</v>
      </c>
      <c r="K514">
        <v>98</v>
      </c>
      <c r="L514">
        <v>97</v>
      </c>
      <c r="M514">
        <v>95</v>
      </c>
      <c r="N514">
        <v>93</v>
      </c>
      <c r="O514">
        <v>469</v>
      </c>
      <c r="P514">
        <v>93.8</v>
      </c>
      <c r="Q514" t="s">
        <v>760</v>
      </c>
      <c r="R514" t="s">
        <v>27</v>
      </c>
      <c r="S514">
        <v>3905</v>
      </c>
      <c r="T514" t="s">
        <v>42</v>
      </c>
      <c r="U514" t="str">
        <f t="shared" si="7"/>
        <v>Pass</v>
      </c>
    </row>
    <row r="515" spans="1:21">
      <c r="A515" t="s">
        <v>1154</v>
      </c>
      <c r="B515" t="s">
        <v>408</v>
      </c>
      <c r="C515" t="s">
        <v>37</v>
      </c>
      <c r="D515">
        <v>1</v>
      </c>
      <c r="E515" t="s">
        <v>26</v>
      </c>
      <c r="F515">
        <v>7</v>
      </c>
      <c r="G515" t="s">
        <v>24</v>
      </c>
      <c r="H515" t="s">
        <v>1155</v>
      </c>
      <c r="I515">
        <v>88</v>
      </c>
      <c r="J515">
        <v>85</v>
      </c>
      <c r="K515">
        <v>77</v>
      </c>
      <c r="L515">
        <v>69</v>
      </c>
      <c r="M515">
        <v>83</v>
      </c>
      <c r="N515">
        <v>63</v>
      </c>
      <c r="O515">
        <v>377</v>
      </c>
      <c r="P515">
        <v>75.400000000000006</v>
      </c>
      <c r="Q515" t="s">
        <v>40</v>
      </c>
      <c r="R515" t="s">
        <v>27</v>
      </c>
      <c r="S515">
        <v>3097</v>
      </c>
      <c r="T515" t="s">
        <v>70</v>
      </c>
      <c r="U515" t="str">
        <f t="shared" ref="U515:U578" si="8">IF(P515&gt;55,"Pass","Fail")</f>
        <v>Pass</v>
      </c>
    </row>
    <row r="516" spans="1:21">
      <c r="A516" t="s">
        <v>1156</v>
      </c>
      <c r="B516" t="s">
        <v>426</v>
      </c>
      <c r="C516" t="s">
        <v>22</v>
      </c>
      <c r="D516">
        <v>6</v>
      </c>
      <c r="E516" t="s">
        <v>26</v>
      </c>
      <c r="F516">
        <v>10</v>
      </c>
      <c r="G516" t="s">
        <v>38</v>
      </c>
      <c r="H516" t="s">
        <v>1128</v>
      </c>
      <c r="I516">
        <v>85</v>
      </c>
      <c r="J516">
        <v>75</v>
      </c>
      <c r="K516">
        <v>96</v>
      </c>
      <c r="L516">
        <v>73</v>
      </c>
      <c r="M516">
        <v>55</v>
      </c>
      <c r="N516">
        <v>57</v>
      </c>
      <c r="O516">
        <v>356</v>
      </c>
      <c r="P516">
        <v>71.2</v>
      </c>
      <c r="Q516" t="s">
        <v>40</v>
      </c>
      <c r="R516" t="s">
        <v>27</v>
      </c>
      <c r="S516">
        <v>2558</v>
      </c>
      <c r="T516" t="s">
        <v>48</v>
      </c>
      <c r="U516" t="str">
        <f t="shared" si="8"/>
        <v>Pass</v>
      </c>
    </row>
    <row r="517" spans="1:21">
      <c r="A517" t="s">
        <v>1157</v>
      </c>
      <c r="B517" t="s">
        <v>1080</v>
      </c>
      <c r="C517" t="s">
        <v>22</v>
      </c>
      <c r="D517">
        <v>3</v>
      </c>
      <c r="E517" t="s">
        <v>31</v>
      </c>
      <c r="F517">
        <v>7</v>
      </c>
      <c r="G517" t="s">
        <v>58</v>
      </c>
      <c r="H517" t="s">
        <v>1158</v>
      </c>
      <c r="I517">
        <v>81</v>
      </c>
      <c r="J517">
        <v>93</v>
      </c>
      <c r="K517">
        <v>44</v>
      </c>
      <c r="L517">
        <v>60</v>
      </c>
      <c r="M517">
        <v>80</v>
      </c>
      <c r="N517">
        <v>37</v>
      </c>
      <c r="O517">
        <v>314</v>
      </c>
      <c r="P517">
        <v>62.8</v>
      </c>
      <c r="Q517" t="s">
        <v>26</v>
      </c>
      <c r="R517" t="s">
        <v>41</v>
      </c>
      <c r="S517">
        <v>4555</v>
      </c>
      <c r="T517" t="s">
        <v>70</v>
      </c>
      <c r="U517" t="str">
        <f t="shared" si="8"/>
        <v>Pass</v>
      </c>
    </row>
    <row r="518" spans="1:21">
      <c r="A518" t="s">
        <v>1159</v>
      </c>
      <c r="B518" t="s">
        <v>900</v>
      </c>
      <c r="C518" t="s">
        <v>22</v>
      </c>
      <c r="D518">
        <v>6</v>
      </c>
      <c r="E518" t="s">
        <v>47</v>
      </c>
      <c r="F518">
        <v>12</v>
      </c>
      <c r="G518" t="s">
        <v>58</v>
      </c>
      <c r="H518" t="s">
        <v>1160</v>
      </c>
      <c r="I518">
        <v>75</v>
      </c>
      <c r="J518">
        <v>95</v>
      </c>
      <c r="K518">
        <v>75</v>
      </c>
      <c r="L518">
        <v>43</v>
      </c>
      <c r="M518">
        <v>43</v>
      </c>
      <c r="N518">
        <v>45</v>
      </c>
      <c r="O518">
        <v>301</v>
      </c>
      <c r="P518">
        <v>60.2</v>
      </c>
      <c r="Q518" t="s">
        <v>26</v>
      </c>
      <c r="R518" t="s">
        <v>27</v>
      </c>
      <c r="S518">
        <v>4447</v>
      </c>
      <c r="T518" t="s">
        <v>48</v>
      </c>
      <c r="U518" t="str">
        <f t="shared" si="8"/>
        <v>Pass</v>
      </c>
    </row>
    <row r="519" spans="1:21">
      <c r="A519" t="s">
        <v>1161</v>
      </c>
      <c r="B519" t="s">
        <v>389</v>
      </c>
      <c r="C519" t="s">
        <v>22</v>
      </c>
      <c r="D519">
        <v>6</v>
      </c>
      <c r="E519" t="s">
        <v>23</v>
      </c>
      <c r="F519">
        <v>10</v>
      </c>
      <c r="G519" t="s">
        <v>38</v>
      </c>
      <c r="H519" t="s">
        <v>1162</v>
      </c>
      <c r="I519">
        <v>60</v>
      </c>
      <c r="J519">
        <v>52</v>
      </c>
      <c r="K519">
        <v>65</v>
      </c>
      <c r="L519">
        <v>48</v>
      </c>
      <c r="M519">
        <v>52</v>
      </c>
      <c r="N519">
        <v>38</v>
      </c>
      <c r="O519">
        <v>255</v>
      </c>
      <c r="P519">
        <v>51</v>
      </c>
      <c r="Q519" t="s">
        <v>31</v>
      </c>
      <c r="R519" t="s">
        <v>27</v>
      </c>
      <c r="S519">
        <v>3665</v>
      </c>
      <c r="T519" t="s">
        <v>42</v>
      </c>
      <c r="U519" t="str">
        <f t="shared" si="8"/>
        <v>Fail</v>
      </c>
    </row>
    <row r="520" spans="1:21">
      <c r="A520" t="s">
        <v>1163</v>
      </c>
      <c r="B520" t="s">
        <v>1142</v>
      </c>
      <c r="C520" t="s">
        <v>37</v>
      </c>
      <c r="D520">
        <v>7</v>
      </c>
      <c r="E520" t="s">
        <v>26</v>
      </c>
      <c r="F520">
        <v>13</v>
      </c>
      <c r="G520" t="s">
        <v>54</v>
      </c>
      <c r="H520" t="s">
        <v>1164</v>
      </c>
      <c r="I520">
        <v>90</v>
      </c>
      <c r="J520">
        <v>80</v>
      </c>
      <c r="K520">
        <v>47</v>
      </c>
      <c r="L520">
        <v>69</v>
      </c>
      <c r="M520">
        <v>41</v>
      </c>
      <c r="N520">
        <v>82</v>
      </c>
      <c r="O520">
        <v>319</v>
      </c>
      <c r="P520">
        <v>63.8</v>
      </c>
      <c r="Q520" t="s">
        <v>26</v>
      </c>
      <c r="R520" t="s">
        <v>41</v>
      </c>
      <c r="S520">
        <v>4946</v>
      </c>
      <c r="T520" t="s">
        <v>34</v>
      </c>
      <c r="U520" t="str">
        <f t="shared" si="8"/>
        <v>Pass</v>
      </c>
    </row>
    <row r="521" spans="1:21">
      <c r="A521" t="s">
        <v>1165</v>
      </c>
      <c r="B521" t="s">
        <v>1080</v>
      </c>
      <c r="C521" t="s">
        <v>22</v>
      </c>
      <c r="D521">
        <v>12</v>
      </c>
      <c r="E521" t="s">
        <v>47</v>
      </c>
      <c r="F521">
        <v>18</v>
      </c>
      <c r="G521" t="s">
        <v>38</v>
      </c>
      <c r="H521" t="s">
        <v>1166</v>
      </c>
      <c r="I521">
        <v>88</v>
      </c>
      <c r="J521">
        <v>85</v>
      </c>
      <c r="K521">
        <v>83</v>
      </c>
      <c r="L521">
        <v>66</v>
      </c>
      <c r="M521">
        <v>48</v>
      </c>
      <c r="N521">
        <v>65</v>
      </c>
      <c r="O521">
        <v>347</v>
      </c>
      <c r="P521">
        <v>69.400000000000006</v>
      </c>
      <c r="Q521" t="s">
        <v>26</v>
      </c>
      <c r="R521" t="s">
        <v>41</v>
      </c>
      <c r="S521">
        <v>4918</v>
      </c>
      <c r="T521" t="s">
        <v>48</v>
      </c>
      <c r="U521" t="str">
        <f t="shared" si="8"/>
        <v>Pass</v>
      </c>
    </row>
    <row r="522" spans="1:21">
      <c r="A522" t="s">
        <v>1167</v>
      </c>
      <c r="B522" t="s">
        <v>226</v>
      </c>
      <c r="C522" t="s">
        <v>37</v>
      </c>
      <c r="D522">
        <v>4</v>
      </c>
      <c r="E522" t="s">
        <v>26</v>
      </c>
      <c r="F522">
        <v>9</v>
      </c>
      <c r="G522" t="s">
        <v>32</v>
      </c>
      <c r="H522" t="s">
        <v>1168</v>
      </c>
      <c r="I522">
        <v>79</v>
      </c>
      <c r="J522">
        <v>95</v>
      </c>
      <c r="K522">
        <v>45</v>
      </c>
      <c r="L522">
        <v>91</v>
      </c>
      <c r="M522">
        <v>93</v>
      </c>
      <c r="N522">
        <v>56</v>
      </c>
      <c r="O522">
        <v>380</v>
      </c>
      <c r="P522">
        <v>76</v>
      </c>
      <c r="Q522" t="s">
        <v>40</v>
      </c>
      <c r="R522" t="s">
        <v>41</v>
      </c>
      <c r="S522">
        <v>2861</v>
      </c>
      <c r="T522" t="s">
        <v>34</v>
      </c>
      <c r="U522" t="str">
        <f t="shared" si="8"/>
        <v>Pass</v>
      </c>
    </row>
    <row r="523" spans="1:21">
      <c r="A523" t="s">
        <v>1169</v>
      </c>
      <c r="B523" t="s">
        <v>982</v>
      </c>
      <c r="C523" t="s">
        <v>37</v>
      </c>
      <c r="D523">
        <v>4</v>
      </c>
      <c r="E523" t="s">
        <v>47</v>
      </c>
      <c r="F523">
        <v>8</v>
      </c>
      <c r="G523" t="s">
        <v>58</v>
      </c>
      <c r="H523" t="s">
        <v>1170</v>
      </c>
      <c r="I523">
        <v>93</v>
      </c>
      <c r="J523">
        <v>79</v>
      </c>
      <c r="K523">
        <v>54</v>
      </c>
      <c r="L523">
        <v>37</v>
      </c>
      <c r="M523">
        <v>38</v>
      </c>
      <c r="N523">
        <v>66</v>
      </c>
      <c r="O523">
        <v>274</v>
      </c>
      <c r="P523">
        <v>54.8</v>
      </c>
      <c r="Q523" t="s">
        <v>31</v>
      </c>
      <c r="R523" t="s">
        <v>41</v>
      </c>
      <c r="S523">
        <v>1926</v>
      </c>
      <c r="T523" t="s">
        <v>48</v>
      </c>
      <c r="U523" t="str">
        <f t="shared" si="8"/>
        <v>Fail</v>
      </c>
    </row>
    <row r="524" spans="1:21">
      <c r="A524" t="s">
        <v>1171</v>
      </c>
      <c r="B524" t="s">
        <v>219</v>
      </c>
      <c r="C524" t="s">
        <v>22</v>
      </c>
      <c r="D524">
        <v>5</v>
      </c>
      <c r="E524" t="s">
        <v>31</v>
      </c>
      <c r="F524">
        <v>9</v>
      </c>
      <c r="G524" t="s">
        <v>32</v>
      </c>
      <c r="H524" t="s">
        <v>1172</v>
      </c>
      <c r="I524">
        <v>78</v>
      </c>
      <c r="J524">
        <v>89</v>
      </c>
      <c r="K524">
        <v>68</v>
      </c>
      <c r="L524">
        <v>81</v>
      </c>
      <c r="M524">
        <v>94</v>
      </c>
      <c r="N524">
        <v>93</v>
      </c>
      <c r="O524">
        <v>425</v>
      </c>
      <c r="P524">
        <v>85</v>
      </c>
      <c r="Q524" t="s">
        <v>47</v>
      </c>
      <c r="R524" t="s">
        <v>41</v>
      </c>
      <c r="S524">
        <v>3753</v>
      </c>
      <c r="T524" t="s">
        <v>34</v>
      </c>
      <c r="U524" t="str">
        <f t="shared" si="8"/>
        <v>Pass</v>
      </c>
    </row>
    <row r="525" spans="1:21">
      <c r="A525" t="s">
        <v>1173</v>
      </c>
      <c r="B525" t="s">
        <v>714</v>
      </c>
      <c r="C525" t="s">
        <v>22</v>
      </c>
      <c r="D525">
        <v>4</v>
      </c>
      <c r="E525" t="s">
        <v>47</v>
      </c>
      <c r="F525">
        <v>8</v>
      </c>
      <c r="G525" t="s">
        <v>38</v>
      </c>
      <c r="H525" t="s">
        <v>1174</v>
      </c>
      <c r="I525">
        <v>99</v>
      </c>
      <c r="J525">
        <v>44</v>
      </c>
      <c r="K525">
        <v>92</v>
      </c>
      <c r="L525">
        <v>66</v>
      </c>
      <c r="M525">
        <v>92</v>
      </c>
      <c r="N525">
        <v>94</v>
      </c>
      <c r="O525">
        <v>388</v>
      </c>
      <c r="P525">
        <v>77.599999999999994</v>
      </c>
      <c r="Q525" t="s">
        <v>40</v>
      </c>
      <c r="R525" t="s">
        <v>27</v>
      </c>
      <c r="S525">
        <v>4186</v>
      </c>
      <c r="T525" t="s">
        <v>48</v>
      </c>
      <c r="U525" t="str">
        <f t="shared" si="8"/>
        <v>Pass</v>
      </c>
    </row>
    <row r="526" spans="1:21">
      <c r="A526" t="s">
        <v>1175</v>
      </c>
      <c r="B526" t="s">
        <v>777</v>
      </c>
      <c r="C526" t="s">
        <v>22</v>
      </c>
      <c r="D526">
        <v>12</v>
      </c>
      <c r="E526" t="s">
        <v>23</v>
      </c>
      <c r="F526">
        <v>18</v>
      </c>
      <c r="G526" t="s">
        <v>45</v>
      </c>
      <c r="H526" t="s">
        <v>1176</v>
      </c>
      <c r="I526">
        <v>86</v>
      </c>
      <c r="J526">
        <v>80</v>
      </c>
      <c r="K526">
        <v>84</v>
      </c>
      <c r="L526">
        <v>70</v>
      </c>
      <c r="M526">
        <v>46</v>
      </c>
      <c r="N526">
        <v>41</v>
      </c>
      <c r="O526">
        <v>321</v>
      </c>
      <c r="P526">
        <v>64.2</v>
      </c>
      <c r="Q526" t="s">
        <v>26</v>
      </c>
      <c r="R526" t="s">
        <v>27</v>
      </c>
      <c r="S526">
        <v>3870</v>
      </c>
      <c r="T526" t="s">
        <v>70</v>
      </c>
      <c r="U526" t="str">
        <f t="shared" si="8"/>
        <v>Pass</v>
      </c>
    </row>
    <row r="527" spans="1:21">
      <c r="A527" t="s">
        <v>1177</v>
      </c>
      <c r="B527" t="s">
        <v>490</v>
      </c>
      <c r="C527" t="s">
        <v>37</v>
      </c>
      <c r="D527">
        <v>10</v>
      </c>
      <c r="E527" t="s">
        <v>47</v>
      </c>
      <c r="F527">
        <v>16</v>
      </c>
      <c r="G527" t="s">
        <v>24</v>
      </c>
      <c r="H527" t="s">
        <v>901</v>
      </c>
      <c r="I527">
        <v>63</v>
      </c>
      <c r="J527">
        <v>59</v>
      </c>
      <c r="K527">
        <v>94</v>
      </c>
      <c r="L527">
        <v>99</v>
      </c>
      <c r="M527">
        <v>38</v>
      </c>
      <c r="N527">
        <v>85</v>
      </c>
      <c r="O527">
        <v>375</v>
      </c>
      <c r="P527">
        <v>75</v>
      </c>
      <c r="Q527" t="s">
        <v>40</v>
      </c>
      <c r="R527" t="s">
        <v>41</v>
      </c>
      <c r="S527">
        <v>3427</v>
      </c>
      <c r="T527" t="s">
        <v>70</v>
      </c>
      <c r="U527" t="str">
        <f t="shared" si="8"/>
        <v>Pass</v>
      </c>
    </row>
    <row r="528" spans="1:21">
      <c r="A528" t="s">
        <v>1178</v>
      </c>
      <c r="B528" t="s">
        <v>157</v>
      </c>
      <c r="C528" t="s">
        <v>22</v>
      </c>
      <c r="D528">
        <v>3</v>
      </c>
      <c r="E528" t="s">
        <v>47</v>
      </c>
      <c r="F528">
        <v>9</v>
      </c>
      <c r="G528" t="s">
        <v>32</v>
      </c>
      <c r="H528" t="s">
        <v>1179</v>
      </c>
      <c r="I528">
        <v>75</v>
      </c>
      <c r="J528">
        <v>56</v>
      </c>
      <c r="K528">
        <v>51</v>
      </c>
      <c r="L528">
        <v>76</v>
      </c>
      <c r="M528">
        <v>65</v>
      </c>
      <c r="N528">
        <v>74</v>
      </c>
      <c r="O528">
        <v>322</v>
      </c>
      <c r="P528">
        <v>64.400000000000006</v>
      </c>
      <c r="Q528" t="s">
        <v>26</v>
      </c>
      <c r="R528" t="s">
        <v>41</v>
      </c>
      <c r="S528">
        <v>3076</v>
      </c>
      <c r="T528" t="s">
        <v>70</v>
      </c>
      <c r="U528" t="str">
        <f t="shared" si="8"/>
        <v>Pass</v>
      </c>
    </row>
    <row r="529" spans="1:21">
      <c r="A529" t="s">
        <v>1180</v>
      </c>
      <c r="B529" t="s">
        <v>126</v>
      </c>
      <c r="C529" t="s">
        <v>37</v>
      </c>
      <c r="D529">
        <v>1</v>
      </c>
      <c r="E529" t="s">
        <v>23</v>
      </c>
      <c r="F529">
        <v>6</v>
      </c>
      <c r="G529" t="s">
        <v>32</v>
      </c>
      <c r="H529" t="s">
        <v>1181</v>
      </c>
      <c r="I529">
        <v>85</v>
      </c>
      <c r="J529">
        <v>86</v>
      </c>
      <c r="K529">
        <v>54</v>
      </c>
      <c r="L529">
        <v>63</v>
      </c>
      <c r="M529">
        <v>35</v>
      </c>
      <c r="N529">
        <v>66</v>
      </c>
      <c r="O529">
        <v>304</v>
      </c>
      <c r="P529">
        <v>60.8</v>
      </c>
      <c r="Q529" t="s">
        <v>26</v>
      </c>
      <c r="R529" t="s">
        <v>41</v>
      </c>
      <c r="S529">
        <v>4689</v>
      </c>
      <c r="T529" t="s">
        <v>70</v>
      </c>
      <c r="U529" t="str">
        <f t="shared" si="8"/>
        <v>Pass</v>
      </c>
    </row>
    <row r="530" spans="1:21">
      <c r="A530" t="s">
        <v>1182</v>
      </c>
      <c r="B530" t="s">
        <v>178</v>
      </c>
      <c r="C530" t="s">
        <v>37</v>
      </c>
      <c r="D530">
        <v>6</v>
      </c>
      <c r="E530" t="s">
        <v>47</v>
      </c>
      <c r="F530">
        <v>10</v>
      </c>
      <c r="G530" t="s">
        <v>32</v>
      </c>
      <c r="H530" t="s">
        <v>813</v>
      </c>
      <c r="I530">
        <v>61</v>
      </c>
      <c r="J530">
        <v>84</v>
      </c>
      <c r="K530">
        <v>58</v>
      </c>
      <c r="L530">
        <v>92</v>
      </c>
      <c r="M530">
        <v>54</v>
      </c>
      <c r="N530">
        <v>58</v>
      </c>
      <c r="O530">
        <v>346</v>
      </c>
      <c r="P530">
        <v>69.2</v>
      </c>
      <c r="Q530" t="s">
        <v>26</v>
      </c>
      <c r="R530" t="s">
        <v>27</v>
      </c>
      <c r="S530">
        <v>2979</v>
      </c>
      <c r="T530" t="s">
        <v>28</v>
      </c>
      <c r="U530" t="str">
        <f t="shared" si="8"/>
        <v>Pass</v>
      </c>
    </row>
    <row r="531" spans="1:21">
      <c r="A531" t="s">
        <v>1183</v>
      </c>
      <c r="B531" t="s">
        <v>90</v>
      </c>
      <c r="C531" t="s">
        <v>22</v>
      </c>
      <c r="D531">
        <v>6</v>
      </c>
      <c r="E531" t="s">
        <v>23</v>
      </c>
      <c r="F531">
        <v>11</v>
      </c>
      <c r="G531" t="s">
        <v>54</v>
      </c>
      <c r="H531" t="s">
        <v>1184</v>
      </c>
      <c r="I531">
        <v>75</v>
      </c>
      <c r="J531">
        <v>36</v>
      </c>
      <c r="K531">
        <v>81</v>
      </c>
      <c r="L531">
        <v>63</v>
      </c>
      <c r="M531">
        <v>62</v>
      </c>
      <c r="N531">
        <v>62</v>
      </c>
      <c r="O531">
        <v>304</v>
      </c>
      <c r="P531">
        <v>60.8</v>
      </c>
      <c r="Q531" t="s">
        <v>26</v>
      </c>
      <c r="R531" t="s">
        <v>27</v>
      </c>
      <c r="S531">
        <v>4159</v>
      </c>
      <c r="T531" t="s">
        <v>42</v>
      </c>
      <c r="U531" t="str">
        <f t="shared" si="8"/>
        <v>Pass</v>
      </c>
    </row>
    <row r="532" spans="1:21">
      <c r="A532" t="s">
        <v>1185</v>
      </c>
      <c r="B532" t="s">
        <v>343</v>
      </c>
      <c r="C532" t="s">
        <v>37</v>
      </c>
      <c r="D532">
        <v>8</v>
      </c>
      <c r="E532" t="s">
        <v>23</v>
      </c>
      <c r="F532">
        <v>14</v>
      </c>
      <c r="G532" t="s">
        <v>38</v>
      </c>
      <c r="H532" t="s">
        <v>1186</v>
      </c>
      <c r="I532">
        <v>91</v>
      </c>
      <c r="J532">
        <v>38</v>
      </c>
      <c r="K532">
        <v>77</v>
      </c>
      <c r="L532">
        <v>58</v>
      </c>
      <c r="M532">
        <v>96</v>
      </c>
      <c r="N532">
        <v>85</v>
      </c>
      <c r="O532">
        <v>354</v>
      </c>
      <c r="P532">
        <v>70.8</v>
      </c>
      <c r="Q532" t="s">
        <v>40</v>
      </c>
      <c r="R532" t="s">
        <v>41</v>
      </c>
      <c r="S532">
        <v>3238</v>
      </c>
      <c r="T532" t="s">
        <v>42</v>
      </c>
      <c r="U532" t="str">
        <f t="shared" si="8"/>
        <v>Pass</v>
      </c>
    </row>
    <row r="533" spans="1:21">
      <c r="A533" t="s">
        <v>1187</v>
      </c>
      <c r="B533" t="s">
        <v>168</v>
      </c>
      <c r="C533" t="s">
        <v>37</v>
      </c>
      <c r="D533">
        <v>8</v>
      </c>
      <c r="E533" t="s">
        <v>47</v>
      </c>
      <c r="F533">
        <v>14</v>
      </c>
      <c r="G533" t="s">
        <v>38</v>
      </c>
      <c r="H533" t="s">
        <v>1188</v>
      </c>
      <c r="I533">
        <v>74</v>
      </c>
      <c r="J533">
        <v>57</v>
      </c>
      <c r="K533">
        <v>62</v>
      </c>
      <c r="L533">
        <v>81</v>
      </c>
      <c r="M533">
        <v>98</v>
      </c>
      <c r="N533">
        <v>98</v>
      </c>
      <c r="O533">
        <v>396</v>
      </c>
      <c r="P533">
        <v>79.2</v>
      </c>
      <c r="Q533" t="s">
        <v>40</v>
      </c>
      <c r="R533" t="s">
        <v>41</v>
      </c>
      <c r="S533">
        <v>2372</v>
      </c>
      <c r="T533" t="s">
        <v>28</v>
      </c>
      <c r="U533" t="str">
        <f t="shared" si="8"/>
        <v>Pass</v>
      </c>
    </row>
    <row r="534" spans="1:21">
      <c r="A534" t="s">
        <v>1189</v>
      </c>
      <c r="B534" t="s">
        <v>777</v>
      </c>
      <c r="C534" t="s">
        <v>22</v>
      </c>
      <c r="D534">
        <v>9</v>
      </c>
      <c r="E534" t="s">
        <v>23</v>
      </c>
      <c r="F534">
        <v>15</v>
      </c>
      <c r="G534" t="s">
        <v>24</v>
      </c>
      <c r="H534" t="s">
        <v>1190</v>
      </c>
      <c r="I534">
        <v>87</v>
      </c>
      <c r="J534">
        <v>42</v>
      </c>
      <c r="K534">
        <v>80</v>
      </c>
      <c r="L534">
        <v>45</v>
      </c>
      <c r="M534">
        <v>51</v>
      </c>
      <c r="N534">
        <v>42</v>
      </c>
      <c r="O534">
        <v>260</v>
      </c>
      <c r="P534">
        <v>52</v>
      </c>
      <c r="Q534" t="s">
        <v>31</v>
      </c>
      <c r="R534" t="s">
        <v>27</v>
      </c>
      <c r="S534">
        <v>1839</v>
      </c>
      <c r="T534" t="s">
        <v>28</v>
      </c>
      <c r="U534" t="str">
        <f t="shared" si="8"/>
        <v>Fail</v>
      </c>
    </row>
    <row r="535" spans="1:21">
      <c r="A535" t="s">
        <v>1191</v>
      </c>
      <c r="B535" t="s">
        <v>582</v>
      </c>
      <c r="C535" t="s">
        <v>22</v>
      </c>
      <c r="D535">
        <v>12</v>
      </c>
      <c r="E535" t="s">
        <v>23</v>
      </c>
      <c r="F535">
        <v>18</v>
      </c>
      <c r="G535" t="s">
        <v>64</v>
      </c>
      <c r="H535" t="s">
        <v>1192</v>
      </c>
      <c r="I535">
        <v>71</v>
      </c>
      <c r="J535">
        <v>76</v>
      </c>
      <c r="K535">
        <v>41</v>
      </c>
      <c r="L535">
        <v>88</v>
      </c>
      <c r="M535">
        <v>63</v>
      </c>
      <c r="N535">
        <v>86</v>
      </c>
      <c r="O535">
        <v>354</v>
      </c>
      <c r="P535">
        <v>70.8</v>
      </c>
      <c r="Q535" t="s">
        <v>40</v>
      </c>
      <c r="R535" t="s">
        <v>41</v>
      </c>
      <c r="S535">
        <v>3018</v>
      </c>
      <c r="T535" t="s">
        <v>70</v>
      </c>
      <c r="U535" t="str">
        <f t="shared" si="8"/>
        <v>Pass</v>
      </c>
    </row>
    <row r="536" spans="1:21">
      <c r="A536" t="s">
        <v>1193</v>
      </c>
      <c r="B536" t="s">
        <v>157</v>
      </c>
      <c r="C536" t="s">
        <v>37</v>
      </c>
      <c r="D536">
        <v>6</v>
      </c>
      <c r="E536" t="s">
        <v>47</v>
      </c>
      <c r="F536">
        <v>10</v>
      </c>
      <c r="G536" t="s">
        <v>24</v>
      </c>
      <c r="H536" t="s">
        <v>1194</v>
      </c>
      <c r="I536">
        <v>92</v>
      </c>
      <c r="J536">
        <v>85</v>
      </c>
      <c r="K536">
        <v>44</v>
      </c>
      <c r="L536">
        <v>97</v>
      </c>
      <c r="M536">
        <v>52</v>
      </c>
      <c r="N536">
        <v>68</v>
      </c>
      <c r="O536">
        <v>346</v>
      </c>
      <c r="P536">
        <v>69.2</v>
      </c>
      <c r="Q536" t="s">
        <v>26</v>
      </c>
      <c r="R536" t="s">
        <v>41</v>
      </c>
      <c r="S536">
        <v>4816</v>
      </c>
      <c r="T536" t="s">
        <v>42</v>
      </c>
      <c r="U536" t="str">
        <f t="shared" si="8"/>
        <v>Pass</v>
      </c>
    </row>
    <row r="537" spans="1:21">
      <c r="A537" t="s">
        <v>1195</v>
      </c>
      <c r="B537" t="s">
        <v>277</v>
      </c>
      <c r="C537" t="s">
        <v>22</v>
      </c>
      <c r="D537">
        <v>10</v>
      </c>
      <c r="E537" t="s">
        <v>47</v>
      </c>
      <c r="F537">
        <v>16</v>
      </c>
      <c r="G537" t="s">
        <v>32</v>
      </c>
      <c r="H537" t="s">
        <v>1196</v>
      </c>
      <c r="I537">
        <v>71</v>
      </c>
      <c r="J537">
        <v>40</v>
      </c>
      <c r="K537">
        <v>97</v>
      </c>
      <c r="L537">
        <v>85</v>
      </c>
      <c r="M537">
        <v>84</v>
      </c>
      <c r="N537">
        <v>70</v>
      </c>
      <c r="O537">
        <v>376</v>
      </c>
      <c r="P537">
        <v>75.2</v>
      </c>
      <c r="Q537" t="s">
        <v>40</v>
      </c>
      <c r="R537" t="s">
        <v>27</v>
      </c>
      <c r="S537">
        <v>2454</v>
      </c>
      <c r="T537" t="s">
        <v>70</v>
      </c>
      <c r="U537" t="str">
        <f t="shared" si="8"/>
        <v>Pass</v>
      </c>
    </row>
    <row r="538" spans="1:21">
      <c r="A538" t="s">
        <v>1197</v>
      </c>
      <c r="B538" t="s">
        <v>518</v>
      </c>
      <c r="C538" t="s">
        <v>37</v>
      </c>
      <c r="D538">
        <v>12</v>
      </c>
      <c r="E538" t="s">
        <v>47</v>
      </c>
      <c r="F538">
        <v>18</v>
      </c>
      <c r="G538" t="s">
        <v>38</v>
      </c>
      <c r="H538" t="s">
        <v>717</v>
      </c>
      <c r="I538">
        <v>74</v>
      </c>
      <c r="J538">
        <v>56</v>
      </c>
      <c r="K538">
        <v>96</v>
      </c>
      <c r="L538">
        <v>97</v>
      </c>
      <c r="M538">
        <v>59</v>
      </c>
      <c r="N538">
        <v>67</v>
      </c>
      <c r="O538">
        <v>375</v>
      </c>
      <c r="P538">
        <v>75</v>
      </c>
      <c r="Q538" t="s">
        <v>40</v>
      </c>
      <c r="R538" t="s">
        <v>41</v>
      </c>
      <c r="S538">
        <v>4886</v>
      </c>
      <c r="T538" t="s">
        <v>28</v>
      </c>
      <c r="U538" t="str">
        <f t="shared" si="8"/>
        <v>Pass</v>
      </c>
    </row>
    <row r="539" spans="1:21">
      <c r="A539" t="s">
        <v>1198</v>
      </c>
      <c r="B539" t="s">
        <v>302</v>
      </c>
      <c r="C539" t="s">
        <v>22</v>
      </c>
      <c r="D539">
        <v>8</v>
      </c>
      <c r="E539" t="s">
        <v>31</v>
      </c>
      <c r="F539">
        <v>13</v>
      </c>
      <c r="G539" t="s">
        <v>32</v>
      </c>
      <c r="H539" t="s">
        <v>1199</v>
      </c>
      <c r="I539">
        <v>66</v>
      </c>
      <c r="J539">
        <v>100</v>
      </c>
      <c r="K539">
        <v>96</v>
      </c>
      <c r="L539">
        <v>94</v>
      </c>
      <c r="M539">
        <v>63</v>
      </c>
      <c r="N539">
        <v>56</v>
      </c>
      <c r="O539">
        <v>409</v>
      </c>
      <c r="P539">
        <v>81.8</v>
      </c>
      <c r="Q539" t="s">
        <v>47</v>
      </c>
      <c r="R539" t="s">
        <v>41</v>
      </c>
      <c r="S539">
        <v>4201</v>
      </c>
      <c r="T539" t="s">
        <v>34</v>
      </c>
      <c r="U539" t="str">
        <f t="shared" si="8"/>
        <v>Pass</v>
      </c>
    </row>
    <row r="540" spans="1:21">
      <c r="A540" t="s">
        <v>1200</v>
      </c>
      <c r="B540" t="s">
        <v>508</v>
      </c>
      <c r="C540" t="s">
        <v>37</v>
      </c>
      <c r="D540">
        <v>7</v>
      </c>
      <c r="E540" t="s">
        <v>23</v>
      </c>
      <c r="F540">
        <v>12</v>
      </c>
      <c r="G540" t="s">
        <v>64</v>
      </c>
      <c r="H540" t="s">
        <v>1201</v>
      </c>
      <c r="I540">
        <v>89</v>
      </c>
      <c r="J540">
        <v>94</v>
      </c>
      <c r="K540">
        <v>53</v>
      </c>
      <c r="L540">
        <v>70</v>
      </c>
      <c r="M540">
        <v>58</v>
      </c>
      <c r="N540">
        <v>82</v>
      </c>
      <c r="O540">
        <v>357</v>
      </c>
      <c r="P540">
        <v>71.400000000000006</v>
      </c>
      <c r="Q540" t="s">
        <v>40</v>
      </c>
      <c r="R540" t="s">
        <v>41</v>
      </c>
      <c r="S540">
        <v>4909</v>
      </c>
      <c r="T540" t="s">
        <v>66</v>
      </c>
      <c r="U540" t="str">
        <f t="shared" si="8"/>
        <v>Pass</v>
      </c>
    </row>
    <row r="541" spans="1:21">
      <c r="A541" t="s">
        <v>1202</v>
      </c>
      <c r="B541" t="s">
        <v>118</v>
      </c>
      <c r="C541" t="s">
        <v>22</v>
      </c>
      <c r="D541">
        <v>6</v>
      </c>
      <c r="E541" t="s">
        <v>23</v>
      </c>
      <c r="F541">
        <v>10</v>
      </c>
      <c r="G541" t="s">
        <v>32</v>
      </c>
      <c r="H541" t="s">
        <v>545</v>
      </c>
      <c r="I541">
        <v>85</v>
      </c>
      <c r="J541">
        <v>97</v>
      </c>
      <c r="K541">
        <v>50</v>
      </c>
      <c r="L541">
        <v>89</v>
      </c>
      <c r="M541">
        <v>76</v>
      </c>
      <c r="N541">
        <v>40</v>
      </c>
      <c r="O541">
        <v>352</v>
      </c>
      <c r="P541">
        <v>70.400000000000006</v>
      </c>
      <c r="Q541" t="s">
        <v>40</v>
      </c>
      <c r="R541" t="s">
        <v>27</v>
      </c>
      <c r="S541">
        <v>4819</v>
      </c>
      <c r="T541" t="s">
        <v>28</v>
      </c>
      <c r="U541" t="str">
        <f t="shared" si="8"/>
        <v>Pass</v>
      </c>
    </row>
    <row r="542" spans="1:21">
      <c r="A542" t="s">
        <v>1203</v>
      </c>
      <c r="B542" t="s">
        <v>123</v>
      </c>
      <c r="C542" t="s">
        <v>22</v>
      </c>
      <c r="D542">
        <v>4</v>
      </c>
      <c r="E542" t="s">
        <v>31</v>
      </c>
      <c r="F542">
        <v>8</v>
      </c>
      <c r="G542" t="s">
        <v>45</v>
      </c>
      <c r="H542" t="s">
        <v>1005</v>
      </c>
      <c r="I542">
        <v>96</v>
      </c>
      <c r="J542">
        <v>70</v>
      </c>
      <c r="K542">
        <v>72</v>
      </c>
      <c r="L542">
        <v>71</v>
      </c>
      <c r="M542">
        <v>77</v>
      </c>
      <c r="N542">
        <v>93</v>
      </c>
      <c r="O542">
        <v>383</v>
      </c>
      <c r="P542">
        <v>76.599999999999994</v>
      </c>
      <c r="Q542" t="s">
        <v>40</v>
      </c>
      <c r="R542" t="s">
        <v>27</v>
      </c>
      <c r="S542">
        <v>1724</v>
      </c>
      <c r="T542" t="s">
        <v>42</v>
      </c>
      <c r="U542" t="str">
        <f t="shared" si="8"/>
        <v>Pass</v>
      </c>
    </row>
    <row r="543" spans="1:21">
      <c r="A543" t="s">
        <v>1204</v>
      </c>
      <c r="B543" t="s">
        <v>490</v>
      </c>
      <c r="C543" t="s">
        <v>37</v>
      </c>
      <c r="D543">
        <v>8</v>
      </c>
      <c r="E543" t="s">
        <v>31</v>
      </c>
      <c r="F543">
        <v>13</v>
      </c>
      <c r="G543" t="s">
        <v>64</v>
      </c>
      <c r="H543" t="s">
        <v>1205</v>
      </c>
      <c r="I543">
        <v>60</v>
      </c>
      <c r="J543">
        <v>80</v>
      </c>
      <c r="K543">
        <v>84</v>
      </c>
      <c r="L543">
        <v>97</v>
      </c>
      <c r="M543">
        <v>41</v>
      </c>
      <c r="N543">
        <v>57</v>
      </c>
      <c r="O543">
        <v>359</v>
      </c>
      <c r="P543">
        <v>71.8</v>
      </c>
      <c r="Q543" t="s">
        <v>40</v>
      </c>
      <c r="R543" t="s">
        <v>27</v>
      </c>
      <c r="S543">
        <v>1994</v>
      </c>
      <c r="T543" t="s">
        <v>28</v>
      </c>
      <c r="U543" t="str">
        <f t="shared" si="8"/>
        <v>Pass</v>
      </c>
    </row>
    <row r="544" spans="1:21">
      <c r="A544" t="s">
        <v>1206</v>
      </c>
      <c r="B544" t="s">
        <v>1207</v>
      </c>
      <c r="C544" t="s">
        <v>37</v>
      </c>
      <c r="D544">
        <v>6</v>
      </c>
      <c r="E544" t="s">
        <v>23</v>
      </c>
      <c r="F544">
        <v>11</v>
      </c>
      <c r="G544" t="s">
        <v>54</v>
      </c>
      <c r="H544" t="s">
        <v>166</v>
      </c>
      <c r="I544">
        <v>85</v>
      </c>
      <c r="J544">
        <v>57</v>
      </c>
      <c r="K544">
        <v>74</v>
      </c>
      <c r="L544">
        <v>68</v>
      </c>
      <c r="M544">
        <v>98</v>
      </c>
      <c r="N544">
        <v>41</v>
      </c>
      <c r="O544">
        <v>338</v>
      </c>
      <c r="P544">
        <v>67.599999999999994</v>
      </c>
      <c r="Q544" t="s">
        <v>26</v>
      </c>
      <c r="R544" t="s">
        <v>27</v>
      </c>
      <c r="S544">
        <v>4567</v>
      </c>
      <c r="T544" t="s">
        <v>34</v>
      </c>
      <c r="U544" t="str">
        <f t="shared" si="8"/>
        <v>Pass</v>
      </c>
    </row>
    <row r="545" spans="1:21">
      <c r="A545" t="s">
        <v>1208</v>
      </c>
      <c r="B545" t="s">
        <v>219</v>
      </c>
      <c r="C545" t="s">
        <v>22</v>
      </c>
      <c r="D545">
        <v>12</v>
      </c>
      <c r="E545" t="s">
        <v>26</v>
      </c>
      <c r="F545">
        <v>18</v>
      </c>
      <c r="G545" t="s">
        <v>64</v>
      </c>
      <c r="H545" t="s">
        <v>1209</v>
      </c>
      <c r="I545">
        <v>60</v>
      </c>
      <c r="J545">
        <v>100</v>
      </c>
      <c r="K545">
        <v>82</v>
      </c>
      <c r="L545">
        <v>43</v>
      </c>
      <c r="M545">
        <v>97</v>
      </c>
      <c r="N545">
        <v>64</v>
      </c>
      <c r="O545">
        <v>386</v>
      </c>
      <c r="P545">
        <v>77.2</v>
      </c>
      <c r="Q545" t="s">
        <v>40</v>
      </c>
      <c r="R545" t="s">
        <v>41</v>
      </c>
      <c r="S545">
        <v>3548</v>
      </c>
      <c r="T545" t="s">
        <v>34</v>
      </c>
      <c r="U545" t="str">
        <f t="shared" si="8"/>
        <v>Pass</v>
      </c>
    </row>
    <row r="546" spans="1:21">
      <c r="A546" t="s">
        <v>1210</v>
      </c>
      <c r="B546" t="s">
        <v>93</v>
      </c>
      <c r="C546" t="s">
        <v>37</v>
      </c>
      <c r="D546">
        <v>3</v>
      </c>
      <c r="E546" t="s">
        <v>31</v>
      </c>
      <c r="F546">
        <v>7</v>
      </c>
      <c r="G546" t="s">
        <v>54</v>
      </c>
      <c r="H546" t="s">
        <v>1211</v>
      </c>
      <c r="I546">
        <v>88</v>
      </c>
      <c r="J546">
        <v>54</v>
      </c>
      <c r="K546">
        <v>99</v>
      </c>
      <c r="L546">
        <v>36</v>
      </c>
      <c r="M546">
        <v>94</v>
      </c>
      <c r="N546">
        <v>66</v>
      </c>
      <c r="O546">
        <v>349</v>
      </c>
      <c r="P546">
        <v>69.8</v>
      </c>
      <c r="Q546" t="s">
        <v>26</v>
      </c>
      <c r="R546" t="s">
        <v>41</v>
      </c>
      <c r="S546">
        <v>3248</v>
      </c>
      <c r="T546" t="s">
        <v>70</v>
      </c>
      <c r="U546" t="str">
        <f t="shared" si="8"/>
        <v>Pass</v>
      </c>
    </row>
    <row r="547" spans="1:21">
      <c r="A547" t="s">
        <v>1212</v>
      </c>
      <c r="B547" t="s">
        <v>329</v>
      </c>
      <c r="C547" t="s">
        <v>37</v>
      </c>
      <c r="D547">
        <v>12</v>
      </c>
      <c r="E547" t="s">
        <v>26</v>
      </c>
      <c r="F547">
        <v>16</v>
      </c>
      <c r="G547" t="s">
        <v>64</v>
      </c>
      <c r="H547" t="s">
        <v>833</v>
      </c>
      <c r="I547">
        <v>70</v>
      </c>
      <c r="J547">
        <v>87</v>
      </c>
      <c r="K547">
        <v>39</v>
      </c>
      <c r="L547">
        <v>79</v>
      </c>
      <c r="M547">
        <v>56</v>
      </c>
      <c r="N547">
        <v>47</v>
      </c>
      <c r="O547">
        <v>308</v>
      </c>
      <c r="P547">
        <v>61.6</v>
      </c>
      <c r="Q547" t="s">
        <v>26</v>
      </c>
      <c r="R547" t="s">
        <v>27</v>
      </c>
      <c r="S547">
        <v>2461</v>
      </c>
      <c r="T547" t="s">
        <v>28</v>
      </c>
      <c r="U547" t="str">
        <f t="shared" si="8"/>
        <v>Pass</v>
      </c>
    </row>
    <row r="548" spans="1:21">
      <c r="A548" t="s">
        <v>1213</v>
      </c>
      <c r="B548" t="s">
        <v>1088</v>
      </c>
      <c r="C548" t="s">
        <v>37</v>
      </c>
      <c r="D548">
        <v>9</v>
      </c>
      <c r="E548" t="s">
        <v>23</v>
      </c>
      <c r="F548">
        <v>14</v>
      </c>
      <c r="G548" t="s">
        <v>54</v>
      </c>
      <c r="H548" t="s">
        <v>1214</v>
      </c>
      <c r="I548">
        <v>84</v>
      </c>
      <c r="J548">
        <v>48</v>
      </c>
      <c r="K548">
        <v>94</v>
      </c>
      <c r="L548">
        <v>58</v>
      </c>
      <c r="M548">
        <v>85</v>
      </c>
      <c r="N548">
        <v>41</v>
      </c>
      <c r="O548">
        <v>326</v>
      </c>
      <c r="P548">
        <v>65.2</v>
      </c>
      <c r="Q548" t="s">
        <v>26</v>
      </c>
      <c r="R548" t="s">
        <v>41</v>
      </c>
      <c r="S548">
        <v>2324</v>
      </c>
      <c r="T548" t="s">
        <v>42</v>
      </c>
      <c r="U548" t="str">
        <f t="shared" si="8"/>
        <v>Pass</v>
      </c>
    </row>
    <row r="549" spans="1:21">
      <c r="A549" t="s">
        <v>1215</v>
      </c>
      <c r="B549" t="s">
        <v>335</v>
      </c>
      <c r="C549" t="s">
        <v>22</v>
      </c>
      <c r="D549">
        <v>8</v>
      </c>
      <c r="E549" t="s">
        <v>31</v>
      </c>
      <c r="F549">
        <v>13</v>
      </c>
      <c r="G549" t="s">
        <v>38</v>
      </c>
      <c r="H549" t="s">
        <v>1216</v>
      </c>
      <c r="I549">
        <v>95</v>
      </c>
      <c r="J549">
        <v>69</v>
      </c>
      <c r="K549">
        <v>73</v>
      </c>
      <c r="L549">
        <v>98</v>
      </c>
      <c r="M549">
        <v>59</v>
      </c>
      <c r="N549">
        <v>45</v>
      </c>
      <c r="O549">
        <v>344</v>
      </c>
      <c r="P549">
        <v>68.8</v>
      </c>
      <c r="Q549" t="s">
        <v>26</v>
      </c>
      <c r="R549" t="s">
        <v>27</v>
      </c>
      <c r="S549">
        <v>3624</v>
      </c>
      <c r="T549" t="s">
        <v>28</v>
      </c>
      <c r="U549" t="str">
        <f t="shared" si="8"/>
        <v>Pass</v>
      </c>
    </row>
    <row r="550" spans="1:21">
      <c r="A550" t="s">
        <v>1217</v>
      </c>
      <c r="B550" t="s">
        <v>75</v>
      </c>
      <c r="C550" t="s">
        <v>37</v>
      </c>
      <c r="D550">
        <v>10</v>
      </c>
      <c r="E550" t="s">
        <v>47</v>
      </c>
      <c r="F550">
        <v>14</v>
      </c>
      <c r="G550" t="s">
        <v>54</v>
      </c>
      <c r="H550" t="s">
        <v>1218</v>
      </c>
      <c r="I550">
        <v>77</v>
      </c>
      <c r="J550">
        <v>58</v>
      </c>
      <c r="K550">
        <v>95</v>
      </c>
      <c r="L550">
        <v>82</v>
      </c>
      <c r="M550">
        <v>87</v>
      </c>
      <c r="N550">
        <v>57</v>
      </c>
      <c r="O550">
        <v>379</v>
      </c>
      <c r="P550">
        <v>75.8</v>
      </c>
      <c r="Q550" t="s">
        <v>40</v>
      </c>
      <c r="R550" t="s">
        <v>27</v>
      </c>
      <c r="S550">
        <v>4475</v>
      </c>
      <c r="T550" t="s">
        <v>66</v>
      </c>
      <c r="U550" t="str">
        <f t="shared" si="8"/>
        <v>Pass</v>
      </c>
    </row>
    <row r="551" spans="1:21">
      <c r="A551" t="s">
        <v>1219</v>
      </c>
      <c r="B551" t="s">
        <v>87</v>
      </c>
      <c r="C551" t="s">
        <v>22</v>
      </c>
      <c r="D551">
        <v>3</v>
      </c>
      <c r="E551" t="s">
        <v>23</v>
      </c>
      <c r="F551">
        <v>9</v>
      </c>
      <c r="G551" t="s">
        <v>38</v>
      </c>
      <c r="H551" t="s">
        <v>1220</v>
      </c>
      <c r="I551">
        <v>94</v>
      </c>
      <c r="J551">
        <v>59</v>
      </c>
      <c r="K551">
        <v>81</v>
      </c>
      <c r="L551">
        <v>75</v>
      </c>
      <c r="M551">
        <v>46</v>
      </c>
      <c r="N551">
        <v>46</v>
      </c>
      <c r="O551">
        <v>307</v>
      </c>
      <c r="P551">
        <v>61.4</v>
      </c>
      <c r="Q551" t="s">
        <v>26</v>
      </c>
      <c r="R551" t="s">
        <v>27</v>
      </c>
      <c r="S551">
        <v>3079</v>
      </c>
      <c r="T551" t="s">
        <v>66</v>
      </c>
      <c r="U551" t="str">
        <f t="shared" si="8"/>
        <v>Pass</v>
      </c>
    </row>
    <row r="552" spans="1:21">
      <c r="A552" t="s">
        <v>1221</v>
      </c>
      <c r="B552" t="s">
        <v>302</v>
      </c>
      <c r="C552" t="s">
        <v>22</v>
      </c>
      <c r="D552">
        <v>10</v>
      </c>
      <c r="E552" t="s">
        <v>26</v>
      </c>
      <c r="F552">
        <v>14</v>
      </c>
      <c r="G552" t="s">
        <v>58</v>
      </c>
      <c r="H552" t="s">
        <v>1222</v>
      </c>
      <c r="I552">
        <v>85</v>
      </c>
      <c r="J552">
        <v>49</v>
      </c>
      <c r="K552">
        <v>58</v>
      </c>
      <c r="L552">
        <v>36</v>
      </c>
      <c r="M552">
        <v>73</v>
      </c>
      <c r="N552">
        <v>79</v>
      </c>
      <c r="O552">
        <v>295</v>
      </c>
      <c r="P552">
        <v>59</v>
      </c>
      <c r="Q552" t="s">
        <v>31</v>
      </c>
      <c r="R552" t="s">
        <v>27</v>
      </c>
      <c r="S552">
        <v>2031</v>
      </c>
      <c r="T552" t="s">
        <v>34</v>
      </c>
      <c r="U552" t="str">
        <f t="shared" si="8"/>
        <v>Pass</v>
      </c>
    </row>
    <row r="553" spans="1:21">
      <c r="A553" t="s">
        <v>1223</v>
      </c>
      <c r="B553" t="s">
        <v>107</v>
      </c>
      <c r="C553" t="s">
        <v>37</v>
      </c>
      <c r="D553">
        <v>12</v>
      </c>
      <c r="E553" t="s">
        <v>31</v>
      </c>
      <c r="F553">
        <v>16</v>
      </c>
      <c r="G553" t="s">
        <v>54</v>
      </c>
      <c r="H553" t="s">
        <v>1224</v>
      </c>
      <c r="I553">
        <v>67</v>
      </c>
      <c r="J553">
        <v>46</v>
      </c>
      <c r="K553">
        <v>97</v>
      </c>
      <c r="L553">
        <v>53</v>
      </c>
      <c r="M553">
        <v>71</v>
      </c>
      <c r="N553">
        <v>91</v>
      </c>
      <c r="O553">
        <v>358</v>
      </c>
      <c r="P553">
        <v>71.599999999999994</v>
      </c>
      <c r="Q553" t="s">
        <v>40</v>
      </c>
      <c r="R553" t="s">
        <v>41</v>
      </c>
      <c r="S553">
        <v>2648</v>
      </c>
      <c r="T553" t="s">
        <v>48</v>
      </c>
      <c r="U553" t="str">
        <f t="shared" si="8"/>
        <v>Pass</v>
      </c>
    </row>
    <row r="554" spans="1:21">
      <c r="A554" t="s">
        <v>1225</v>
      </c>
      <c r="B554" t="s">
        <v>175</v>
      </c>
      <c r="C554" t="s">
        <v>22</v>
      </c>
      <c r="D554">
        <v>11</v>
      </c>
      <c r="E554" t="s">
        <v>47</v>
      </c>
      <c r="F554">
        <v>17</v>
      </c>
      <c r="G554" t="s">
        <v>32</v>
      </c>
      <c r="H554" t="s">
        <v>1226</v>
      </c>
      <c r="I554">
        <v>69</v>
      </c>
      <c r="J554">
        <v>48</v>
      </c>
      <c r="K554">
        <v>62</v>
      </c>
      <c r="L554">
        <v>35</v>
      </c>
      <c r="M554">
        <v>41</v>
      </c>
      <c r="N554">
        <v>97</v>
      </c>
      <c r="O554">
        <v>283</v>
      </c>
      <c r="P554">
        <v>56.6</v>
      </c>
      <c r="Q554" t="s">
        <v>31</v>
      </c>
      <c r="R554" t="s">
        <v>41</v>
      </c>
      <c r="S554">
        <v>2702</v>
      </c>
      <c r="T554" t="s">
        <v>70</v>
      </c>
      <c r="U554" t="str">
        <f t="shared" si="8"/>
        <v>Pass</v>
      </c>
    </row>
    <row r="555" spans="1:21">
      <c r="A555" t="s">
        <v>1227</v>
      </c>
      <c r="B555" t="s">
        <v>448</v>
      </c>
      <c r="C555" t="s">
        <v>22</v>
      </c>
      <c r="D555">
        <v>1</v>
      </c>
      <c r="E555" t="s">
        <v>26</v>
      </c>
      <c r="F555">
        <v>6</v>
      </c>
      <c r="G555" t="s">
        <v>54</v>
      </c>
      <c r="H555" t="s">
        <v>1228</v>
      </c>
      <c r="I555">
        <v>71</v>
      </c>
      <c r="J555">
        <v>69</v>
      </c>
      <c r="K555">
        <v>70</v>
      </c>
      <c r="L555">
        <v>48</v>
      </c>
      <c r="M555">
        <v>91</v>
      </c>
      <c r="N555">
        <v>62</v>
      </c>
      <c r="O555">
        <v>340</v>
      </c>
      <c r="P555">
        <v>68</v>
      </c>
      <c r="Q555" t="s">
        <v>26</v>
      </c>
      <c r="R555" t="s">
        <v>27</v>
      </c>
      <c r="S555">
        <v>4696</v>
      </c>
      <c r="T555" t="s">
        <v>34</v>
      </c>
      <c r="U555" t="str">
        <f t="shared" si="8"/>
        <v>Pass</v>
      </c>
    </row>
    <row r="556" spans="1:21">
      <c r="A556" t="s">
        <v>1229</v>
      </c>
      <c r="B556" t="s">
        <v>525</v>
      </c>
      <c r="C556" t="s">
        <v>22</v>
      </c>
      <c r="D556">
        <v>7</v>
      </c>
      <c r="E556" t="s">
        <v>23</v>
      </c>
      <c r="F556">
        <v>12</v>
      </c>
      <c r="G556" t="s">
        <v>38</v>
      </c>
      <c r="H556" t="s">
        <v>1230</v>
      </c>
      <c r="I556">
        <v>60</v>
      </c>
      <c r="J556">
        <v>90</v>
      </c>
      <c r="K556">
        <v>89</v>
      </c>
      <c r="L556">
        <v>75</v>
      </c>
      <c r="M556">
        <v>81</v>
      </c>
      <c r="N556">
        <v>79</v>
      </c>
      <c r="O556">
        <v>414</v>
      </c>
      <c r="P556">
        <v>82.8</v>
      </c>
      <c r="Q556" t="s">
        <v>47</v>
      </c>
      <c r="R556" t="s">
        <v>41</v>
      </c>
      <c r="S556">
        <v>1940</v>
      </c>
      <c r="T556" t="s">
        <v>34</v>
      </c>
      <c r="U556" t="str">
        <f t="shared" si="8"/>
        <v>Pass</v>
      </c>
    </row>
    <row r="557" spans="1:21">
      <c r="A557" t="s">
        <v>1231</v>
      </c>
      <c r="B557" t="s">
        <v>1207</v>
      </c>
      <c r="C557" t="s">
        <v>37</v>
      </c>
      <c r="D557">
        <v>3</v>
      </c>
      <c r="E557" t="s">
        <v>26</v>
      </c>
      <c r="F557">
        <v>9</v>
      </c>
      <c r="G557" t="s">
        <v>58</v>
      </c>
      <c r="H557" t="s">
        <v>1232</v>
      </c>
      <c r="I557">
        <v>77</v>
      </c>
      <c r="J557">
        <v>46</v>
      </c>
      <c r="K557">
        <v>84</v>
      </c>
      <c r="L557">
        <v>94</v>
      </c>
      <c r="M557">
        <v>61</v>
      </c>
      <c r="N557">
        <v>88</v>
      </c>
      <c r="O557">
        <v>373</v>
      </c>
      <c r="P557">
        <v>74.599999999999994</v>
      </c>
      <c r="Q557" t="s">
        <v>40</v>
      </c>
      <c r="R557" t="s">
        <v>27</v>
      </c>
      <c r="S557">
        <v>2616</v>
      </c>
      <c r="T557" t="s">
        <v>66</v>
      </c>
      <c r="U557" t="str">
        <f t="shared" si="8"/>
        <v>Pass</v>
      </c>
    </row>
    <row r="558" spans="1:21">
      <c r="A558" t="s">
        <v>1233</v>
      </c>
      <c r="B558" t="s">
        <v>1234</v>
      </c>
      <c r="C558" t="s">
        <v>37</v>
      </c>
      <c r="D558">
        <v>3</v>
      </c>
      <c r="E558" t="s">
        <v>26</v>
      </c>
      <c r="F558">
        <v>9</v>
      </c>
      <c r="G558" t="s">
        <v>58</v>
      </c>
      <c r="H558" t="s">
        <v>1235</v>
      </c>
      <c r="I558">
        <v>96</v>
      </c>
      <c r="J558">
        <v>85</v>
      </c>
      <c r="K558">
        <v>43</v>
      </c>
      <c r="L558">
        <v>99</v>
      </c>
      <c r="M558">
        <v>90</v>
      </c>
      <c r="N558">
        <v>38</v>
      </c>
      <c r="O558">
        <v>355</v>
      </c>
      <c r="P558">
        <v>71</v>
      </c>
      <c r="Q558" t="s">
        <v>40</v>
      </c>
      <c r="R558" t="s">
        <v>27</v>
      </c>
      <c r="S558">
        <v>2597</v>
      </c>
      <c r="T558" t="s">
        <v>66</v>
      </c>
      <c r="U558" t="str">
        <f t="shared" si="8"/>
        <v>Pass</v>
      </c>
    </row>
    <row r="559" spans="1:21">
      <c r="A559" t="s">
        <v>1236</v>
      </c>
      <c r="B559" t="s">
        <v>508</v>
      </c>
      <c r="C559" t="s">
        <v>37</v>
      </c>
      <c r="D559">
        <v>8</v>
      </c>
      <c r="E559" t="s">
        <v>47</v>
      </c>
      <c r="F559">
        <v>14</v>
      </c>
      <c r="G559" t="s">
        <v>24</v>
      </c>
      <c r="H559" t="s">
        <v>1237</v>
      </c>
      <c r="I559">
        <v>65</v>
      </c>
      <c r="J559">
        <v>37</v>
      </c>
      <c r="K559">
        <v>36</v>
      </c>
      <c r="L559">
        <v>54</v>
      </c>
      <c r="M559">
        <v>85</v>
      </c>
      <c r="N559">
        <v>74</v>
      </c>
      <c r="O559">
        <v>286</v>
      </c>
      <c r="P559">
        <v>57.2</v>
      </c>
      <c r="Q559" t="s">
        <v>31</v>
      </c>
      <c r="R559" t="s">
        <v>27</v>
      </c>
      <c r="S559">
        <v>4452</v>
      </c>
      <c r="T559" t="s">
        <v>70</v>
      </c>
      <c r="U559" t="str">
        <f t="shared" si="8"/>
        <v>Pass</v>
      </c>
    </row>
    <row r="560" spans="1:21">
      <c r="A560" t="s">
        <v>1238</v>
      </c>
      <c r="B560" t="s">
        <v>36</v>
      </c>
      <c r="C560" t="s">
        <v>22</v>
      </c>
      <c r="D560">
        <v>1</v>
      </c>
      <c r="E560" t="s">
        <v>47</v>
      </c>
      <c r="F560">
        <v>6</v>
      </c>
      <c r="G560" t="s">
        <v>32</v>
      </c>
      <c r="H560" t="s">
        <v>1239</v>
      </c>
      <c r="I560">
        <v>92</v>
      </c>
      <c r="J560">
        <v>74</v>
      </c>
      <c r="K560">
        <v>61</v>
      </c>
      <c r="L560">
        <v>82</v>
      </c>
      <c r="M560">
        <v>45</v>
      </c>
      <c r="N560">
        <v>76</v>
      </c>
      <c r="O560">
        <v>338</v>
      </c>
      <c r="P560">
        <v>67.599999999999994</v>
      </c>
      <c r="Q560" t="s">
        <v>26</v>
      </c>
      <c r="R560" t="s">
        <v>27</v>
      </c>
      <c r="S560">
        <v>4465</v>
      </c>
      <c r="T560" t="s">
        <v>70</v>
      </c>
      <c r="U560" t="str">
        <f t="shared" si="8"/>
        <v>Pass</v>
      </c>
    </row>
    <row r="561" spans="1:21">
      <c r="A561" t="s">
        <v>1240</v>
      </c>
      <c r="B561" t="s">
        <v>982</v>
      </c>
      <c r="C561" t="s">
        <v>22</v>
      </c>
      <c r="D561">
        <v>7</v>
      </c>
      <c r="E561" t="s">
        <v>26</v>
      </c>
      <c r="F561">
        <v>13</v>
      </c>
      <c r="G561" t="s">
        <v>58</v>
      </c>
      <c r="H561" t="s">
        <v>1241</v>
      </c>
      <c r="I561">
        <v>88</v>
      </c>
      <c r="J561">
        <v>61</v>
      </c>
      <c r="K561">
        <v>100</v>
      </c>
      <c r="L561">
        <v>48</v>
      </c>
      <c r="M561">
        <v>63</v>
      </c>
      <c r="N561">
        <v>36</v>
      </c>
      <c r="O561">
        <v>308</v>
      </c>
      <c r="P561">
        <v>61.6</v>
      </c>
      <c r="Q561" t="s">
        <v>26</v>
      </c>
      <c r="R561" t="s">
        <v>41</v>
      </c>
      <c r="S561">
        <v>3533</v>
      </c>
      <c r="T561" t="s">
        <v>34</v>
      </c>
      <c r="U561" t="str">
        <f t="shared" si="8"/>
        <v>Pass</v>
      </c>
    </row>
    <row r="562" spans="1:21">
      <c r="A562" t="s">
        <v>1242</v>
      </c>
      <c r="B562" t="s">
        <v>748</v>
      </c>
      <c r="C562" t="s">
        <v>37</v>
      </c>
      <c r="D562">
        <v>5</v>
      </c>
      <c r="E562" t="s">
        <v>31</v>
      </c>
      <c r="F562">
        <v>10</v>
      </c>
      <c r="G562" t="s">
        <v>38</v>
      </c>
      <c r="H562" t="s">
        <v>1243</v>
      </c>
      <c r="I562">
        <v>70</v>
      </c>
      <c r="J562">
        <v>78</v>
      </c>
      <c r="K562">
        <v>56</v>
      </c>
      <c r="L562">
        <v>83</v>
      </c>
      <c r="M562">
        <v>45</v>
      </c>
      <c r="N562">
        <v>44</v>
      </c>
      <c r="O562">
        <v>306</v>
      </c>
      <c r="P562">
        <v>61.2</v>
      </c>
      <c r="Q562" t="s">
        <v>26</v>
      </c>
      <c r="R562" t="s">
        <v>27</v>
      </c>
      <c r="S562">
        <v>3423</v>
      </c>
      <c r="T562" t="s">
        <v>42</v>
      </c>
      <c r="U562" t="str">
        <f t="shared" si="8"/>
        <v>Pass</v>
      </c>
    </row>
    <row r="563" spans="1:21">
      <c r="A563" t="s">
        <v>1244</v>
      </c>
      <c r="B563" t="s">
        <v>165</v>
      </c>
      <c r="C563" t="s">
        <v>37</v>
      </c>
      <c r="D563">
        <v>3</v>
      </c>
      <c r="E563" t="s">
        <v>47</v>
      </c>
      <c r="F563">
        <v>9</v>
      </c>
      <c r="G563" t="s">
        <v>45</v>
      </c>
      <c r="H563" t="s">
        <v>509</v>
      </c>
      <c r="I563">
        <v>93</v>
      </c>
      <c r="J563">
        <v>94</v>
      </c>
      <c r="K563">
        <v>65</v>
      </c>
      <c r="L563">
        <v>53</v>
      </c>
      <c r="M563">
        <v>48</v>
      </c>
      <c r="N563">
        <v>85</v>
      </c>
      <c r="O563">
        <v>345</v>
      </c>
      <c r="P563">
        <v>69</v>
      </c>
      <c r="Q563" t="s">
        <v>26</v>
      </c>
      <c r="R563" t="s">
        <v>27</v>
      </c>
      <c r="S563">
        <v>1963</v>
      </c>
      <c r="T563" t="s">
        <v>28</v>
      </c>
      <c r="U563" t="str">
        <f t="shared" si="8"/>
        <v>Pass</v>
      </c>
    </row>
    <row r="564" spans="1:21">
      <c r="A564" t="s">
        <v>1245</v>
      </c>
      <c r="B564" t="s">
        <v>1234</v>
      </c>
      <c r="C564" t="s">
        <v>22</v>
      </c>
      <c r="D564">
        <v>9</v>
      </c>
      <c r="E564" t="s">
        <v>23</v>
      </c>
      <c r="F564">
        <v>14</v>
      </c>
      <c r="G564" t="s">
        <v>64</v>
      </c>
      <c r="H564" t="s">
        <v>1246</v>
      </c>
      <c r="I564">
        <v>89</v>
      </c>
      <c r="J564">
        <v>100</v>
      </c>
      <c r="K564">
        <v>56</v>
      </c>
      <c r="L564">
        <v>85</v>
      </c>
      <c r="M564">
        <v>80</v>
      </c>
      <c r="N564">
        <v>61</v>
      </c>
      <c r="O564">
        <v>382</v>
      </c>
      <c r="P564">
        <v>76.400000000000006</v>
      </c>
      <c r="Q564" t="s">
        <v>40</v>
      </c>
      <c r="R564" t="s">
        <v>41</v>
      </c>
      <c r="S564">
        <v>3863</v>
      </c>
      <c r="T564" t="s">
        <v>66</v>
      </c>
      <c r="U564" t="str">
        <f t="shared" si="8"/>
        <v>Pass</v>
      </c>
    </row>
    <row r="565" spans="1:21">
      <c r="A565" t="s">
        <v>1247</v>
      </c>
      <c r="B565" t="s">
        <v>175</v>
      </c>
      <c r="C565" t="s">
        <v>37</v>
      </c>
      <c r="D565">
        <v>6</v>
      </c>
      <c r="E565" t="s">
        <v>23</v>
      </c>
      <c r="F565">
        <v>12</v>
      </c>
      <c r="G565" t="s">
        <v>24</v>
      </c>
      <c r="H565" t="s">
        <v>394</v>
      </c>
      <c r="I565">
        <v>85</v>
      </c>
      <c r="J565">
        <v>68</v>
      </c>
      <c r="K565">
        <v>94</v>
      </c>
      <c r="L565">
        <v>90</v>
      </c>
      <c r="M565">
        <v>94</v>
      </c>
      <c r="N565">
        <v>52</v>
      </c>
      <c r="O565">
        <v>398</v>
      </c>
      <c r="P565">
        <v>79.599999999999994</v>
      </c>
      <c r="Q565" t="s">
        <v>40</v>
      </c>
      <c r="R565" t="s">
        <v>27</v>
      </c>
      <c r="S565">
        <v>1627</v>
      </c>
      <c r="T565" t="s">
        <v>48</v>
      </c>
      <c r="U565" t="str">
        <f t="shared" si="8"/>
        <v>Pass</v>
      </c>
    </row>
    <row r="566" spans="1:21">
      <c r="A566" t="s">
        <v>1248</v>
      </c>
      <c r="B566" t="s">
        <v>219</v>
      </c>
      <c r="C566" t="s">
        <v>22</v>
      </c>
      <c r="D566">
        <v>6</v>
      </c>
      <c r="E566" t="s">
        <v>26</v>
      </c>
      <c r="F566">
        <v>11</v>
      </c>
      <c r="G566" t="s">
        <v>54</v>
      </c>
      <c r="H566" t="s">
        <v>1249</v>
      </c>
      <c r="I566">
        <v>87</v>
      </c>
      <c r="J566">
        <v>79</v>
      </c>
      <c r="K566">
        <v>99</v>
      </c>
      <c r="L566">
        <v>39</v>
      </c>
      <c r="M566">
        <v>97</v>
      </c>
      <c r="N566">
        <v>43</v>
      </c>
      <c r="O566">
        <v>357</v>
      </c>
      <c r="P566">
        <v>71.400000000000006</v>
      </c>
      <c r="Q566" t="s">
        <v>40</v>
      </c>
      <c r="R566" t="s">
        <v>41</v>
      </c>
      <c r="S566">
        <v>2764</v>
      </c>
      <c r="T566" t="s">
        <v>42</v>
      </c>
      <c r="U566" t="str">
        <f t="shared" si="8"/>
        <v>Pass</v>
      </c>
    </row>
    <row r="567" spans="1:21">
      <c r="A567" t="s">
        <v>1250</v>
      </c>
      <c r="B567" t="s">
        <v>343</v>
      </c>
      <c r="C567" t="s">
        <v>37</v>
      </c>
      <c r="D567">
        <v>1</v>
      </c>
      <c r="E567" t="s">
        <v>31</v>
      </c>
      <c r="F567">
        <v>7</v>
      </c>
      <c r="G567" t="s">
        <v>54</v>
      </c>
      <c r="H567" t="s">
        <v>1251</v>
      </c>
      <c r="I567">
        <v>67</v>
      </c>
      <c r="J567">
        <v>94</v>
      </c>
      <c r="K567">
        <v>53</v>
      </c>
      <c r="L567">
        <v>86</v>
      </c>
      <c r="M567">
        <v>45</v>
      </c>
      <c r="N567">
        <v>67</v>
      </c>
      <c r="O567">
        <v>345</v>
      </c>
      <c r="P567">
        <v>69</v>
      </c>
      <c r="Q567" t="s">
        <v>26</v>
      </c>
      <c r="R567" t="s">
        <v>27</v>
      </c>
      <c r="S567">
        <v>4248</v>
      </c>
      <c r="T567" t="s">
        <v>34</v>
      </c>
      <c r="U567" t="str">
        <f t="shared" si="8"/>
        <v>Pass</v>
      </c>
    </row>
    <row r="568" spans="1:21">
      <c r="A568" t="s">
        <v>1252</v>
      </c>
      <c r="B568" t="s">
        <v>579</v>
      </c>
      <c r="C568" t="s">
        <v>37</v>
      </c>
      <c r="D568">
        <v>4</v>
      </c>
      <c r="E568" t="s">
        <v>31</v>
      </c>
      <c r="F568">
        <v>10</v>
      </c>
      <c r="G568" t="s">
        <v>54</v>
      </c>
      <c r="H568" t="s">
        <v>1253</v>
      </c>
      <c r="I568">
        <v>72</v>
      </c>
      <c r="J568">
        <v>83</v>
      </c>
      <c r="K568">
        <v>56</v>
      </c>
      <c r="L568">
        <v>79</v>
      </c>
      <c r="M568">
        <v>61</v>
      </c>
      <c r="N568">
        <v>92</v>
      </c>
      <c r="O568">
        <v>371</v>
      </c>
      <c r="P568">
        <v>74.2</v>
      </c>
      <c r="Q568" t="s">
        <v>40</v>
      </c>
      <c r="R568" t="s">
        <v>41</v>
      </c>
      <c r="S568">
        <v>4794</v>
      </c>
      <c r="T568" t="s">
        <v>28</v>
      </c>
      <c r="U568" t="str">
        <f t="shared" si="8"/>
        <v>Pass</v>
      </c>
    </row>
    <row r="569" spans="1:21">
      <c r="A569" t="s">
        <v>1254</v>
      </c>
      <c r="B569" t="s">
        <v>913</v>
      </c>
      <c r="C569" t="s">
        <v>37</v>
      </c>
      <c r="D569">
        <v>8</v>
      </c>
      <c r="E569" t="s">
        <v>26</v>
      </c>
      <c r="F569">
        <v>12</v>
      </c>
      <c r="G569" t="s">
        <v>58</v>
      </c>
      <c r="H569" t="s">
        <v>1255</v>
      </c>
      <c r="I569">
        <v>71</v>
      </c>
      <c r="J569">
        <v>48</v>
      </c>
      <c r="K569">
        <v>61</v>
      </c>
      <c r="L569">
        <v>97</v>
      </c>
      <c r="M569">
        <v>99</v>
      </c>
      <c r="N569">
        <v>39</v>
      </c>
      <c r="O569">
        <v>344</v>
      </c>
      <c r="P569">
        <v>68.8</v>
      </c>
      <c r="Q569" t="s">
        <v>26</v>
      </c>
      <c r="R569" t="s">
        <v>27</v>
      </c>
      <c r="S569">
        <v>3975</v>
      </c>
      <c r="T569" t="s">
        <v>48</v>
      </c>
      <c r="U569" t="str">
        <f t="shared" si="8"/>
        <v>Pass</v>
      </c>
    </row>
    <row r="570" spans="1:21">
      <c r="A570" t="s">
        <v>1256</v>
      </c>
      <c r="B570" t="s">
        <v>518</v>
      </c>
      <c r="C570" t="s">
        <v>37</v>
      </c>
      <c r="D570">
        <v>2</v>
      </c>
      <c r="E570" t="s">
        <v>47</v>
      </c>
      <c r="F570">
        <v>8</v>
      </c>
      <c r="G570" t="s">
        <v>24</v>
      </c>
      <c r="H570" t="s">
        <v>446</v>
      </c>
      <c r="I570">
        <v>91</v>
      </c>
      <c r="J570">
        <v>38</v>
      </c>
      <c r="K570">
        <v>38</v>
      </c>
      <c r="L570">
        <v>40</v>
      </c>
      <c r="M570">
        <v>98</v>
      </c>
      <c r="N570">
        <v>83</v>
      </c>
      <c r="O570">
        <v>297</v>
      </c>
      <c r="P570">
        <v>59.4</v>
      </c>
      <c r="Q570" t="s">
        <v>31</v>
      </c>
      <c r="R570" t="s">
        <v>27</v>
      </c>
      <c r="S570">
        <v>2214</v>
      </c>
      <c r="T570" t="s">
        <v>70</v>
      </c>
      <c r="U570" t="str">
        <f t="shared" si="8"/>
        <v>Pass</v>
      </c>
    </row>
    <row r="571" spans="1:21">
      <c r="A571" t="s">
        <v>1257</v>
      </c>
      <c r="B571" t="s">
        <v>302</v>
      </c>
      <c r="C571" t="s">
        <v>22</v>
      </c>
      <c r="D571">
        <v>4</v>
      </c>
      <c r="E571" t="s">
        <v>26</v>
      </c>
      <c r="F571">
        <v>10</v>
      </c>
      <c r="G571" t="s">
        <v>45</v>
      </c>
      <c r="H571" t="s">
        <v>1258</v>
      </c>
      <c r="I571">
        <v>76</v>
      </c>
      <c r="J571">
        <v>40</v>
      </c>
      <c r="K571">
        <v>44</v>
      </c>
      <c r="L571">
        <v>89</v>
      </c>
      <c r="M571">
        <v>67</v>
      </c>
      <c r="N571">
        <v>42</v>
      </c>
      <c r="O571">
        <v>282</v>
      </c>
      <c r="P571">
        <v>56.4</v>
      </c>
      <c r="Q571" t="s">
        <v>31</v>
      </c>
      <c r="R571" t="s">
        <v>41</v>
      </c>
      <c r="S571">
        <v>3871</v>
      </c>
      <c r="T571" t="s">
        <v>34</v>
      </c>
      <c r="U571" t="str">
        <f t="shared" si="8"/>
        <v>Pass</v>
      </c>
    </row>
    <row r="572" spans="1:21">
      <c r="A572" t="s">
        <v>1259</v>
      </c>
      <c r="B572" t="s">
        <v>386</v>
      </c>
      <c r="C572" t="s">
        <v>37</v>
      </c>
      <c r="D572">
        <v>3</v>
      </c>
      <c r="E572" t="s">
        <v>47</v>
      </c>
      <c r="F572">
        <v>8</v>
      </c>
      <c r="G572" t="s">
        <v>32</v>
      </c>
      <c r="H572" t="s">
        <v>272</v>
      </c>
      <c r="I572">
        <v>77</v>
      </c>
      <c r="J572">
        <v>94</v>
      </c>
      <c r="K572">
        <v>43</v>
      </c>
      <c r="L572">
        <v>42</v>
      </c>
      <c r="M572">
        <v>43</v>
      </c>
      <c r="N572">
        <v>90</v>
      </c>
      <c r="O572">
        <v>312</v>
      </c>
      <c r="P572">
        <v>62.4</v>
      </c>
      <c r="Q572" t="s">
        <v>26</v>
      </c>
      <c r="R572" t="s">
        <v>27</v>
      </c>
      <c r="S572">
        <v>4210</v>
      </c>
      <c r="T572" t="s">
        <v>28</v>
      </c>
      <c r="U572" t="str">
        <f t="shared" si="8"/>
        <v>Pass</v>
      </c>
    </row>
    <row r="573" spans="1:21">
      <c r="A573" t="s">
        <v>1260</v>
      </c>
      <c r="B573" t="s">
        <v>884</v>
      </c>
      <c r="C573" t="s">
        <v>22</v>
      </c>
      <c r="D573">
        <v>4</v>
      </c>
      <c r="E573" t="s">
        <v>31</v>
      </c>
      <c r="F573">
        <v>9</v>
      </c>
      <c r="G573" t="s">
        <v>24</v>
      </c>
      <c r="H573" t="s">
        <v>1261</v>
      </c>
      <c r="I573">
        <v>60</v>
      </c>
      <c r="J573">
        <v>97</v>
      </c>
      <c r="K573">
        <v>95</v>
      </c>
      <c r="L573">
        <v>53</v>
      </c>
      <c r="M573">
        <v>71</v>
      </c>
      <c r="N573">
        <v>35</v>
      </c>
      <c r="O573">
        <v>351</v>
      </c>
      <c r="P573">
        <v>70.2</v>
      </c>
      <c r="Q573" t="s">
        <v>40</v>
      </c>
      <c r="R573" t="s">
        <v>41</v>
      </c>
      <c r="S573">
        <v>4427</v>
      </c>
      <c r="T573" t="s">
        <v>70</v>
      </c>
      <c r="U573" t="str">
        <f t="shared" si="8"/>
        <v>Pass</v>
      </c>
    </row>
    <row r="574" spans="1:21">
      <c r="A574" t="s">
        <v>1262</v>
      </c>
      <c r="B574" t="s">
        <v>250</v>
      </c>
      <c r="C574" t="s">
        <v>22</v>
      </c>
      <c r="D574">
        <v>2</v>
      </c>
      <c r="E574" t="s">
        <v>26</v>
      </c>
      <c r="F574">
        <v>6</v>
      </c>
      <c r="G574" t="s">
        <v>54</v>
      </c>
      <c r="H574" t="s">
        <v>1263</v>
      </c>
      <c r="I574">
        <v>99</v>
      </c>
      <c r="J574">
        <v>35</v>
      </c>
      <c r="K574">
        <v>44</v>
      </c>
      <c r="L574">
        <v>86</v>
      </c>
      <c r="M574">
        <v>93</v>
      </c>
      <c r="N574">
        <v>92</v>
      </c>
      <c r="O574">
        <v>350</v>
      </c>
      <c r="P574">
        <v>70</v>
      </c>
      <c r="Q574" t="s">
        <v>40</v>
      </c>
      <c r="R574" t="s">
        <v>27</v>
      </c>
      <c r="S574">
        <v>1927</v>
      </c>
      <c r="T574" t="s">
        <v>70</v>
      </c>
      <c r="U574" t="str">
        <f t="shared" si="8"/>
        <v>Pass</v>
      </c>
    </row>
    <row r="575" spans="1:21">
      <c r="A575" t="s">
        <v>1264</v>
      </c>
      <c r="B575" t="s">
        <v>748</v>
      </c>
      <c r="C575" t="s">
        <v>22</v>
      </c>
      <c r="D575">
        <v>1</v>
      </c>
      <c r="E575" t="s">
        <v>26</v>
      </c>
      <c r="F575">
        <v>7</v>
      </c>
      <c r="G575" t="s">
        <v>64</v>
      </c>
      <c r="H575" t="s">
        <v>532</v>
      </c>
      <c r="I575">
        <v>66</v>
      </c>
      <c r="J575">
        <v>36</v>
      </c>
      <c r="K575">
        <v>84</v>
      </c>
      <c r="L575">
        <v>59</v>
      </c>
      <c r="M575">
        <v>37</v>
      </c>
      <c r="N575">
        <v>83</v>
      </c>
      <c r="O575">
        <v>299</v>
      </c>
      <c r="P575">
        <v>59.8</v>
      </c>
      <c r="Q575" t="s">
        <v>31</v>
      </c>
      <c r="R575" t="s">
        <v>27</v>
      </c>
      <c r="S575">
        <v>3140</v>
      </c>
      <c r="T575" t="s">
        <v>28</v>
      </c>
      <c r="U575" t="str">
        <f t="shared" si="8"/>
        <v>Pass</v>
      </c>
    </row>
    <row r="576" spans="1:21">
      <c r="A576" t="s">
        <v>1265</v>
      </c>
      <c r="B576" t="s">
        <v>1234</v>
      </c>
      <c r="C576" t="s">
        <v>37</v>
      </c>
      <c r="D576">
        <v>11</v>
      </c>
      <c r="E576" t="s">
        <v>26</v>
      </c>
      <c r="F576">
        <v>15</v>
      </c>
      <c r="G576" t="s">
        <v>54</v>
      </c>
      <c r="H576" t="s">
        <v>1266</v>
      </c>
      <c r="I576">
        <v>97</v>
      </c>
      <c r="J576">
        <v>39</v>
      </c>
      <c r="K576">
        <v>74</v>
      </c>
      <c r="L576">
        <v>99</v>
      </c>
      <c r="M576">
        <v>98</v>
      </c>
      <c r="N576">
        <v>82</v>
      </c>
      <c r="O576">
        <v>392</v>
      </c>
      <c r="P576">
        <v>78.400000000000006</v>
      </c>
      <c r="Q576" t="s">
        <v>40</v>
      </c>
      <c r="R576" t="s">
        <v>27</v>
      </c>
      <c r="S576">
        <v>2492</v>
      </c>
      <c r="T576" t="s">
        <v>70</v>
      </c>
      <c r="U576" t="str">
        <f t="shared" si="8"/>
        <v>Pass</v>
      </c>
    </row>
    <row r="577" spans="1:21">
      <c r="A577" t="s">
        <v>1267</v>
      </c>
      <c r="B577" t="s">
        <v>193</v>
      </c>
      <c r="C577" t="s">
        <v>22</v>
      </c>
      <c r="D577">
        <v>3</v>
      </c>
      <c r="E577" t="s">
        <v>23</v>
      </c>
      <c r="F577">
        <v>9</v>
      </c>
      <c r="G577" t="s">
        <v>58</v>
      </c>
      <c r="H577" t="s">
        <v>1268</v>
      </c>
      <c r="I577">
        <v>90</v>
      </c>
      <c r="J577">
        <v>40</v>
      </c>
      <c r="K577">
        <v>53</v>
      </c>
      <c r="L577">
        <v>81</v>
      </c>
      <c r="M577">
        <v>81</v>
      </c>
      <c r="N577">
        <v>87</v>
      </c>
      <c r="O577">
        <v>342</v>
      </c>
      <c r="P577">
        <v>68.400000000000006</v>
      </c>
      <c r="Q577" t="s">
        <v>26</v>
      </c>
      <c r="R577" t="s">
        <v>41</v>
      </c>
      <c r="S577">
        <v>3917</v>
      </c>
      <c r="T577" t="s">
        <v>42</v>
      </c>
      <c r="U577" t="str">
        <f t="shared" si="8"/>
        <v>Pass</v>
      </c>
    </row>
    <row r="578" spans="1:21">
      <c r="A578" t="s">
        <v>1269</v>
      </c>
      <c r="B578" t="s">
        <v>508</v>
      </c>
      <c r="C578" t="s">
        <v>22</v>
      </c>
      <c r="D578">
        <v>5</v>
      </c>
      <c r="E578" t="s">
        <v>31</v>
      </c>
      <c r="F578">
        <v>10</v>
      </c>
      <c r="G578" t="s">
        <v>64</v>
      </c>
      <c r="H578" t="s">
        <v>1270</v>
      </c>
      <c r="I578">
        <v>74</v>
      </c>
      <c r="J578">
        <v>74</v>
      </c>
      <c r="K578">
        <v>37</v>
      </c>
      <c r="L578">
        <v>48</v>
      </c>
      <c r="M578">
        <v>77</v>
      </c>
      <c r="N578">
        <v>73</v>
      </c>
      <c r="O578">
        <v>309</v>
      </c>
      <c r="P578">
        <v>61.8</v>
      </c>
      <c r="Q578" t="s">
        <v>26</v>
      </c>
      <c r="R578" t="s">
        <v>27</v>
      </c>
      <c r="S578">
        <v>4906</v>
      </c>
      <c r="T578" t="s">
        <v>66</v>
      </c>
      <c r="U578" t="str">
        <f t="shared" si="8"/>
        <v>Pass</v>
      </c>
    </row>
    <row r="579" spans="1:21">
      <c r="A579" t="s">
        <v>1271</v>
      </c>
      <c r="B579" t="s">
        <v>594</v>
      </c>
      <c r="C579" t="s">
        <v>37</v>
      </c>
      <c r="D579">
        <v>2</v>
      </c>
      <c r="E579" t="s">
        <v>23</v>
      </c>
      <c r="F579">
        <v>6</v>
      </c>
      <c r="G579" t="s">
        <v>64</v>
      </c>
      <c r="H579" t="s">
        <v>1272</v>
      </c>
      <c r="I579">
        <v>89</v>
      </c>
      <c r="J579">
        <v>80</v>
      </c>
      <c r="K579">
        <v>58</v>
      </c>
      <c r="L579">
        <v>89</v>
      </c>
      <c r="M579">
        <v>82</v>
      </c>
      <c r="N579">
        <v>68</v>
      </c>
      <c r="O579">
        <v>377</v>
      </c>
      <c r="P579">
        <v>75.400000000000006</v>
      </c>
      <c r="Q579" t="s">
        <v>40</v>
      </c>
      <c r="R579" t="s">
        <v>41</v>
      </c>
      <c r="S579">
        <v>3957</v>
      </c>
      <c r="T579" t="s">
        <v>42</v>
      </c>
      <c r="U579" t="str">
        <f t="shared" ref="U579:U642" si="9">IF(P579&gt;55,"Pass","Fail")</f>
        <v>Pass</v>
      </c>
    </row>
    <row r="580" spans="1:21">
      <c r="A580" t="s">
        <v>1273</v>
      </c>
      <c r="B580" t="s">
        <v>365</v>
      </c>
      <c r="C580" t="s">
        <v>37</v>
      </c>
      <c r="D580">
        <v>8</v>
      </c>
      <c r="E580" t="s">
        <v>23</v>
      </c>
      <c r="F580">
        <v>12</v>
      </c>
      <c r="G580" t="s">
        <v>38</v>
      </c>
      <c r="H580" t="s">
        <v>1274</v>
      </c>
      <c r="I580">
        <v>100</v>
      </c>
      <c r="J580">
        <v>63</v>
      </c>
      <c r="K580">
        <v>59</v>
      </c>
      <c r="L580">
        <v>86</v>
      </c>
      <c r="M580">
        <v>89</v>
      </c>
      <c r="N580">
        <v>100</v>
      </c>
      <c r="O580">
        <v>397</v>
      </c>
      <c r="P580">
        <v>79.400000000000006</v>
      </c>
      <c r="Q580" t="s">
        <v>40</v>
      </c>
      <c r="R580" t="s">
        <v>27</v>
      </c>
      <c r="S580">
        <v>3452</v>
      </c>
      <c r="T580" t="s">
        <v>66</v>
      </c>
      <c r="U580" t="str">
        <f t="shared" si="9"/>
        <v>Pass</v>
      </c>
    </row>
    <row r="581" spans="1:21">
      <c r="A581" t="s">
        <v>1275</v>
      </c>
      <c r="B581" t="s">
        <v>165</v>
      </c>
      <c r="C581" t="s">
        <v>37</v>
      </c>
      <c r="D581">
        <v>9</v>
      </c>
      <c r="E581" t="s">
        <v>26</v>
      </c>
      <c r="F581">
        <v>13</v>
      </c>
      <c r="G581" t="s">
        <v>38</v>
      </c>
      <c r="H581" t="s">
        <v>1276</v>
      </c>
      <c r="I581">
        <v>79</v>
      </c>
      <c r="J581">
        <v>99</v>
      </c>
      <c r="K581">
        <v>64</v>
      </c>
      <c r="L581">
        <v>50</v>
      </c>
      <c r="M581">
        <v>76</v>
      </c>
      <c r="N581">
        <v>57</v>
      </c>
      <c r="O581">
        <v>346</v>
      </c>
      <c r="P581">
        <v>69.2</v>
      </c>
      <c r="Q581" t="s">
        <v>26</v>
      </c>
      <c r="R581" t="s">
        <v>41</v>
      </c>
      <c r="S581">
        <v>1792</v>
      </c>
      <c r="T581" t="s">
        <v>42</v>
      </c>
      <c r="U581" t="str">
        <f t="shared" si="9"/>
        <v>Pass</v>
      </c>
    </row>
    <row r="582" spans="1:21">
      <c r="A582" t="s">
        <v>1277</v>
      </c>
      <c r="B582" t="s">
        <v>190</v>
      </c>
      <c r="C582" t="s">
        <v>37</v>
      </c>
      <c r="D582">
        <v>12</v>
      </c>
      <c r="E582" t="s">
        <v>31</v>
      </c>
      <c r="F582">
        <v>18</v>
      </c>
      <c r="G582" t="s">
        <v>45</v>
      </c>
      <c r="H582" t="s">
        <v>723</v>
      </c>
      <c r="I582">
        <v>63</v>
      </c>
      <c r="J582">
        <v>91</v>
      </c>
      <c r="K582">
        <v>50</v>
      </c>
      <c r="L582">
        <v>63</v>
      </c>
      <c r="M582">
        <v>54</v>
      </c>
      <c r="N582">
        <v>53</v>
      </c>
      <c r="O582">
        <v>311</v>
      </c>
      <c r="P582">
        <v>62.2</v>
      </c>
      <c r="Q582" t="s">
        <v>26</v>
      </c>
      <c r="R582" t="s">
        <v>27</v>
      </c>
      <c r="S582">
        <v>2676</v>
      </c>
      <c r="T582" t="s">
        <v>34</v>
      </c>
      <c r="U582" t="str">
        <f t="shared" si="9"/>
        <v>Pass</v>
      </c>
    </row>
    <row r="583" spans="1:21">
      <c r="A583" t="s">
        <v>1278</v>
      </c>
      <c r="B583" t="s">
        <v>81</v>
      </c>
      <c r="C583" t="s">
        <v>22</v>
      </c>
      <c r="D583">
        <v>5</v>
      </c>
      <c r="E583" t="s">
        <v>31</v>
      </c>
      <c r="F583">
        <v>10</v>
      </c>
      <c r="G583" t="s">
        <v>58</v>
      </c>
      <c r="H583" t="s">
        <v>1279</v>
      </c>
      <c r="I583">
        <v>85</v>
      </c>
      <c r="J583">
        <v>35</v>
      </c>
      <c r="K583">
        <v>84</v>
      </c>
      <c r="L583">
        <v>38</v>
      </c>
      <c r="M583">
        <v>95</v>
      </c>
      <c r="N583">
        <v>38</v>
      </c>
      <c r="O583">
        <v>290</v>
      </c>
      <c r="P583">
        <v>58</v>
      </c>
      <c r="Q583" t="s">
        <v>31</v>
      </c>
      <c r="R583" t="s">
        <v>41</v>
      </c>
      <c r="S583">
        <v>2623</v>
      </c>
      <c r="T583" t="s">
        <v>28</v>
      </c>
      <c r="U583" t="str">
        <f t="shared" si="9"/>
        <v>Pass</v>
      </c>
    </row>
    <row r="584" spans="1:21">
      <c r="A584" t="s">
        <v>1280</v>
      </c>
      <c r="B584" t="s">
        <v>1281</v>
      </c>
      <c r="C584" t="s">
        <v>22</v>
      </c>
      <c r="D584">
        <v>6</v>
      </c>
      <c r="E584" t="s">
        <v>23</v>
      </c>
      <c r="F584">
        <v>12</v>
      </c>
      <c r="G584" t="s">
        <v>24</v>
      </c>
      <c r="H584" t="s">
        <v>1282</v>
      </c>
      <c r="I584">
        <v>71</v>
      </c>
      <c r="J584">
        <v>67</v>
      </c>
      <c r="K584">
        <v>100</v>
      </c>
      <c r="L584">
        <v>51</v>
      </c>
      <c r="M584">
        <v>96</v>
      </c>
      <c r="N584">
        <v>67</v>
      </c>
      <c r="O584">
        <v>381</v>
      </c>
      <c r="P584">
        <v>76.2</v>
      </c>
      <c r="Q584" t="s">
        <v>40</v>
      </c>
      <c r="R584" t="s">
        <v>41</v>
      </c>
      <c r="S584">
        <v>1944</v>
      </c>
      <c r="T584" t="s">
        <v>42</v>
      </c>
      <c r="U584" t="str">
        <f t="shared" si="9"/>
        <v>Pass</v>
      </c>
    </row>
    <row r="585" spans="1:21">
      <c r="A585" t="s">
        <v>1283</v>
      </c>
      <c r="B585" t="s">
        <v>461</v>
      </c>
      <c r="C585" t="s">
        <v>22</v>
      </c>
      <c r="D585">
        <v>11</v>
      </c>
      <c r="E585" t="s">
        <v>31</v>
      </c>
      <c r="F585">
        <v>16</v>
      </c>
      <c r="G585" t="s">
        <v>38</v>
      </c>
      <c r="H585" t="s">
        <v>1284</v>
      </c>
      <c r="I585">
        <v>72</v>
      </c>
      <c r="J585">
        <v>46</v>
      </c>
      <c r="K585">
        <v>36</v>
      </c>
      <c r="L585">
        <v>55</v>
      </c>
      <c r="M585">
        <v>99</v>
      </c>
      <c r="N585">
        <v>37</v>
      </c>
      <c r="O585">
        <v>273</v>
      </c>
      <c r="P585">
        <v>54.6</v>
      </c>
      <c r="Q585" t="s">
        <v>31</v>
      </c>
      <c r="R585" t="s">
        <v>41</v>
      </c>
      <c r="S585">
        <v>3928</v>
      </c>
      <c r="T585" t="s">
        <v>34</v>
      </c>
      <c r="U585" t="str">
        <f t="shared" si="9"/>
        <v>Fail</v>
      </c>
    </row>
    <row r="586" spans="1:21">
      <c r="A586" t="s">
        <v>1285</v>
      </c>
      <c r="B586" t="s">
        <v>137</v>
      </c>
      <c r="C586" t="s">
        <v>22</v>
      </c>
      <c r="D586">
        <v>7</v>
      </c>
      <c r="E586" t="s">
        <v>26</v>
      </c>
      <c r="F586">
        <v>11</v>
      </c>
      <c r="G586" t="s">
        <v>32</v>
      </c>
      <c r="H586" t="s">
        <v>587</v>
      </c>
      <c r="I586">
        <v>78</v>
      </c>
      <c r="J586">
        <v>52</v>
      </c>
      <c r="K586">
        <v>66</v>
      </c>
      <c r="L586">
        <v>78</v>
      </c>
      <c r="M586">
        <v>83</v>
      </c>
      <c r="N586">
        <v>95</v>
      </c>
      <c r="O586">
        <v>374</v>
      </c>
      <c r="P586">
        <v>74.8</v>
      </c>
      <c r="Q586" t="s">
        <v>40</v>
      </c>
      <c r="R586" t="s">
        <v>27</v>
      </c>
      <c r="S586">
        <v>1983</v>
      </c>
      <c r="T586" t="s">
        <v>66</v>
      </c>
      <c r="U586" t="str">
        <f t="shared" si="9"/>
        <v>Pass</v>
      </c>
    </row>
    <row r="587" spans="1:21">
      <c r="A587" t="s">
        <v>1286</v>
      </c>
      <c r="B587" t="s">
        <v>373</v>
      </c>
      <c r="C587" t="s">
        <v>22</v>
      </c>
      <c r="D587">
        <v>11</v>
      </c>
      <c r="E587" t="s">
        <v>47</v>
      </c>
      <c r="F587">
        <v>15</v>
      </c>
      <c r="G587" t="s">
        <v>38</v>
      </c>
      <c r="H587" t="s">
        <v>1287</v>
      </c>
      <c r="I587">
        <v>83</v>
      </c>
      <c r="J587">
        <v>78</v>
      </c>
      <c r="K587">
        <v>71</v>
      </c>
      <c r="L587">
        <v>99</v>
      </c>
      <c r="M587">
        <v>82</v>
      </c>
      <c r="N587">
        <v>48</v>
      </c>
      <c r="O587">
        <v>378</v>
      </c>
      <c r="P587">
        <v>75.599999999999994</v>
      </c>
      <c r="Q587" t="s">
        <v>40</v>
      </c>
      <c r="R587" t="s">
        <v>41</v>
      </c>
      <c r="S587">
        <v>4215</v>
      </c>
      <c r="T587" t="s">
        <v>70</v>
      </c>
      <c r="U587" t="str">
        <f t="shared" si="9"/>
        <v>Pass</v>
      </c>
    </row>
    <row r="588" spans="1:21">
      <c r="A588" t="s">
        <v>1288</v>
      </c>
      <c r="B588" t="s">
        <v>426</v>
      </c>
      <c r="C588" t="s">
        <v>37</v>
      </c>
      <c r="D588">
        <v>8</v>
      </c>
      <c r="E588" t="s">
        <v>23</v>
      </c>
      <c r="F588">
        <v>14</v>
      </c>
      <c r="G588" t="s">
        <v>58</v>
      </c>
      <c r="H588" t="s">
        <v>1289</v>
      </c>
      <c r="I588">
        <v>63</v>
      </c>
      <c r="J588">
        <v>63</v>
      </c>
      <c r="K588">
        <v>87</v>
      </c>
      <c r="L588">
        <v>93</v>
      </c>
      <c r="M588">
        <v>57</v>
      </c>
      <c r="N588">
        <v>39</v>
      </c>
      <c r="O588">
        <v>339</v>
      </c>
      <c r="P588">
        <v>67.8</v>
      </c>
      <c r="Q588" t="s">
        <v>26</v>
      </c>
      <c r="R588" t="s">
        <v>27</v>
      </c>
      <c r="S588">
        <v>1942</v>
      </c>
      <c r="T588" t="s">
        <v>28</v>
      </c>
      <c r="U588" t="str">
        <f t="shared" si="9"/>
        <v>Pass</v>
      </c>
    </row>
    <row r="589" spans="1:21">
      <c r="A589" t="s">
        <v>1290</v>
      </c>
      <c r="B589" t="s">
        <v>277</v>
      </c>
      <c r="C589" t="s">
        <v>22</v>
      </c>
      <c r="D589">
        <v>3</v>
      </c>
      <c r="E589" t="s">
        <v>47</v>
      </c>
      <c r="F589">
        <v>7</v>
      </c>
      <c r="G589" t="s">
        <v>24</v>
      </c>
      <c r="H589" t="s">
        <v>1291</v>
      </c>
      <c r="I589">
        <v>77</v>
      </c>
      <c r="J589">
        <v>70</v>
      </c>
      <c r="K589">
        <v>65</v>
      </c>
      <c r="L589">
        <v>47</v>
      </c>
      <c r="M589">
        <v>48</v>
      </c>
      <c r="N589">
        <v>50</v>
      </c>
      <c r="O589">
        <v>280</v>
      </c>
      <c r="P589">
        <v>56</v>
      </c>
      <c r="Q589" t="s">
        <v>31</v>
      </c>
      <c r="R589" t="s">
        <v>27</v>
      </c>
      <c r="S589">
        <v>3371</v>
      </c>
      <c r="T589" t="s">
        <v>34</v>
      </c>
      <c r="U589" t="str">
        <f t="shared" si="9"/>
        <v>Pass</v>
      </c>
    </row>
    <row r="590" spans="1:21">
      <c r="A590" t="s">
        <v>1292</v>
      </c>
      <c r="B590" t="s">
        <v>157</v>
      </c>
      <c r="C590" t="s">
        <v>22</v>
      </c>
      <c r="D590">
        <v>11</v>
      </c>
      <c r="E590" t="s">
        <v>47</v>
      </c>
      <c r="F590">
        <v>17</v>
      </c>
      <c r="G590" t="s">
        <v>32</v>
      </c>
      <c r="H590" t="s">
        <v>1293</v>
      </c>
      <c r="I590">
        <v>75</v>
      </c>
      <c r="J590">
        <v>72</v>
      </c>
      <c r="K590">
        <v>38</v>
      </c>
      <c r="L590">
        <v>88</v>
      </c>
      <c r="M590">
        <v>63</v>
      </c>
      <c r="N590">
        <v>99</v>
      </c>
      <c r="O590">
        <v>360</v>
      </c>
      <c r="P590">
        <v>72</v>
      </c>
      <c r="Q590" t="s">
        <v>40</v>
      </c>
      <c r="R590" t="s">
        <v>27</v>
      </c>
      <c r="S590">
        <v>2531</v>
      </c>
      <c r="T590" t="s">
        <v>66</v>
      </c>
      <c r="U590" t="str">
        <f t="shared" si="9"/>
        <v>Pass</v>
      </c>
    </row>
    <row r="591" spans="1:21">
      <c r="A591" t="s">
        <v>1294</v>
      </c>
      <c r="B591" t="s">
        <v>591</v>
      </c>
      <c r="C591" t="s">
        <v>37</v>
      </c>
      <c r="D591">
        <v>12</v>
      </c>
      <c r="E591" t="s">
        <v>47</v>
      </c>
      <c r="F591">
        <v>18</v>
      </c>
      <c r="G591" t="s">
        <v>58</v>
      </c>
      <c r="H591" t="s">
        <v>1295</v>
      </c>
      <c r="I591">
        <v>87</v>
      </c>
      <c r="J591">
        <v>85</v>
      </c>
      <c r="K591">
        <v>91</v>
      </c>
      <c r="L591">
        <v>75</v>
      </c>
      <c r="M591">
        <v>84</v>
      </c>
      <c r="N591">
        <v>49</v>
      </c>
      <c r="O591">
        <v>384</v>
      </c>
      <c r="P591">
        <v>76.8</v>
      </c>
      <c r="Q591" t="s">
        <v>40</v>
      </c>
      <c r="R591" t="s">
        <v>41</v>
      </c>
      <c r="S591">
        <v>2062</v>
      </c>
      <c r="T591" t="s">
        <v>66</v>
      </c>
      <c r="U591" t="str">
        <f t="shared" si="9"/>
        <v>Pass</v>
      </c>
    </row>
    <row r="592" spans="1:21">
      <c r="A592" t="s">
        <v>1296</v>
      </c>
      <c r="B592" t="s">
        <v>53</v>
      </c>
      <c r="C592" t="s">
        <v>37</v>
      </c>
      <c r="D592">
        <v>9</v>
      </c>
      <c r="E592" t="s">
        <v>23</v>
      </c>
      <c r="F592">
        <v>15</v>
      </c>
      <c r="G592" t="s">
        <v>64</v>
      </c>
      <c r="H592" t="s">
        <v>1297</v>
      </c>
      <c r="I592">
        <v>81</v>
      </c>
      <c r="J592">
        <v>74</v>
      </c>
      <c r="K592">
        <v>62</v>
      </c>
      <c r="L592">
        <v>83</v>
      </c>
      <c r="M592">
        <v>100</v>
      </c>
      <c r="N592">
        <v>88</v>
      </c>
      <c r="O592">
        <v>407</v>
      </c>
      <c r="P592">
        <v>81.400000000000006</v>
      </c>
      <c r="Q592" t="s">
        <v>47</v>
      </c>
      <c r="R592" t="s">
        <v>41</v>
      </c>
      <c r="S592">
        <v>4126</v>
      </c>
      <c r="T592" t="s">
        <v>42</v>
      </c>
      <c r="U592" t="str">
        <f t="shared" si="9"/>
        <v>Pass</v>
      </c>
    </row>
    <row r="593" spans="1:21">
      <c r="A593" t="s">
        <v>1298</v>
      </c>
      <c r="B593" t="s">
        <v>329</v>
      </c>
      <c r="C593" t="s">
        <v>37</v>
      </c>
      <c r="D593">
        <v>11</v>
      </c>
      <c r="E593" t="s">
        <v>26</v>
      </c>
      <c r="F593">
        <v>15</v>
      </c>
      <c r="G593" t="s">
        <v>24</v>
      </c>
      <c r="H593" t="s">
        <v>721</v>
      </c>
      <c r="I593">
        <v>97</v>
      </c>
      <c r="J593">
        <v>54</v>
      </c>
      <c r="K593">
        <v>59</v>
      </c>
      <c r="L593">
        <v>67</v>
      </c>
      <c r="M593">
        <v>43</v>
      </c>
      <c r="N593">
        <v>72</v>
      </c>
      <c r="O593">
        <v>295</v>
      </c>
      <c r="P593">
        <v>59</v>
      </c>
      <c r="Q593" t="s">
        <v>31</v>
      </c>
      <c r="R593" t="s">
        <v>27</v>
      </c>
      <c r="S593">
        <v>1688</v>
      </c>
      <c r="T593" t="s">
        <v>48</v>
      </c>
      <c r="U593" t="str">
        <f t="shared" si="9"/>
        <v>Pass</v>
      </c>
    </row>
    <row r="594" spans="1:21">
      <c r="A594" t="s">
        <v>1299</v>
      </c>
      <c r="B594" t="s">
        <v>378</v>
      </c>
      <c r="C594" t="s">
        <v>37</v>
      </c>
      <c r="D594">
        <v>1</v>
      </c>
      <c r="E594" t="s">
        <v>26</v>
      </c>
      <c r="F594">
        <v>7</v>
      </c>
      <c r="G594" t="s">
        <v>38</v>
      </c>
      <c r="H594" t="s">
        <v>1300</v>
      </c>
      <c r="I594">
        <v>82</v>
      </c>
      <c r="J594">
        <v>76</v>
      </c>
      <c r="K594">
        <v>61</v>
      </c>
      <c r="L594">
        <v>69</v>
      </c>
      <c r="M594">
        <v>82</v>
      </c>
      <c r="N594">
        <v>36</v>
      </c>
      <c r="O594">
        <v>324</v>
      </c>
      <c r="P594">
        <v>64.8</v>
      </c>
      <c r="Q594" t="s">
        <v>26</v>
      </c>
      <c r="R594" t="s">
        <v>27</v>
      </c>
      <c r="S594">
        <v>3385</v>
      </c>
      <c r="T594" t="s">
        <v>48</v>
      </c>
      <c r="U594" t="str">
        <f t="shared" si="9"/>
        <v>Pass</v>
      </c>
    </row>
    <row r="595" spans="1:21">
      <c r="A595" t="s">
        <v>1301</v>
      </c>
      <c r="B595" t="s">
        <v>280</v>
      </c>
      <c r="C595" t="s">
        <v>22</v>
      </c>
      <c r="D595">
        <v>6</v>
      </c>
      <c r="E595" t="s">
        <v>23</v>
      </c>
      <c r="F595">
        <v>11</v>
      </c>
      <c r="G595" t="s">
        <v>38</v>
      </c>
      <c r="H595" t="s">
        <v>1302</v>
      </c>
      <c r="I595">
        <v>93</v>
      </c>
      <c r="J595">
        <v>81</v>
      </c>
      <c r="K595">
        <v>47</v>
      </c>
      <c r="L595">
        <v>54</v>
      </c>
      <c r="M595">
        <v>96</v>
      </c>
      <c r="N595">
        <v>80</v>
      </c>
      <c r="O595">
        <v>358</v>
      </c>
      <c r="P595">
        <v>71.599999999999994</v>
      </c>
      <c r="Q595" t="s">
        <v>40</v>
      </c>
      <c r="R595" t="s">
        <v>27</v>
      </c>
      <c r="S595">
        <v>2983</v>
      </c>
      <c r="T595" t="s">
        <v>28</v>
      </c>
      <c r="U595" t="str">
        <f t="shared" si="9"/>
        <v>Pass</v>
      </c>
    </row>
    <row r="596" spans="1:21">
      <c r="A596" t="s">
        <v>1303</v>
      </c>
      <c r="B596" t="s">
        <v>525</v>
      </c>
      <c r="C596" t="s">
        <v>22</v>
      </c>
      <c r="D596">
        <v>4</v>
      </c>
      <c r="E596" t="s">
        <v>47</v>
      </c>
      <c r="F596">
        <v>8</v>
      </c>
      <c r="G596" t="s">
        <v>64</v>
      </c>
      <c r="H596" t="s">
        <v>826</v>
      </c>
      <c r="I596">
        <v>61</v>
      </c>
      <c r="J596">
        <v>47</v>
      </c>
      <c r="K596">
        <v>69</v>
      </c>
      <c r="L596">
        <v>67</v>
      </c>
      <c r="M596">
        <v>71</v>
      </c>
      <c r="N596">
        <v>77</v>
      </c>
      <c r="O596">
        <v>331</v>
      </c>
      <c r="P596">
        <v>66.2</v>
      </c>
      <c r="Q596" t="s">
        <v>26</v>
      </c>
      <c r="R596" t="s">
        <v>27</v>
      </c>
      <c r="S596">
        <v>4573</v>
      </c>
      <c r="T596" t="s">
        <v>34</v>
      </c>
      <c r="U596" t="str">
        <f t="shared" si="9"/>
        <v>Pass</v>
      </c>
    </row>
    <row r="597" spans="1:21">
      <c r="A597" t="s">
        <v>1304</v>
      </c>
      <c r="B597" t="s">
        <v>274</v>
      </c>
      <c r="C597" t="s">
        <v>22</v>
      </c>
      <c r="D597">
        <v>11</v>
      </c>
      <c r="E597" t="s">
        <v>47</v>
      </c>
      <c r="F597">
        <v>16</v>
      </c>
      <c r="G597" t="s">
        <v>32</v>
      </c>
      <c r="H597" t="s">
        <v>1305</v>
      </c>
      <c r="I597">
        <v>92</v>
      </c>
      <c r="J597">
        <v>92</v>
      </c>
      <c r="K597">
        <v>51</v>
      </c>
      <c r="L597">
        <v>54</v>
      </c>
      <c r="M597">
        <v>43</v>
      </c>
      <c r="N597">
        <v>51</v>
      </c>
      <c r="O597">
        <v>291</v>
      </c>
      <c r="P597">
        <v>58.2</v>
      </c>
      <c r="Q597" t="s">
        <v>31</v>
      </c>
      <c r="R597" t="s">
        <v>27</v>
      </c>
      <c r="S597">
        <v>1698</v>
      </c>
      <c r="T597" t="s">
        <v>48</v>
      </c>
      <c r="U597" t="str">
        <f t="shared" si="9"/>
        <v>Pass</v>
      </c>
    </row>
    <row r="598" spans="1:21">
      <c r="A598" t="s">
        <v>1306</v>
      </c>
      <c r="B598" t="s">
        <v>214</v>
      </c>
      <c r="C598" t="s">
        <v>37</v>
      </c>
      <c r="D598">
        <v>8</v>
      </c>
      <c r="E598" t="s">
        <v>26</v>
      </c>
      <c r="F598">
        <v>12</v>
      </c>
      <c r="G598" t="s">
        <v>64</v>
      </c>
      <c r="H598" t="s">
        <v>790</v>
      </c>
      <c r="I598">
        <v>80</v>
      </c>
      <c r="J598">
        <v>39</v>
      </c>
      <c r="K598">
        <v>38</v>
      </c>
      <c r="L598">
        <v>73</v>
      </c>
      <c r="M598">
        <v>99</v>
      </c>
      <c r="N598">
        <v>38</v>
      </c>
      <c r="O598">
        <v>287</v>
      </c>
      <c r="P598">
        <v>57.4</v>
      </c>
      <c r="Q598" t="s">
        <v>31</v>
      </c>
      <c r="R598" t="s">
        <v>27</v>
      </c>
      <c r="S598">
        <v>2274</v>
      </c>
      <c r="T598" t="s">
        <v>42</v>
      </c>
      <c r="U598" t="str">
        <f t="shared" si="9"/>
        <v>Pass</v>
      </c>
    </row>
    <row r="599" spans="1:21">
      <c r="A599" t="s">
        <v>1307</v>
      </c>
      <c r="B599" t="s">
        <v>1234</v>
      </c>
      <c r="C599" t="s">
        <v>37</v>
      </c>
      <c r="D599">
        <v>1</v>
      </c>
      <c r="E599" t="s">
        <v>31</v>
      </c>
      <c r="F599">
        <v>6</v>
      </c>
      <c r="G599" t="s">
        <v>54</v>
      </c>
      <c r="H599" t="s">
        <v>1308</v>
      </c>
      <c r="I599">
        <v>80</v>
      </c>
      <c r="J599">
        <v>65</v>
      </c>
      <c r="K599">
        <v>55</v>
      </c>
      <c r="L599">
        <v>49</v>
      </c>
      <c r="M599">
        <v>40</v>
      </c>
      <c r="N599">
        <v>90</v>
      </c>
      <c r="O599">
        <v>299</v>
      </c>
      <c r="P599">
        <v>59.8</v>
      </c>
      <c r="Q599" t="s">
        <v>31</v>
      </c>
      <c r="R599" t="s">
        <v>41</v>
      </c>
      <c r="S599">
        <v>1888</v>
      </c>
      <c r="T599" t="s">
        <v>28</v>
      </c>
      <c r="U599" t="str">
        <f t="shared" si="9"/>
        <v>Pass</v>
      </c>
    </row>
    <row r="600" spans="1:21">
      <c r="A600" t="s">
        <v>1309</v>
      </c>
      <c r="B600" t="s">
        <v>123</v>
      </c>
      <c r="C600" t="s">
        <v>37</v>
      </c>
      <c r="D600">
        <v>4</v>
      </c>
      <c r="E600" t="s">
        <v>47</v>
      </c>
      <c r="F600">
        <v>9</v>
      </c>
      <c r="G600" t="s">
        <v>38</v>
      </c>
      <c r="H600" t="s">
        <v>1310</v>
      </c>
      <c r="I600">
        <v>61</v>
      </c>
      <c r="J600">
        <v>40</v>
      </c>
      <c r="K600">
        <v>51</v>
      </c>
      <c r="L600">
        <v>77</v>
      </c>
      <c r="M600">
        <v>76</v>
      </c>
      <c r="N600">
        <v>99</v>
      </c>
      <c r="O600">
        <v>343</v>
      </c>
      <c r="P600">
        <v>68.599999999999994</v>
      </c>
      <c r="Q600" t="s">
        <v>26</v>
      </c>
      <c r="R600" t="s">
        <v>41</v>
      </c>
      <c r="S600">
        <v>4346</v>
      </c>
      <c r="T600" t="s">
        <v>28</v>
      </c>
      <c r="U600" t="str">
        <f t="shared" si="9"/>
        <v>Pass</v>
      </c>
    </row>
    <row r="601" spans="1:21">
      <c r="A601" t="s">
        <v>1311</v>
      </c>
      <c r="B601" t="s">
        <v>239</v>
      </c>
      <c r="C601" t="s">
        <v>37</v>
      </c>
      <c r="D601">
        <v>2</v>
      </c>
      <c r="E601" t="s">
        <v>23</v>
      </c>
      <c r="F601">
        <v>6</v>
      </c>
      <c r="G601" t="s">
        <v>54</v>
      </c>
      <c r="H601" t="s">
        <v>983</v>
      </c>
      <c r="I601">
        <v>65</v>
      </c>
      <c r="J601">
        <v>75</v>
      </c>
      <c r="K601">
        <v>98</v>
      </c>
      <c r="L601">
        <v>77</v>
      </c>
      <c r="M601">
        <v>74</v>
      </c>
      <c r="N601">
        <v>40</v>
      </c>
      <c r="O601">
        <v>364</v>
      </c>
      <c r="P601">
        <v>72.8</v>
      </c>
      <c r="Q601" t="s">
        <v>40</v>
      </c>
      <c r="R601" t="s">
        <v>27</v>
      </c>
      <c r="S601">
        <v>3394</v>
      </c>
      <c r="T601" t="s">
        <v>34</v>
      </c>
      <c r="U601" t="str">
        <f t="shared" si="9"/>
        <v>Pass</v>
      </c>
    </row>
    <row r="602" spans="1:21">
      <c r="A602" t="s">
        <v>1312</v>
      </c>
      <c r="B602" t="s">
        <v>439</v>
      </c>
      <c r="C602" t="s">
        <v>22</v>
      </c>
      <c r="D602">
        <v>4</v>
      </c>
      <c r="E602" t="s">
        <v>23</v>
      </c>
      <c r="F602">
        <v>8</v>
      </c>
      <c r="G602" t="s">
        <v>32</v>
      </c>
      <c r="H602" t="s">
        <v>987</v>
      </c>
      <c r="I602">
        <v>69</v>
      </c>
      <c r="J602">
        <v>93</v>
      </c>
      <c r="K602">
        <v>50</v>
      </c>
      <c r="L602">
        <v>68</v>
      </c>
      <c r="M602">
        <v>78</v>
      </c>
      <c r="N602">
        <v>52</v>
      </c>
      <c r="O602">
        <v>341</v>
      </c>
      <c r="P602">
        <v>68.2</v>
      </c>
      <c r="Q602" t="s">
        <v>26</v>
      </c>
      <c r="R602" t="s">
        <v>27</v>
      </c>
      <c r="S602">
        <v>3786</v>
      </c>
      <c r="T602" t="s">
        <v>34</v>
      </c>
      <c r="U602" t="str">
        <f t="shared" si="9"/>
        <v>Pass</v>
      </c>
    </row>
    <row r="603" spans="1:21">
      <c r="A603" t="s">
        <v>1313</v>
      </c>
      <c r="B603" t="s">
        <v>332</v>
      </c>
      <c r="C603" t="s">
        <v>22</v>
      </c>
      <c r="D603">
        <v>7</v>
      </c>
      <c r="E603" t="s">
        <v>26</v>
      </c>
      <c r="F603">
        <v>11</v>
      </c>
      <c r="G603" t="s">
        <v>64</v>
      </c>
      <c r="H603" t="s">
        <v>898</v>
      </c>
      <c r="I603">
        <v>69</v>
      </c>
      <c r="J603">
        <v>70</v>
      </c>
      <c r="K603">
        <v>36</v>
      </c>
      <c r="L603">
        <v>58</v>
      </c>
      <c r="M603">
        <v>54</v>
      </c>
      <c r="N603">
        <v>94</v>
      </c>
      <c r="O603">
        <v>312</v>
      </c>
      <c r="P603">
        <v>62.4</v>
      </c>
      <c r="Q603" t="s">
        <v>26</v>
      </c>
      <c r="R603" t="s">
        <v>27</v>
      </c>
      <c r="S603">
        <v>1650</v>
      </c>
      <c r="T603" t="s">
        <v>66</v>
      </c>
      <c r="U603" t="str">
        <f t="shared" si="9"/>
        <v>Pass</v>
      </c>
    </row>
    <row r="604" spans="1:21">
      <c r="A604" t="s">
        <v>1314</v>
      </c>
      <c r="B604" t="s">
        <v>36</v>
      </c>
      <c r="C604" t="s">
        <v>22</v>
      </c>
      <c r="D604">
        <v>2</v>
      </c>
      <c r="E604" t="s">
        <v>47</v>
      </c>
      <c r="F604">
        <v>8</v>
      </c>
      <c r="G604" t="s">
        <v>38</v>
      </c>
      <c r="H604" t="s">
        <v>1315</v>
      </c>
      <c r="I604">
        <v>74</v>
      </c>
      <c r="J604">
        <v>44</v>
      </c>
      <c r="K604">
        <v>71</v>
      </c>
      <c r="L604">
        <v>60</v>
      </c>
      <c r="M604">
        <v>83</v>
      </c>
      <c r="N604">
        <v>97</v>
      </c>
      <c r="O604">
        <v>355</v>
      </c>
      <c r="P604">
        <v>71</v>
      </c>
      <c r="Q604" t="s">
        <v>40</v>
      </c>
      <c r="R604" t="s">
        <v>27</v>
      </c>
      <c r="S604">
        <v>3370</v>
      </c>
      <c r="T604" t="s">
        <v>34</v>
      </c>
      <c r="U604" t="str">
        <f t="shared" si="9"/>
        <v>Pass</v>
      </c>
    </row>
    <row r="605" spans="1:21">
      <c r="A605" t="s">
        <v>1316</v>
      </c>
      <c r="B605" t="s">
        <v>461</v>
      </c>
      <c r="C605" t="s">
        <v>22</v>
      </c>
      <c r="D605">
        <v>4</v>
      </c>
      <c r="E605" t="s">
        <v>31</v>
      </c>
      <c r="F605">
        <v>10</v>
      </c>
      <c r="G605" t="s">
        <v>32</v>
      </c>
      <c r="H605" t="s">
        <v>1317</v>
      </c>
      <c r="I605">
        <v>65</v>
      </c>
      <c r="J605">
        <v>74</v>
      </c>
      <c r="K605">
        <v>35</v>
      </c>
      <c r="L605">
        <v>88</v>
      </c>
      <c r="M605">
        <v>95</v>
      </c>
      <c r="N605">
        <v>91</v>
      </c>
      <c r="O605">
        <v>383</v>
      </c>
      <c r="P605">
        <v>76.599999999999994</v>
      </c>
      <c r="Q605" t="s">
        <v>40</v>
      </c>
      <c r="R605" t="s">
        <v>27</v>
      </c>
      <c r="S605">
        <v>2354</v>
      </c>
      <c r="T605" t="s">
        <v>48</v>
      </c>
      <c r="U605" t="str">
        <f t="shared" si="9"/>
        <v>Pass</v>
      </c>
    </row>
    <row r="606" spans="1:21">
      <c r="A606" t="s">
        <v>1318</v>
      </c>
      <c r="B606" t="s">
        <v>253</v>
      </c>
      <c r="C606" t="s">
        <v>22</v>
      </c>
      <c r="D606">
        <v>11</v>
      </c>
      <c r="E606" t="s">
        <v>31</v>
      </c>
      <c r="F606">
        <v>16</v>
      </c>
      <c r="G606" t="s">
        <v>32</v>
      </c>
      <c r="H606" t="s">
        <v>1319</v>
      </c>
      <c r="I606">
        <v>94</v>
      </c>
      <c r="J606">
        <v>44</v>
      </c>
      <c r="K606">
        <v>39</v>
      </c>
      <c r="L606">
        <v>63</v>
      </c>
      <c r="M606">
        <v>93</v>
      </c>
      <c r="N606">
        <v>70</v>
      </c>
      <c r="O606">
        <v>309</v>
      </c>
      <c r="P606">
        <v>61.8</v>
      </c>
      <c r="Q606" t="s">
        <v>26</v>
      </c>
      <c r="R606" t="s">
        <v>27</v>
      </c>
      <c r="S606">
        <v>4720</v>
      </c>
      <c r="T606" t="s">
        <v>28</v>
      </c>
      <c r="U606" t="str">
        <f t="shared" si="9"/>
        <v>Pass</v>
      </c>
    </row>
    <row r="607" spans="1:21">
      <c r="A607" t="s">
        <v>1320</v>
      </c>
      <c r="B607" t="s">
        <v>202</v>
      </c>
      <c r="C607" t="s">
        <v>22</v>
      </c>
      <c r="D607">
        <v>10</v>
      </c>
      <c r="E607" t="s">
        <v>23</v>
      </c>
      <c r="F607">
        <v>15</v>
      </c>
      <c r="G607" t="s">
        <v>32</v>
      </c>
      <c r="H607" t="s">
        <v>1321</v>
      </c>
      <c r="I607">
        <v>98</v>
      </c>
      <c r="J607">
        <v>41</v>
      </c>
      <c r="K607">
        <v>91</v>
      </c>
      <c r="L607">
        <v>45</v>
      </c>
      <c r="M607">
        <v>88</v>
      </c>
      <c r="N607">
        <v>59</v>
      </c>
      <c r="O607">
        <v>324</v>
      </c>
      <c r="P607">
        <v>64.8</v>
      </c>
      <c r="Q607" t="s">
        <v>26</v>
      </c>
      <c r="R607" t="s">
        <v>41</v>
      </c>
      <c r="S607">
        <v>1836</v>
      </c>
      <c r="T607" t="s">
        <v>34</v>
      </c>
      <c r="U607" t="str">
        <f t="shared" si="9"/>
        <v>Pass</v>
      </c>
    </row>
    <row r="608" spans="1:21">
      <c r="A608" t="s">
        <v>1322</v>
      </c>
      <c r="B608" t="s">
        <v>714</v>
      </c>
      <c r="C608" t="s">
        <v>37</v>
      </c>
      <c r="D608">
        <v>11</v>
      </c>
      <c r="E608" t="s">
        <v>31</v>
      </c>
      <c r="F608">
        <v>17</v>
      </c>
      <c r="G608" t="s">
        <v>38</v>
      </c>
      <c r="H608" t="s">
        <v>1323</v>
      </c>
      <c r="I608">
        <v>77</v>
      </c>
      <c r="J608">
        <v>96</v>
      </c>
      <c r="K608">
        <v>44</v>
      </c>
      <c r="L608">
        <v>51</v>
      </c>
      <c r="M608">
        <v>57</v>
      </c>
      <c r="N608">
        <v>77</v>
      </c>
      <c r="O608">
        <v>325</v>
      </c>
      <c r="P608">
        <v>65</v>
      </c>
      <c r="Q608" t="s">
        <v>26</v>
      </c>
      <c r="R608" t="s">
        <v>27</v>
      </c>
      <c r="S608">
        <v>3817</v>
      </c>
      <c r="T608" t="s">
        <v>70</v>
      </c>
      <c r="U608" t="str">
        <f t="shared" si="9"/>
        <v>Pass</v>
      </c>
    </row>
    <row r="609" spans="1:21">
      <c r="A609" t="s">
        <v>1324</v>
      </c>
      <c r="B609" t="s">
        <v>181</v>
      </c>
      <c r="C609" t="s">
        <v>37</v>
      </c>
      <c r="D609">
        <v>7</v>
      </c>
      <c r="E609" t="s">
        <v>26</v>
      </c>
      <c r="F609">
        <v>11</v>
      </c>
      <c r="G609" t="s">
        <v>38</v>
      </c>
      <c r="H609" t="s">
        <v>135</v>
      </c>
      <c r="I609">
        <v>62</v>
      </c>
      <c r="J609">
        <v>38</v>
      </c>
      <c r="K609">
        <v>91</v>
      </c>
      <c r="L609">
        <v>68</v>
      </c>
      <c r="M609">
        <v>69</v>
      </c>
      <c r="N609">
        <v>100</v>
      </c>
      <c r="O609">
        <v>366</v>
      </c>
      <c r="P609">
        <v>73.2</v>
      </c>
      <c r="Q609" t="s">
        <v>40</v>
      </c>
      <c r="R609" t="s">
        <v>27</v>
      </c>
      <c r="S609">
        <v>2130</v>
      </c>
      <c r="T609" t="s">
        <v>42</v>
      </c>
      <c r="U609" t="str">
        <f t="shared" si="9"/>
        <v>Pass</v>
      </c>
    </row>
    <row r="610" spans="1:21">
      <c r="A610" t="s">
        <v>1325</v>
      </c>
      <c r="B610" t="s">
        <v>1326</v>
      </c>
      <c r="C610" t="s">
        <v>22</v>
      </c>
      <c r="D610">
        <v>2</v>
      </c>
      <c r="E610" t="s">
        <v>23</v>
      </c>
      <c r="F610">
        <v>8</v>
      </c>
      <c r="G610" t="s">
        <v>24</v>
      </c>
      <c r="H610" t="s">
        <v>1327</v>
      </c>
      <c r="I610">
        <v>86</v>
      </c>
      <c r="J610">
        <v>66</v>
      </c>
      <c r="K610">
        <v>84</v>
      </c>
      <c r="L610">
        <v>84</v>
      </c>
      <c r="M610">
        <v>86</v>
      </c>
      <c r="N610">
        <v>77</v>
      </c>
      <c r="O610">
        <v>397</v>
      </c>
      <c r="P610">
        <v>79.400000000000006</v>
      </c>
      <c r="Q610" t="s">
        <v>40</v>
      </c>
      <c r="R610" t="s">
        <v>41</v>
      </c>
      <c r="S610">
        <v>1788</v>
      </c>
      <c r="T610" t="s">
        <v>66</v>
      </c>
      <c r="U610" t="str">
        <f t="shared" si="9"/>
        <v>Pass</v>
      </c>
    </row>
    <row r="611" spans="1:21">
      <c r="A611" t="s">
        <v>1328</v>
      </c>
      <c r="B611" t="s">
        <v>30</v>
      </c>
      <c r="C611" t="s">
        <v>37</v>
      </c>
      <c r="D611">
        <v>9</v>
      </c>
      <c r="E611" t="s">
        <v>31</v>
      </c>
      <c r="F611">
        <v>14</v>
      </c>
      <c r="G611" t="s">
        <v>24</v>
      </c>
      <c r="H611" t="s">
        <v>1329</v>
      </c>
      <c r="I611">
        <v>95</v>
      </c>
      <c r="J611">
        <v>74</v>
      </c>
      <c r="K611">
        <v>60</v>
      </c>
      <c r="L611">
        <v>44</v>
      </c>
      <c r="M611">
        <v>74</v>
      </c>
      <c r="N611">
        <v>78</v>
      </c>
      <c r="O611">
        <v>330</v>
      </c>
      <c r="P611">
        <v>66</v>
      </c>
      <c r="Q611" t="s">
        <v>26</v>
      </c>
      <c r="R611" t="s">
        <v>27</v>
      </c>
      <c r="S611">
        <v>2126</v>
      </c>
      <c r="T611" t="s">
        <v>28</v>
      </c>
      <c r="U611" t="str">
        <f t="shared" si="9"/>
        <v>Pass</v>
      </c>
    </row>
    <row r="612" spans="1:21">
      <c r="A612" t="s">
        <v>1330</v>
      </c>
      <c r="B612" t="s">
        <v>602</v>
      </c>
      <c r="C612" t="s">
        <v>37</v>
      </c>
      <c r="D612">
        <v>2</v>
      </c>
      <c r="E612" t="s">
        <v>47</v>
      </c>
      <c r="F612">
        <v>7</v>
      </c>
      <c r="G612" t="s">
        <v>38</v>
      </c>
      <c r="H612" t="s">
        <v>1331</v>
      </c>
      <c r="I612">
        <v>91</v>
      </c>
      <c r="J612">
        <v>51</v>
      </c>
      <c r="K612">
        <v>62</v>
      </c>
      <c r="L612">
        <v>49</v>
      </c>
      <c r="M612">
        <v>97</v>
      </c>
      <c r="N612">
        <v>50</v>
      </c>
      <c r="O612">
        <v>309</v>
      </c>
      <c r="P612">
        <v>61.8</v>
      </c>
      <c r="Q612" t="s">
        <v>26</v>
      </c>
      <c r="R612" t="s">
        <v>27</v>
      </c>
      <c r="S612">
        <v>2142</v>
      </c>
      <c r="T612" t="s">
        <v>28</v>
      </c>
      <c r="U612" t="str">
        <f t="shared" si="9"/>
        <v>Pass</v>
      </c>
    </row>
    <row r="613" spans="1:21">
      <c r="A613" t="s">
        <v>1332</v>
      </c>
      <c r="B613" t="s">
        <v>242</v>
      </c>
      <c r="C613" t="s">
        <v>22</v>
      </c>
      <c r="D613">
        <v>7</v>
      </c>
      <c r="E613" t="s">
        <v>47</v>
      </c>
      <c r="F613">
        <v>11</v>
      </c>
      <c r="G613" t="s">
        <v>58</v>
      </c>
      <c r="H613" t="s">
        <v>1333</v>
      </c>
      <c r="I613">
        <v>97</v>
      </c>
      <c r="J613">
        <v>91</v>
      </c>
      <c r="K613">
        <v>77</v>
      </c>
      <c r="L613">
        <v>71</v>
      </c>
      <c r="M613">
        <v>89</v>
      </c>
      <c r="N613">
        <v>90</v>
      </c>
      <c r="O613">
        <v>418</v>
      </c>
      <c r="P613">
        <v>83.6</v>
      </c>
      <c r="Q613" t="s">
        <v>47</v>
      </c>
      <c r="R613" t="s">
        <v>41</v>
      </c>
      <c r="S613">
        <v>3193</v>
      </c>
      <c r="T613" t="s">
        <v>70</v>
      </c>
      <c r="U613" t="str">
        <f t="shared" si="9"/>
        <v>Pass</v>
      </c>
    </row>
    <row r="614" spans="1:21">
      <c r="A614" t="s">
        <v>1334</v>
      </c>
      <c r="B614" t="s">
        <v>44</v>
      </c>
      <c r="C614" t="s">
        <v>37</v>
      </c>
      <c r="D614">
        <v>8</v>
      </c>
      <c r="E614" t="s">
        <v>23</v>
      </c>
      <c r="F614">
        <v>12</v>
      </c>
      <c r="G614" t="s">
        <v>38</v>
      </c>
      <c r="H614" t="s">
        <v>1335</v>
      </c>
      <c r="I614">
        <v>98</v>
      </c>
      <c r="J614">
        <v>57</v>
      </c>
      <c r="K614">
        <v>70</v>
      </c>
      <c r="L614">
        <v>53</v>
      </c>
      <c r="M614">
        <v>41</v>
      </c>
      <c r="N614">
        <v>74</v>
      </c>
      <c r="O614">
        <v>295</v>
      </c>
      <c r="P614">
        <v>59</v>
      </c>
      <c r="Q614" t="s">
        <v>31</v>
      </c>
      <c r="R614" t="s">
        <v>27</v>
      </c>
      <c r="S614">
        <v>2975</v>
      </c>
      <c r="T614" t="s">
        <v>28</v>
      </c>
      <c r="U614" t="str">
        <f t="shared" si="9"/>
        <v>Pass</v>
      </c>
    </row>
    <row r="615" spans="1:21">
      <c r="A615" t="s">
        <v>1336</v>
      </c>
      <c r="B615" t="s">
        <v>57</v>
      </c>
      <c r="C615" t="s">
        <v>37</v>
      </c>
      <c r="D615">
        <v>3</v>
      </c>
      <c r="E615" t="s">
        <v>26</v>
      </c>
      <c r="F615">
        <v>7</v>
      </c>
      <c r="G615" t="s">
        <v>58</v>
      </c>
      <c r="H615" t="s">
        <v>1337</v>
      </c>
      <c r="I615">
        <v>95</v>
      </c>
      <c r="J615">
        <v>88</v>
      </c>
      <c r="K615">
        <v>62</v>
      </c>
      <c r="L615">
        <v>79</v>
      </c>
      <c r="M615">
        <v>40</v>
      </c>
      <c r="N615">
        <v>49</v>
      </c>
      <c r="O615">
        <v>318</v>
      </c>
      <c r="P615">
        <v>63.6</v>
      </c>
      <c r="Q615" t="s">
        <v>26</v>
      </c>
      <c r="R615" t="s">
        <v>27</v>
      </c>
      <c r="S615">
        <v>1654</v>
      </c>
      <c r="T615" t="s">
        <v>34</v>
      </c>
      <c r="U615" t="str">
        <f t="shared" si="9"/>
        <v>Pass</v>
      </c>
    </row>
    <row r="616" spans="1:21">
      <c r="A616" t="s">
        <v>1338</v>
      </c>
      <c r="B616" t="s">
        <v>978</v>
      </c>
      <c r="C616" t="s">
        <v>22</v>
      </c>
      <c r="D616">
        <v>4</v>
      </c>
      <c r="E616" t="s">
        <v>47</v>
      </c>
      <c r="F616">
        <v>8</v>
      </c>
      <c r="G616" t="s">
        <v>24</v>
      </c>
      <c r="H616" t="s">
        <v>1339</v>
      </c>
      <c r="I616">
        <v>88</v>
      </c>
      <c r="J616">
        <v>99</v>
      </c>
      <c r="K616">
        <v>59</v>
      </c>
      <c r="L616">
        <v>42</v>
      </c>
      <c r="M616">
        <v>83</v>
      </c>
      <c r="N616">
        <v>77</v>
      </c>
      <c r="O616">
        <v>360</v>
      </c>
      <c r="P616">
        <v>72</v>
      </c>
      <c r="Q616" t="s">
        <v>40</v>
      </c>
      <c r="R616" t="s">
        <v>41</v>
      </c>
      <c r="S616">
        <v>2782</v>
      </c>
      <c r="T616" t="s">
        <v>66</v>
      </c>
      <c r="U616" t="str">
        <f t="shared" si="9"/>
        <v>Pass</v>
      </c>
    </row>
    <row r="617" spans="1:21">
      <c r="A617" t="s">
        <v>1340</v>
      </c>
      <c r="B617" t="s">
        <v>708</v>
      </c>
      <c r="C617" t="s">
        <v>37</v>
      </c>
      <c r="D617">
        <v>4</v>
      </c>
      <c r="E617" t="s">
        <v>47</v>
      </c>
      <c r="F617">
        <v>10</v>
      </c>
      <c r="G617" t="s">
        <v>64</v>
      </c>
      <c r="H617" t="s">
        <v>1341</v>
      </c>
      <c r="I617">
        <v>67</v>
      </c>
      <c r="J617">
        <v>37</v>
      </c>
      <c r="K617">
        <v>72</v>
      </c>
      <c r="L617">
        <v>53</v>
      </c>
      <c r="M617">
        <v>97</v>
      </c>
      <c r="N617">
        <v>40</v>
      </c>
      <c r="O617">
        <v>299</v>
      </c>
      <c r="P617">
        <v>59.8</v>
      </c>
      <c r="Q617" t="s">
        <v>31</v>
      </c>
      <c r="R617" t="s">
        <v>41</v>
      </c>
      <c r="S617">
        <v>3999</v>
      </c>
      <c r="T617" t="s">
        <v>34</v>
      </c>
      <c r="U617" t="str">
        <f t="shared" si="9"/>
        <v>Pass</v>
      </c>
    </row>
    <row r="618" spans="1:21">
      <c r="A618" t="s">
        <v>1342</v>
      </c>
      <c r="B618" t="s">
        <v>253</v>
      </c>
      <c r="C618" t="s">
        <v>22</v>
      </c>
      <c r="D618">
        <v>9</v>
      </c>
      <c r="E618" t="s">
        <v>31</v>
      </c>
      <c r="F618">
        <v>15</v>
      </c>
      <c r="G618" t="s">
        <v>64</v>
      </c>
      <c r="H618" t="s">
        <v>1343</v>
      </c>
      <c r="I618">
        <v>87</v>
      </c>
      <c r="J618">
        <v>76</v>
      </c>
      <c r="K618">
        <v>63</v>
      </c>
      <c r="L618">
        <v>37</v>
      </c>
      <c r="M618">
        <v>92</v>
      </c>
      <c r="N618">
        <v>54</v>
      </c>
      <c r="O618">
        <v>322</v>
      </c>
      <c r="P618">
        <v>64.400000000000006</v>
      </c>
      <c r="Q618" t="s">
        <v>26</v>
      </c>
      <c r="R618" t="s">
        <v>41</v>
      </c>
      <c r="S618">
        <v>1563</v>
      </c>
      <c r="T618" t="s">
        <v>34</v>
      </c>
      <c r="U618" t="str">
        <f t="shared" si="9"/>
        <v>Pass</v>
      </c>
    </row>
    <row r="619" spans="1:21">
      <c r="A619" t="s">
        <v>1344</v>
      </c>
      <c r="B619" t="s">
        <v>370</v>
      </c>
      <c r="C619" t="s">
        <v>22</v>
      </c>
      <c r="D619">
        <v>12</v>
      </c>
      <c r="E619" t="s">
        <v>26</v>
      </c>
      <c r="F619">
        <v>17</v>
      </c>
      <c r="G619" t="s">
        <v>32</v>
      </c>
      <c r="H619" t="s">
        <v>1345</v>
      </c>
      <c r="I619">
        <v>77</v>
      </c>
      <c r="J619">
        <v>82</v>
      </c>
      <c r="K619">
        <v>96</v>
      </c>
      <c r="L619">
        <v>80</v>
      </c>
      <c r="M619">
        <v>64</v>
      </c>
      <c r="N619">
        <v>46</v>
      </c>
      <c r="O619">
        <v>368</v>
      </c>
      <c r="P619">
        <v>73.599999999999994</v>
      </c>
      <c r="Q619" t="s">
        <v>40</v>
      </c>
      <c r="R619" t="s">
        <v>41</v>
      </c>
      <c r="S619">
        <v>3326</v>
      </c>
      <c r="T619" t="s">
        <v>42</v>
      </c>
      <c r="U619" t="str">
        <f t="shared" si="9"/>
        <v>Pass</v>
      </c>
    </row>
    <row r="620" spans="1:21">
      <c r="A620" t="s">
        <v>1346</v>
      </c>
      <c r="B620" t="s">
        <v>622</v>
      </c>
      <c r="C620" t="s">
        <v>37</v>
      </c>
      <c r="D620">
        <v>10</v>
      </c>
      <c r="E620" t="s">
        <v>47</v>
      </c>
      <c r="F620">
        <v>15</v>
      </c>
      <c r="G620" t="s">
        <v>64</v>
      </c>
      <c r="H620" t="s">
        <v>788</v>
      </c>
      <c r="I620">
        <v>87</v>
      </c>
      <c r="J620">
        <v>72</v>
      </c>
      <c r="K620">
        <v>65</v>
      </c>
      <c r="L620">
        <v>99</v>
      </c>
      <c r="M620">
        <v>66</v>
      </c>
      <c r="N620">
        <v>42</v>
      </c>
      <c r="O620">
        <v>344</v>
      </c>
      <c r="P620">
        <v>68.8</v>
      </c>
      <c r="Q620" t="s">
        <v>26</v>
      </c>
      <c r="R620" t="s">
        <v>41</v>
      </c>
      <c r="S620">
        <v>3137</v>
      </c>
      <c r="T620" t="s">
        <v>42</v>
      </c>
      <c r="U620" t="str">
        <f t="shared" si="9"/>
        <v>Pass</v>
      </c>
    </row>
    <row r="621" spans="1:21">
      <c r="A621" t="s">
        <v>1347</v>
      </c>
      <c r="B621" t="s">
        <v>448</v>
      </c>
      <c r="C621" t="s">
        <v>22</v>
      </c>
      <c r="D621">
        <v>4</v>
      </c>
      <c r="E621" t="s">
        <v>31</v>
      </c>
      <c r="F621">
        <v>8</v>
      </c>
      <c r="G621" t="s">
        <v>32</v>
      </c>
      <c r="H621" t="s">
        <v>1348</v>
      </c>
      <c r="I621">
        <v>72</v>
      </c>
      <c r="J621">
        <v>81</v>
      </c>
      <c r="K621">
        <v>49</v>
      </c>
      <c r="L621">
        <v>78</v>
      </c>
      <c r="M621">
        <v>35</v>
      </c>
      <c r="N621">
        <v>73</v>
      </c>
      <c r="O621">
        <v>316</v>
      </c>
      <c r="P621">
        <v>63.2</v>
      </c>
      <c r="Q621" t="s">
        <v>26</v>
      </c>
      <c r="R621" t="s">
        <v>27</v>
      </c>
      <c r="S621">
        <v>3127</v>
      </c>
      <c r="T621" t="s">
        <v>28</v>
      </c>
      <c r="U621" t="str">
        <f t="shared" si="9"/>
        <v>Pass</v>
      </c>
    </row>
    <row r="622" spans="1:21">
      <c r="A622" t="s">
        <v>1349</v>
      </c>
      <c r="B622" t="s">
        <v>123</v>
      </c>
      <c r="C622" t="s">
        <v>37</v>
      </c>
      <c r="D622">
        <v>12</v>
      </c>
      <c r="E622" t="s">
        <v>26</v>
      </c>
      <c r="F622">
        <v>18</v>
      </c>
      <c r="G622" t="s">
        <v>38</v>
      </c>
      <c r="H622" t="s">
        <v>1350</v>
      </c>
      <c r="I622">
        <v>88</v>
      </c>
      <c r="J622">
        <v>90</v>
      </c>
      <c r="K622">
        <v>51</v>
      </c>
      <c r="L622">
        <v>36</v>
      </c>
      <c r="M622">
        <v>72</v>
      </c>
      <c r="N622">
        <v>42</v>
      </c>
      <c r="O622">
        <v>291</v>
      </c>
      <c r="P622">
        <v>58.2</v>
      </c>
      <c r="Q622" t="s">
        <v>31</v>
      </c>
      <c r="R622" t="s">
        <v>27</v>
      </c>
      <c r="S622">
        <v>3525</v>
      </c>
      <c r="T622" t="s">
        <v>28</v>
      </c>
      <c r="U622" t="str">
        <f t="shared" si="9"/>
        <v>Pass</v>
      </c>
    </row>
    <row r="623" spans="1:21">
      <c r="A623" t="s">
        <v>1351</v>
      </c>
      <c r="B623" t="s">
        <v>900</v>
      </c>
      <c r="C623" t="s">
        <v>37</v>
      </c>
      <c r="D623">
        <v>3</v>
      </c>
      <c r="E623" t="s">
        <v>47</v>
      </c>
      <c r="F623">
        <v>7</v>
      </c>
      <c r="G623" t="s">
        <v>38</v>
      </c>
      <c r="H623" t="s">
        <v>1352</v>
      </c>
      <c r="I623">
        <v>75</v>
      </c>
      <c r="J623">
        <v>97</v>
      </c>
      <c r="K623">
        <v>66</v>
      </c>
      <c r="L623">
        <v>37</v>
      </c>
      <c r="M623">
        <v>64</v>
      </c>
      <c r="N623">
        <v>51</v>
      </c>
      <c r="O623">
        <v>315</v>
      </c>
      <c r="P623">
        <v>63</v>
      </c>
      <c r="Q623" t="s">
        <v>26</v>
      </c>
      <c r="R623" t="s">
        <v>41</v>
      </c>
      <c r="S623">
        <v>3383</v>
      </c>
      <c r="T623" t="s">
        <v>28</v>
      </c>
      <c r="U623" t="str">
        <f t="shared" si="9"/>
        <v>Pass</v>
      </c>
    </row>
    <row r="624" spans="1:21">
      <c r="A624" t="s">
        <v>1353</v>
      </c>
      <c r="B624" t="s">
        <v>678</v>
      </c>
      <c r="C624" t="s">
        <v>22</v>
      </c>
      <c r="D624">
        <v>7</v>
      </c>
      <c r="E624" t="s">
        <v>47</v>
      </c>
      <c r="F624">
        <v>11</v>
      </c>
      <c r="G624" t="s">
        <v>58</v>
      </c>
      <c r="H624" t="s">
        <v>1354</v>
      </c>
      <c r="I624">
        <v>61</v>
      </c>
      <c r="J624">
        <v>69</v>
      </c>
      <c r="K624">
        <v>61</v>
      </c>
      <c r="L624">
        <v>35</v>
      </c>
      <c r="M624">
        <v>38</v>
      </c>
      <c r="N624">
        <v>50</v>
      </c>
      <c r="O624">
        <v>253</v>
      </c>
      <c r="P624">
        <v>50.6</v>
      </c>
      <c r="Q624" t="s">
        <v>31</v>
      </c>
      <c r="R624" t="s">
        <v>41</v>
      </c>
      <c r="S624">
        <v>3247</v>
      </c>
      <c r="T624" t="s">
        <v>48</v>
      </c>
      <c r="U624" t="str">
        <f t="shared" si="9"/>
        <v>Fail</v>
      </c>
    </row>
    <row r="625" spans="1:21">
      <c r="A625" t="s">
        <v>1355</v>
      </c>
      <c r="B625" t="s">
        <v>208</v>
      </c>
      <c r="C625" t="s">
        <v>37</v>
      </c>
      <c r="D625">
        <v>1</v>
      </c>
      <c r="E625" t="s">
        <v>31</v>
      </c>
      <c r="F625">
        <v>6</v>
      </c>
      <c r="G625" t="s">
        <v>45</v>
      </c>
      <c r="H625" t="s">
        <v>1356</v>
      </c>
      <c r="I625">
        <v>63</v>
      </c>
      <c r="J625">
        <v>61</v>
      </c>
      <c r="K625">
        <v>36</v>
      </c>
      <c r="L625">
        <v>86</v>
      </c>
      <c r="M625">
        <v>42</v>
      </c>
      <c r="N625">
        <v>93</v>
      </c>
      <c r="O625">
        <v>318</v>
      </c>
      <c r="P625">
        <v>63.6</v>
      </c>
      <c r="Q625" t="s">
        <v>26</v>
      </c>
      <c r="R625" t="s">
        <v>41</v>
      </c>
      <c r="S625">
        <v>3081</v>
      </c>
      <c r="T625" t="s">
        <v>66</v>
      </c>
      <c r="U625" t="str">
        <f t="shared" si="9"/>
        <v>Pass</v>
      </c>
    </row>
    <row r="626" spans="1:21">
      <c r="A626" t="s">
        <v>1357</v>
      </c>
      <c r="B626" t="s">
        <v>767</v>
      </c>
      <c r="C626" t="s">
        <v>22</v>
      </c>
      <c r="D626">
        <v>12</v>
      </c>
      <c r="E626" t="s">
        <v>26</v>
      </c>
      <c r="F626">
        <v>16</v>
      </c>
      <c r="G626" t="s">
        <v>24</v>
      </c>
      <c r="H626" t="s">
        <v>1358</v>
      </c>
      <c r="I626">
        <v>100</v>
      </c>
      <c r="J626">
        <v>96</v>
      </c>
      <c r="K626">
        <v>77</v>
      </c>
      <c r="L626">
        <v>80</v>
      </c>
      <c r="M626">
        <v>55</v>
      </c>
      <c r="N626">
        <v>75</v>
      </c>
      <c r="O626">
        <v>383</v>
      </c>
      <c r="P626">
        <v>76.599999999999994</v>
      </c>
      <c r="Q626" t="s">
        <v>40</v>
      </c>
      <c r="R626" t="s">
        <v>41</v>
      </c>
      <c r="S626">
        <v>4976</v>
      </c>
      <c r="T626" t="s">
        <v>48</v>
      </c>
      <c r="U626" t="str">
        <f t="shared" si="9"/>
        <v>Pass</v>
      </c>
    </row>
    <row r="627" spans="1:21">
      <c r="A627" t="s">
        <v>1359</v>
      </c>
      <c r="B627" t="s">
        <v>1080</v>
      </c>
      <c r="C627" t="s">
        <v>22</v>
      </c>
      <c r="D627">
        <v>6</v>
      </c>
      <c r="E627" t="s">
        <v>47</v>
      </c>
      <c r="F627">
        <v>12</v>
      </c>
      <c r="G627" t="s">
        <v>32</v>
      </c>
      <c r="H627" t="s">
        <v>1360</v>
      </c>
      <c r="I627">
        <v>82</v>
      </c>
      <c r="J627">
        <v>68</v>
      </c>
      <c r="K627">
        <v>35</v>
      </c>
      <c r="L627">
        <v>76</v>
      </c>
      <c r="M627">
        <v>60</v>
      </c>
      <c r="N627">
        <v>96</v>
      </c>
      <c r="O627">
        <v>335</v>
      </c>
      <c r="P627">
        <v>67</v>
      </c>
      <c r="Q627" t="s">
        <v>26</v>
      </c>
      <c r="R627" t="s">
        <v>27</v>
      </c>
      <c r="S627">
        <v>1714</v>
      </c>
      <c r="T627" t="s">
        <v>66</v>
      </c>
      <c r="U627" t="str">
        <f t="shared" si="9"/>
        <v>Pass</v>
      </c>
    </row>
    <row r="628" spans="1:21">
      <c r="A628" t="s">
        <v>1361</v>
      </c>
      <c r="B628" t="s">
        <v>21</v>
      </c>
      <c r="C628" t="s">
        <v>37</v>
      </c>
      <c r="D628">
        <v>10</v>
      </c>
      <c r="E628" t="s">
        <v>23</v>
      </c>
      <c r="F628">
        <v>16</v>
      </c>
      <c r="G628" t="s">
        <v>45</v>
      </c>
      <c r="H628" t="s">
        <v>1362</v>
      </c>
      <c r="I628">
        <v>79</v>
      </c>
      <c r="J628">
        <v>36</v>
      </c>
      <c r="K628">
        <v>44</v>
      </c>
      <c r="L628">
        <v>61</v>
      </c>
      <c r="M628">
        <v>76</v>
      </c>
      <c r="N628">
        <v>87</v>
      </c>
      <c r="O628">
        <v>304</v>
      </c>
      <c r="P628">
        <v>60.8</v>
      </c>
      <c r="Q628" t="s">
        <v>26</v>
      </c>
      <c r="R628" t="s">
        <v>41</v>
      </c>
      <c r="S628">
        <v>2841</v>
      </c>
      <c r="T628" t="s">
        <v>28</v>
      </c>
      <c r="U628" t="str">
        <f t="shared" si="9"/>
        <v>Pass</v>
      </c>
    </row>
    <row r="629" spans="1:21">
      <c r="A629" t="s">
        <v>1363</v>
      </c>
      <c r="B629" t="s">
        <v>319</v>
      </c>
      <c r="C629" t="s">
        <v>37</v>
      </c>
      <c r="D629">
        <v>5</v>
      </c>
      <c r="E629" t="s">
        <v>31</v>
      </c>
      <c r="F629">
        <v>11</v>
      </c>
      <c r="G629" t="s">
        <v>58</v>
      </c>
      <c r="H629" t="s">
        <v>1364</v>
      </c>
      <c r="I629">
        <v>95</v>
      </c>
      <c r="J629">
        <v>99</v>
      </c>
      <c r="K629">
        <v>76</v>
      </c>
      <c r="L629">
        <v>46</v>
      </c>
      <c r="M629">
        <v>48</v>
      </c>
      <c r="N629">
        <v>90</v>
      </c>
      <c r="O629">
        <v>359</v>
      </c>
      <c r="P629">
        <v>71.8</v>
      </c>
      <c r="Q629" t="s">
        <v>40</v>
      </c>
      <c r="R629" t="s">
        <v>27</v>
      </c>
      <c r="S629">
        <v>3995</v>
      </c>
      <c r="T629" t="s">
        <v>70</v>
      </c>
      <c r="U629" t="str">
        <f t="shared" si="9"/>
        <v>Pass</v>
      </c>
    </row>
    <row r="630" spans="1:21">
      <c r="A630" t="s">
        <v>1365</v>
      </c>
      <c r="B630" t="s">
        <v>445</v>
      </c>
      <c r="C630" t="s">
        <v>22</v>
      </c>
      <c r="D630">
        <v>11</v>
      </c>
      <c r="E630" t="s">
        <v>31</v>
      </c>
      <c r="F630">
        <v>17</v>
      </c>
      <c r="G630" t="s">
        <v>24</v>
      </c>
      <c r="H630" t="s">
        <v>1366</v>
      </c>
      <c r="I630">
        <v>73</v>
      </c>
      <c r="J630">
        <v>81</v>
      </c>
      <c r="K630">
        <v>51</v>
      </c>
      <c r="L630">
        <v>69</v>
      </c>
      <c r="M630">
        <v>77</v>
      </c>
      <c r="N630">
        <v>83</v>
      </c>
      <c r="O630">
        <v>361</v>
      </c>
      <c r="P630">
        <v>72.2</v>
      </c>
      <c r="Q630" t="s">
        <v>40</v>
      </c>
      <c r="R630" t="s">
        <v>27</v>
      </c>
      <c r="S630">
        <v>3854</v>
      </c>
      <c r="T630" t="s">
        <v>48</v>
      </c>
      <c r="U630" t="str">
        <f t="shared" si="9"/>
        <v>Pass</v>
      </c>
    </row>
    <row r="631" spans="1:21">
      <c r="A631" t="s">
        <v>1367</v>
      </c>
      <c r="B631" t="s">
        <v>651</v>
      </c>
      <c r="C631" t="s">
        <v>22</v>
      </c>
      <c r="D631">
        <v>11</v>
      </c>
      <c r="E631" t="s">
        <v>23</v>
      </c>
      <c r="F631">
        <v>16</v>
      </c>
      <c r="G631" t="s">
        <v>58</v>
      </c>
      <c r="H631" t="s">
        <v>1368</v>
      </c>
      <c r="I631">
        <v>76</v>
      </c>
      <c r="J631">
        <v>95</v>
      </c>
      <c r="K631">
        <v>41</v>
      </c>
      <c r="L631">
        <v>43</v>
      </c>
      <c r="M631">
        <v>49</v>
      </c>
      <c r="N631">
        <v>77</v>
      </c>
      <c r="O631">
        <v>305</v>
      </c>
      <c r="P631">
        <v>61</v>
      </c>
      <c r="Q631" t="s">
        <v>26</v>
      </c>
      <c r="R631" t="s">
        <v>41</v>
      </c>
      <c r="S631">
        <v>2364</v>
      </c>
      <c r="T631" t="s">
        <v>34</v>
      </c>
      <c r="U631" t="str">
        <f t="shared" si="9"/>
        <v>Pass</v>
      </c>
    </row>
    <row r="632" spans="1:21">
      <c r="A632" t="s">
        <v>1369</v>
      </c>
      <c r="B632" t="s">
        <v>137</v>
      </c>
      <c r="C632" t="s">
        <v>37</v>
      </c>
      <c r="D632">
        <v>1</v>
      </c>
      <c r="E632" t="s">
        <v>23</v>
      </c>
      <c r="F632">
        <v>6</v>
      </c>
      <c r="G632" t="s">
        <v>38</v>
      </c>
      <c r="H632" t="s">
        <v>324</v>
      </c>
      <c r="I632">
        <v>68</v>
      </c>
      <c r="J632">
        <v>65</v>
      </c>
      <c r="K632">
        <v>35</v>
      </c>
      <c r="L632">
        <v>98</v>
      </c>
      <c r="M632">
        <v>99</v>
      </c>
      <c r="N632">
        <v>82</v>
      </c>
      <c r="O632">
        <v>379</v>
      </c>
      <c r="P632">
        <v>75.8</v>
      </c>
      <c r="Q632" t="s">
        <v>40</v>
      </c>
      <c r="R632" t="s">
        <v>27</v>
      </c>
      <c r="S632">
        <v>2069</v>
      </c>
      <c r="T632" t="s">
        <v>42</v>
      </c>
      <c r="U632" t="str">
        <f t="shared" si="9"/>
        <v>Pass</v>
      </c>
    </row>
    <row r="633" spans="1:21">
      <c r="A633" t="s">
        <v>1370</v>
      </c>
      <c r="B633" t="s">
        <v>370</v>
      </c>
      <c r="C633" t="s">
        <v>22</v>
      </c>
      <c r="D633">
        <v>5</v>
      </c>
      <c r="E633" t="s">
        <v>26</v>
      </c>
      <c r="F633">
        <v>11</v>
      </c>
      <c r="G633" t="s">
        <v>38</v>
      </c>
      <c r="H633" t="s">
        <v>1371</v>
      </c>
      <c r="I633">
        <v>74</v>
      </c>
      <c r="J633">
        <v>55</v>
      </c>
      <c r="K633">
        <v>91</v>
      </c>
      <c r="L633">
        <v>42</v>
      </c>
      <c r="M633">
        <v>37</v>
      </c>
      <c r="N633">
        <v>69</v>
      </c>
      <c r="O633">
        <v>294</v>
      </c>
      <c r="P633">
        <v>58.8</v>
      </c>
      <c r="Q633" t="s">
        <v>31</v>
      </c>
      <c r="R633" t="s">
        <v>41</v>
      </c>
      <c r="S633">
        <v>1751</v>
      </c>
      <c r="T633" t="s">
        <v>34</v>
      </c>
      <c r="U633" t="str">
        <f t="shared" si="9"/>
        <v>Pass</v>
      </c>
    </row>
    <row r="634" spans="1:21">
      <c r="A634" t="s">
        <v>1372</v>
      </c>
      <c r="B634" t="s">
        <v>416</v>
      </c>
      <c r="C634" t="s">
        <v>37</v>
      </c>
      <c r="D634">
        <v>6</v>
      </c>
      <c r="E634" t="s">
        <v>26</v>
      </c>
      <c r="F634">
        <v>12</v>
      </c>
      <c r="G634" t="s">
        <v>32</v>
      </c>
      <c r="H634" t="s">
        <v>1373</v>
      </c>
      <c r="I634">
        <v>84</v>
      </c>
      <c r="J634">
        <v>51</v>
      </c>
      <c r="K634">
        <v>81</v>
      </c>
      <c r="L634">
        <v>41</v>
      </c>
      <c r="M634">
        <v>64</v>
      </c>
      <c r="N634">
        <v>61</v>
      </c>
      <c r="O634">
        <v>298</v>
      </c>
      <c r="P634">
        <v>59.6</v>
      </c>
      <c r="Q634" t="s">
        <v>31</v>
      </c>
      <c r="R634" t="s">
        <v>27</v>
      </c>
      <c r="S634">
        <v>3375</v>
      </c>
      <c r="T634" t="s">
        <v>70</v>
      </c>
      <c r="U634" t="str">
        <f t="shared" si="9"/>
        <v>Pass</v>
      </c>
    </row>
    <row r="635" spans="1:21">
      <c r="A635" t="s">
        <v>1374</v>
      </c>
      <c r="B635" t="s">
        <v>140</v>
      </c>
      <c r="C635" t="s">
        <v>37</v>
      </c>
      <c r="D635">
        <v>12</v>
      </c>
      <c r="E635" t="s">
        <v>23</v>
      </c>
      <c r="F635">
        <v>16</v>
      </c>
      <c r="G635" t="s">
        <v>38</v>
      </c>
      <c r="H635" t="s">
        <v>1026</v>
      </c>
      <c r="I635">
        <v>89</v>
      </c>
      <c r="J635">
        <v>80</v>
      </c>
      <c r="K635">
        <v>100</v>
      </c>
      <c r="L635">
        <v>42</v>
      </c>
      <c r="M635">
        <v>58</v>
      </c>
      <c r="N635">
        <v>39</v>
      </c>
      <c r="O635">
        <v>319</v>
      </c>
      <c r="P635">
        <v>63.8</v>
      </c>
      <c r="Q635" t="s">
        <v>26</v>
      </c>
      <c r="R635" t="s">
        <v>27</v>
      </c>
      <c r="S635">
        <v>2317</v>
      </c>
      <c r="T635" t="s">
        <v>66</v>
      </c>
      <c r="U635" t="str">
        <f t="shared" si="9"/>
        <v>Pass</v>
      </c>
    </row>
    <row r="636" spans="1:21">
      <c r="A636" t="s">
        <v>1375</v>
      </c>
      <c r="B636" t="s">
        <v>319</v>
      </c>
      <c r="C636" t="s">
        <v>22</v>
      </c>
      <c r="D636">
        <v>6</v>
      </c>
      <c r="E636" t="s">
        <v>47</v>
      </c>
      <c r="F636">
        <v>10</v>
      </c>
      <c r="G636" t="s">
        <v>64</v>
      </c>
      <c r="H636" t="s">
        <v>580</v>
      </c>
      <c r="I636">
        <v>100</v>
      </c>
      <c r="J636">
        <v>48</v>
      </c>
      <c r="K636">
        <v>79</v>
      </c>
      <c r="L636">
        <v>45</v>
      </c>
      <c r="M636">
        <v>44</v>
      </c>
      <c r="N636">
        <v>58</v>
      </c>
      <c r="O636">
        <v>274</v>
      </c>
      <c r="P636">
        <v>54.8</v>
      </c>
      <c r="Q636" t="s">
        <v>31</v>
      </c>
      <c r="R636" t="s">
        <v>27</v>
      </c>
      <c r="S636">
        <v>4349</v>
      </c>
      <c r="T636" t="s">
        <v>42</v>
      </c>
      <c r="U636" t="str">
        <f t="shared" si="9"/>
        <v>Fail</v>
      </c>
    </row>
    <row r="637" spans="1:21">
      <c r="A637" t="s">
        <v>1376</v>
      </c>
      <c r="B637" t="s">
        <v>373</v>
      </c>
      <c r="C637" t="s">
        <v>22</v>
      </c>
      <c r="D637">
        <v>7</v>
      </c>
      <c r="E637" t="s">
        <v>23</v>
      </c>
      <c r="F637">
        <v>11</v>
      </c>
      <c r="G637" t="s">
        <v>32</v>
      </c>
      <c r="H637" t="s">
        <v>1377</v>
      </c>
      <c r="I637">
        <v>92</v>
      </c>
      <c r="J637">
        <v>68</v>
      </c>
      <c r="K637">
        <v>70</v>
      </c>
      <c r="L637">
        <v>86</v>
      </c>
      <c r="M637">
        <v>54</v>
      </c>
      <c r="N637">
        <v>54</v>
      </c>
      <c r="O637">
        <v>332</v>
      </c>
      <c r="P637">
        <v>66.400000000000006</v>
      </c>
      <c r="Q637" t="s">
        <v>26</v>
      </c>
      <c r="R637" t="s">
        <v>41</v>
      </c>
      <c r="S637">
        <v>3089</v>
      </c>
      <c r="T637" t="s">
        <v>34</v>
      </c>
      <c r="U637" t="str">
        <f t="shared" si="9"/>
        <v>Pass</v>
      </c>
    </row>
    <row r="638" spans="1:21">
      <c r="A638" t="s">
        <v>1378</v>
      </c>
      <c r="B638" t="s">
        <v>44</v>
      </c>
      <c r="C638" t="s">
        <v>37</v>
      </c>
      <c r="D638">
        <v>6</v>
      </c>
      <c r="E638" t="s">
        <v>47</v>
      </c>
      <c r="F638">
        <v>10</v>
      </c>
      <c r="G638" t="s">
        <v>24</v>
      </c>
      <c r="H638" t="s">
        <v>725</v>
      </c>
      <c r="I638">
        <v>67</v>
      </c>
      <c r="J638">
        <v>67</v>
      </c>
      <c r="K638">
        <v>86</v>
      </c>
      <c r="L638">
        <v>41</v>
      </c>
      <c r="M638">
        <v>70</v>
      </c>
      <c r="N638">
        <v>100</v>
      </c>
      <c r="O638">
        <v>364</v>
      </c>
      <c r="P638">
        <v>72.8</v>
      </c>
      <c r="Q638" t="s">
        <v>40</v>
      </c>
      <c r="R638" t="s">
        <v>27</v>
      </c>
      <c r="S638">
        <v>1982</v>
      </c>
      <c r="T638" t="s">
        <v>66</v>
      </c>
      <c r="U638" t="str">
        <f t="shared" si="9"/>
        <v>Pass</v>
      </c>
    </row>
    <row r="639" spans="1:21">
      <c r="A639" t="s">
        <v>1379</v>
      </c>
      <c r="B639" t="s">
        <v>322</v>
      </c>
      <c r="C639" t="s">
        <v>22</v>
      </c>
      <c r="D639">
        <v>5</v>
      </c>
      <c r="E639" t="s">
        <v>47</v>
      </c>
      <c r="F639">
        <v>10</v>
      </c>
      <c r="G639" t="s">
        <v>45</v>
      </c>
      <c r="H639" t="s">
        <v>1380</v>
      </c>
      <c r="I639">
        <v>85</v>
      </c>
      <c r="J639">
        <v>79</v>
      </c>
      <c r="K639">
        <v>50</v>
      </c>
      <c r="L639">
        <v>43</v>
      </c>
      <c r="M639">
        <v>78</v>
      </c>
      <c r="N639">
        <v>46</v>
      </c>
      <c r="O639">
        <v>296</v>
      </c>
      <c r="P639">
        <v>59.2</v>
      </c>
      <c r="Q639" t="s">
        <v>31</v>
      </c>
      <c r="R639" t="s">
        <v>27</v>
      </c>
      <c r="S639">
        <v>2534</v>
      </c>
      <c r="T639" t="s">
        <v>42</v>
      </c>
      <c r="U639" t="str">
        <f t="shared" si="9"/>
        <v>Pass</v>
      </c>
    </row>
    <row r="640" spans="1:21">
      <c r="A640" t="s">
        <v>1381</v>
      </c>
      <c r="B640" t="s">
        <v>44</v>
      </c>
      <c r="C640" t="s">
        <v>37</v>
      </c>
      <c r="D640">
        <v>12</v>
      </c>
      <c r="E640" t="s">
        <v>31</v>
      </c>
      <c r="F640">
        <v>16</v>
      </c>
      <c r="G640" t="s">
        <v>24</v>
      </c>
      <c r="H640" t="s">
        <v>1382</v>
      </c>
      <c r="I640">
        <v>82</v>
      </c>
      <c r="J640">
        <v>100</v>
      </c>
      <c r="K640">
        <v>83</v>
      </c>
      <c r="L640">
        <v>66</v>
      </c>
      <c r="M640">
        <v>91</v>
      </c>
      <c r="N640">
        <v>39</v>
      </c>
      <c r="O640">
        <v>379</v>
      </c>
      <c r="P640">
        <v>75.8</v>
      </c>
      <c r="Q640" t="s">
        <v>40</v>
      </c>
      <c r="R640" t="s">
        <v>27</v>
      </c>
      <c r="S640">
        <v>2821</v>
      </c>
      <c r="T640" t="s">
        <v>70</v>
      </c>
      <c r="U640" t="str">
        <f t="shared" si="9"/>
        <v>Pass</v>
      </c>
    </row>
    <row r="641" spans="1:21">
      <c r="A641" t="s">
        <v>1383</v>
      </c>
      <c r="B641" t="s">
        <v>78</v>
      </c>
      <c r="C641" t="s">
        <v>22</v>
      </c>
      <c r="D641">
        <v>8</v>
      </c>
      <c r="E641" t="s">
        <v>47</v>
      </c>
      <c r="F641">
        <v>14</v>
      </c>
      <c r="G641" t="s">
        <v>38</v>
      </c>
      <c r="H641" t="s">
        <v>1384</v>
      </c>
      <c r="I641">
        <v>87</v>
      </c>
      <c r="J641">
        <v>38</v>
      </c>
      <c r="K641">
        <v>68</v>
      </c>
      <c r="L641">
        <v>93</v>
      </c>
      <c r="M641">
        <v>74</v>
      </c>
      <c r="N641">
        <v>88</v>
      </c>
      <c r="O641">
        <v>361</v>
      </c>
      <c r="P641">
        <v>72.2</v>
      </c>
      <c r="Q641" t="s">
        <v>40</v>
      </c>
      <c r="R641" t="s">
        <v>41</v>
      </c>
      <c r="S641">
        <v>3330</v>
      </c>
      <c r="T641" t="s">
        <v>70</v>
      </c>
      <c r="U641" t="str">
        <f t="shared" si="9"/>
        <v>Pass</v>
      </c>
    </row>
    <row r="642" spans="1:21">
      <c r="A642" t="s">
        <v>1385</v>
      </c>
      <c r="B642" t="s">
        <v>767</v>
      </c>
      <c r="C642" t="s">
        <v>37</v>
      </c>
      <c r="D642">
        <v>3</v>
      </c>
      <c r="E642" t="s">
        <v>47</v>
      </c>
      <c r="F642">
        <v>8</v>
      </c>
      <c r="G642" t="s">
        <v>54</v>
      </c>
      <c r="H642" t="s">
        <v>1386</v>
      </c>
      <c r="I642">
        <v>61</v>
      </c>
      <c r="J642">
        <v>44</v>
      </c>
      <c r="K642">
        <v>100</v>
      </c>
      <c r="L642">
        <v>65</v>
      </c>
      <c r="M642">
        <v>43</v>
      </c>
      <c r="N642">
        <v>75</v>
      </c>
      <c r="O642">
        <v>327</v>
      </c>
      <c r="P642">
        <v>65.400000000000006</v>
      </c>
      <c r="Q642" t="s">
        <v>26</v>
      </c>
      <c r="R642" t="s">
        <v>27</v>
      </c>
      <c r="S642">
        <v>3545</v>
      </c>
      <c r="T642" t="s">
        <v>66</v>
      </c>
      <c r="U642" t="str">
        <f t="shared" si="9"/>
        <v>Pass</v>
      </c>
    </row>
    <row r="643" spans="1:21">
      <c r="A643" t="s">
        <v>1387</v>
      </c>
      <c r="B643" t="s">
        <v>332</v>
      </c>
      <c r="C643" t="s">
        <v>37</v>
      </c>
      <c r="D643">
        <v>12</v>
      </c>
      <c r="E643" t="s">
        <v>47</v>
      </c>
      <c r="F643">
        <v>16</v>
      </c>
      <c r="G643" t="s">
        <v>24</v>
      </c>
      <c r="H643" t="s">
        <v>1388</v>
      </c>
      <c r="I643">
        <v>68</v>
      </c>
      <c r="J643">
        <v>83</v>
      </c>
      <c r="K643">
        <v>77</v>
      </c>
      <c r="L643">
        <v>80</v>
      </c>
      <c r="M643">
        <v>38</v>
      </c>
      <c r="N643">
        <v>74</v>
      </c>
      <c r="O643">
        <v>352</v>
      </c>
      <c r="P643">
        <v>70.400000000000006</v>
      </c>
      <c r="Q643" t="s">
        <v>40</v>
      </c>
      <c r="R643" t="s">
        <v>27</v>
      </c>
      <c r="S643">
        <v>2642</v>
      </c>
      <c r="T643" t="s">
        <v>42</v>
      </c>
      <c r="U643" t="str">
        <f t="shared" ref="U643:U706" si="10">IF(P643&gt;55,"Pass","Fail")</f>
        <v>Pass</v>
      </c>
    </row>
    <row r="644" spans="1:21">
      <c r="A644" t="s">
        <v>1389</v>
      </c>
      <c r="B644" t="s">
        <v>302</v>
      </c>
      <c r="C644" t="s">
        <v>37</v>
      </c>
      <c r="D644">
        <v>12</v>
      </c>
      <c r="E644" t="s">
        <v>23</v>
      </c>
      <c r="F644">
        <v>18</v>
      </c>
      <c r="G644" t="s">
        <v>24</v>
      </c>
      <c r="H644" t="s">
        <v>1390</v>
      </c>
      <c r="I644">
        <v>79</v>
      </c>
      <c r="J644">
        <v>61</v>
      </c>
      <c r="K644">
        <v>72</v>
      </c>
      <c r="L644">
        <v>67</v>
      </c>
      <c r="M644">
        <v>94</v>
      </c>
      <c r="N644">
        <v>95</v>
      </c>
      <c r="O644">
        <v>389</v>
      </c>
      <c r="P644">
        <v>77.8</v>
      </c>
      <c r="Q644" t="s">
        <v>40</v>
      </c>
      <c r="R644" t="s">
        <v>27</v>
      </c>
      <c r="S644">
        <v>2729</v>
      </c>
      <c r="T644" t="s">
        <v>42</v>
      </c>
      <c r="U644" t="str">
        <f t="shared" si="10"/>
        <v>Pass</v>
      </c>
    </row>
    <row r="645" spans="1:21">
      <c r="A645" t="s">
        <v>1391</v>
      </c>
      <c r="B645" t="s">
        <v>426</v>
      </c>
      <c r="C645" t="s">
        <v>37</v>
      </c>
      <c r="D645">
        <v>9</v>
      </c>
      <c r="E645" t="s">
        <v>47</v>
      </c>
      <c r="F645">
        <v>14</v>
      </c>
      <c r="G645" t="s">
        <v>32</v>
      </c>
      <c r="H645" t="s">
        <v>685</v>
      </c>
      <c r="I645">
        <v>72</v>
      </c>
      <c r="J645">
        <v>94</v>
      </c>
      <c r="K645">
        <v>53</v>
      </c>
      <c r="L645">
        <v>93</v>
      </c>
      <c r="M645">
        <v>81</v>
      </c>
      <c r="N645">
        <v>52</v>
      </c>
      <c r="O645">
        <v>373</v>
      </c>
      <c r="P645">
        <v>74.599999999999994</v>
      </c>
      <c r="Q645" t="s">
        <v>40</v>
      </c>
      <c r="R645" t="s">
        <v>41</v>
      </c>
      <c r="S645">
        <v>2923</v>
      </c>
      <c r="T645" t="s">
        <v>42</v>
      </c>
      <c r="U645" t="str">
        <f t="shared" si="10"/>
        <v>Pass</v>
      </c>
    </row>
    <row r="646" spans="1:21">
      <c r="A646" t="s">
        <v>1392</v>
      </c>
      <c r="B646" t="s">
        <v>383</v>
      </c>
      <c r="C646" t="s">
        <v>37</v>
      </c>
      <c r="D646">
        <v>7</v>
      </c>
      <c r="E646" t="s">
        <v>26</v>
      </c>
      <c r="F646">
        <v>13</v>
      </c>
      <c r="G646" t="s">
        <v>54</v>
      </c>
      <c r="H646" t="s">
        <v>1393</v>
      </c>
      <c r="I646">
        <v>71</v>
      </c>
      <c r="J646">
        <v>57</v>
      </c>
      <c r="K646">
        <v>38</v>
      </c>
      <c r="L646">
        <v>49</v>
      </c>
      <c r="M646">
        <v>95</v>
      </c>
      <c r="N646">
        <v>90</v>
      </c>
      <c r="O646">
        <v>329</v>
      </c>
      <c r="P646">
        <v>65.8</v>
      </c>
      <c r="Q646" t="s">
        <v>26</v>
      </c>
      <c r="R646" t="s">
        <v>27</v>
      </c>
      <c r="S646">
        <v>1807</v>
      </c>
      <c r="T646" t="s">
        <v>66</v>
      </c>
      <c r="U646" t="str">
        <f t="shared" si="10"/>
        <v>Pass</v>
      </c>
    </row>
    <row r="647" spans="1:21">
      <c r="A647" t="s">
        <v>1394</v>
      </c>
      <c r="B647" t="s">
        <v>57</v>
      </c>
      <c r="C647" t="s">
        <v>22</v>
      </c>
      <c r="D647">
        <v>4</v>
      </c>
      <c r="E647" t="s">
        <v>23</v>
      </c>
      <c r="F647">
        <v>9</v>
      </c>
      <c r="G647" t="s">
        <v>38</v>
      </c>
      <c r="H647" t="s">
        <v>1395</v>
      </c>
      <c r="I647">
        <v>92</v>
      </c>
      <c r="J647">
        <v>41</v>
      </c>
      <c r="K647">
        <v>77</v>
      </c>
      <c r="L647">
        <v>67</v>
      </c>
      <c r="M647">
        <v>88</v>
      </c>
      <c r="N647">
        <v>55</v>
      </c>
      <c r="O647">
        <v>328</v>
      </c>
      <c r="P647">
        <v>65.599999999999994</v>
      </c>
      <c r="Q647" t="s">
        <v>26</v>
      </c>
      <c r="R647" t="s">
        <v>41</v>
      </c>
      <c r="S647">
        <v>2948</v>
      </c>
      <c r="T647" t="s">
        <v>70</v>
      </c>
      <c r="U647" t="str">
        <f t="shared" si="10"/>
        <v>Pass</v>
      </c>
    </row>
    <row r="648" spans="1:21">
      <c r="A648" t="s">
        <v>1396</v>
      </c>
      <c r="B648" t="s">
        <v>258</v>
      </c>
      <c r="C648" t="s">
        <v>37</v>
      </c>
      <c r="D648">
        <v>11</v>
      </c>
      <c r="E648" t="s">
        <v>47</v>
      </c>
      <c r="F648">
        <v>16</v>
      </c>
      <c r="G648" t="s">
        <v>24</v>
      </c>
      <c r="H648" t="s">
        <v>1397</v>
      </c>
      <c r="I648">
        <v>95</v>
      </c>
      <c r="J648">
        <v>89</v>
      </c>
      <c r="K648">
        <v>39</v>
      </c>
      <c r="L648">
        <v>74</v>
      </c>
      <c r="M648">
        <v>61</v>
      </c>
      <c r="N648">
        <v>42</v>
      </c>
      <c r="O648">
        <v>305</v>
      </c>
      <c r="P648">
        <v>61</v>
      </c>
      <c r="Q648" t="s">
        <v>26</v>
      </c>
      <c r="R648" t="s">
        <v>27</v>
      </c>
      <c r="S648">
        <v>4369</v>
      </c>
      <c r="T648" t="s">
        <v>70</v>
      </c>
      <c r="U648" t="str">
        <f t="shared" si="10"/>
        <v>Pass</v>
      </c>
    </row>
    <row r="649" spans="1:21">
      <c r="A649" t="s">
        <v>1398</v>
      </c>
      <c r="B649" t="s">
        <v>544</v>
      </c>
      <c r="C649" t="s">
        <v>22</v>
      </c>
      <c r="D649">
        <v>4</v>
      </c>
      <c r="E649" t="s">
        <v>47</v>
      </c>
      <c r="F649">
        <v>10</v>
      </c>
      <c r="G649" t="s">
        <v>24</v>
      </c>
      <c r="H649" t="s">
        <v>685</v>
      </c>
      <c r="I649">
        <v>63</v>
      </c>
      <c r="J649">
        <v>61</v>
      </c>
      <c r="K649">
        <v>53</v>
      </c>
      <c r="L649">
        <v>40</v>
      </c>
      <c r="M649">
        <v>84</v>
      </c>
      <c r="N649">
        <v>56</v>
      </c>
      <c r="O649">
        <v>294</v>
      </c>
      <c r="P649">
        <v>58.8</v>
      </c>
      <c r="Q649" t="s">
        <v>31</v>
      </c>
      <c r="R649" t="s">
        <v>41</v>
      </c>
      <c r="S649">
        <v>2975</v>
      </c>
      <c r="T649" t="s">
        <v>28</v>
      </c>
      <c r="U649" t="str">
        <f t="shared" si="10"/>
        <v>Pass</v>
      </c>
    </row>
    <row r="650" spans="1:21">
      <c r="A650" t="s">
        <v>1399</v>
      </c>
      <c r="B650" t="s">
        <v>1088</v>
      </c>
      <c r="C650" t="s">
        <v>37</v>
      </c>
      <c r="D650">
        <v>11</v>
      </c>
      <c r="E650" t="s">
        <v>31</v>
      </c>
      <c r="F650">
        <v>17</v>
      </c>
      <c r="G650" t="s">
        <v>24</v>
      </c>
      <c r="H650" t="s">
        <v>1400</v>
      </c>
      <c r="I650">
        <v>77</v>
      </c>
      <c r="J650">
        <v>87</v>
      </c>
      <c r="K650">
        <v>80</v>
      </c>
      <c r="L650">
        <v>68</v>
      </c>
      <c r="M650">
        <v>87</v>
      </c>
      <c r="N650">
        <v>38</v>
      </c>
      <c r="O650">
        <v>360</v>
      </c>
      <c r="P650">
        <v>72</v>
      </c>
      <c r="Q650" t="s">
        <v>40</v>
      </c>
      <c r="R650" t="s">
        <v>41</v>
      </c>
      <c r="S650">
        <v>3646</v>
      </c>
      <c r="T650" t="s">
        <v>66</v>
      </c>
      <c r="U650" t="str">
        <f t="shared" si="10"/>
        <v>Pass</v>
      </c>
    </row>
    <row r="651" spans="1:21">
      <c r="A651" t="s">
        <v>1401</v>
      </c>
      <c r="B651" t="s">
        <v>107</v>
      </c>
      <c r="C651" t="s">
        <v>22</v>
      </c>
      <c r="D651">
        <v>7</v>
      </c>
      <c r="E651" t="s">
        <v>31</v>
      </c>
      <c r="F651">
        <v>13</v>
      </c>
      <c r="G651" t="s">
        <v>64</v>
      </c>
      <c r="H651" t="s">
        <v>1402</v>
      </c>
      <c r="I651">
        <v>76</v>
      </c>
      <c r="J651">
        <v>61</v>
      </c>
      <c r="K651">
        <v>93</v>
      </c>
      <c r="L651">
        <v>79</v>
      </c>
      <c r="M651">
        <v>57</v>
      </c>
      <c r="N651">
        <v>63</v>
      </c>
      <c r="O651">
        <v>353</v>
      </c>
      <c r="P651">
        <v>70.599999999999994</v>
      </c>
      <c r="Q651" t="s">
        <v>40</v>
      </c>
      <c r="R651" t="s">
        <v>27</v>
      </c>
      <c r="S651">
        <v>3837</v>
      </c>
      <c r="T651" t="s">
        <v>28</v>
      </c>
      <c r="U651" t="str">
        <f t="shared" si="10"/>
        <v>Pass</v>
      </c>
    </row>
    <row r="652" spans="1:21">
      <c r="A652" t="s">
        <v>1403</v>
      </c>
      <c r="B652" t="s">
        <v>113</v>
      </c>
      <c r="C652" t="s">
        <v>37</v>
      </c>
      <c r="D652">
        <v>8</v>
      </c>
      <c r="E652" t="s">
        <v>47</v>
      </c>
      <c r="F652">
        <v>14</v>
      </c>
      <c r="G652" t="s">
        <v>24</v>
      </c>
      <c r="H652" t="s">
        <v>1404</v>
      </c>
      <c r="I652">
        <v>89</v>
      </c>
      <c r="J652">
        <v>71</v>
      </c>
      <c r="K652">
        <v>73</v>
      </c>
      <c r="L652">
        <v>52</v>
      </c>
      <c r="M652">
        <v>48</v>
      </c>
      <c r="N652">
        <v>92</v>
      </c>
      <c r="O652">
        <v>336</v>
      </c>
      <c r="P652">
        <v>67.2</v>
      </c>
      <c r="Q652" t="s">
        <v>26</v>
      </c>
      <c r="R652" t="s">
        <v>41</v>
      </c>
      <c r="S652">
        <v>2884</v>
      </c>
      <c r="T652" t="s">
        <v>28</v>
      </c>
      <c r="U652" t="str">
        <f t="shared" si="10"/>
        <v>Pass</v>
      </c>
    </row>
    <row r="653" spans="1:21">
      <c r="A653" t="s">
        <v>1405</v>
      </c>
      <c r="B653" t="s">
        <v>61</v>
      </c>
      <c r="C653" t="s">
        <v>37</v>
      </c>
      <c r="D653">
        <v>11</v>
      </c>
      <c r="E653" t="s">
        <v>26</v>
      </c>
      <c r="F653">
        <v>15</v>
      </c>
      <c r="G653" t="s">
        <v>64</v>
      </c>
      <c r="H653" t="s">
        <v>1406</v>
      </c>
      <c r="I653">
        <v>90</v>
      </c>
      <c r="J653">
        <v>72</v>
      </c>
      <c r="K653">
        <v>69</v>
      </c>
      <c r="L653">
        <v>46</v>
      </c>
      <c r="M653">
        <v>92</v>
      </c>
      <c r="N653">
        <v>43</v>
      </c>
      <c r="O653">
        <v>322</v>
      </c>
      <c r="P653">
        <v>64.400000000000006</v>
      </c>
      <c r="Q653" t="s">
        <v>26</v>
      </c>
      <c r="R653" t="s">
        <v>27</v>
      </c>
      <c r="S653">
        <v>2021</v>
      </c>
      <c r="T653" t="s">
        <v>34</v>
      </c>
      <c r="U653" t="str">
        <f t="shared" si="10"/>
        <v>Pass</v>
      </c>
    </row>
    <row r="654" spans="1:21">
      <c r="A654" t="s">
        <v>1407</v>
      </c>
      <c r="B654" t="s">
        <v>378</v>
      </c>
      <c r="C654" t="s">
        <v>22</v>
      </c>
      <c r="D654">
        <v>6</v>
      </c>
      <c r="E654" t="s">
        <v>23</v>
      </c>
      <c r="F654">
        <v>11</v>
      </c>
      <c r="G654" t="s">
        <v>32</v>
      </c>
      <c r="H654" t="s">
        <v>786</v>
      </c>
      <c r="I654">
        <v>98</v>
      </c>
      <c r="J654">
        <v>42</v>
      </c>
      <c r="K654">
        <v>78</v>
      </c>
      <c r="L654">
        <v>54</v>
      </c>
      <c r="M654">
        <v>66</v>
      </c>
      <c r="N654">
        <v>72</v>
      </c>
      <c r="O654">
        <v>312</v>
      </c>
      <c r="P654">
        <v>62.4</v>
      </c>
      <c r="Q654" t="s">
        <v>26</v>
      </c>
      <c r="R654" t="s">
        <v>41</v>
      </c>
      <c r="S654">
        <v>3063</v>
      </c>
      <c r="T654" t="s">
        <v>42</v>
      </c>
      <c r="U654" t="str">
        <f t="shared" si="10"/>
        <v>Pass</v>
      </c>
    </row>
    <row r="655" spans="1:21">
      <c r="A655" t="s">
        <v>1408</v>
      </c>
      <c r="B655" t="s">
        <v>1088</v>
      </c>
      <c r="C655" t="s">
        <v>22</v>
      </c>
      <c r="D655">
        <v>4</v>
      </c>
      <c r="E655" t="s">
        <v>47</v>
      </c>
      <c r="F655">
        <v>9</v>
      </c>
      <c r="G655" t="s">
        <v>45</v>
      </c>
      <c r="H655" t="s">
        <v>1111</v>
      </c>
      <c r="I655">
        <v>98</v>
      </c>
      <c r="J655">
        <v>49</v>
      </c>
      <c r="K655">
        <v>89</v>
      </c>
      <c r="L655">
        <v>59</v>
      </c>
      <c r="M655">
        <v>85</v>
      </c>
      <c r="N655">
        <v>51</v>
      </c>
      <c r="O655">
        <v>333</v>
      </c>
      <c r="P655">
        <v>66.599999999999994</v>
      </c>
      <c r="Q655" t="s">
        <v>26</v>
      </c>
      <c r="R655" t="s">
        <v>41</v>
      </c>
      <c r="S655">
        <v>3226</v>
      </c>
      <c r="T655" t="s">
        <v>28</v>
      </c>
      <c r="U655" t="str">
        <f t="shared" si="10"/>
        <v>Pass</v>
      </c>
    </row>
    <row r="656" spans="1:21">
      <c r="A656" t="s">
        <v>1409</v>
      </c>
      <c r="B656" t="s">
        <v>1410</v>
      </c>
      <c r="C656" t="s">
        <v>37</v>
      </c>
      <c r="D656">
        <v>11</v>
      </c>
      <c r="E656" t="s">
        <v>47</v>
      </c>
      <c r="F656">
        <v>17</v>
      </c>
      <c r="G656" t="s">
        <v>24</v>
      </c>
      <c r="H656" t="s">
        <v>1411</v>
      </c>
      <c r="I656">
        <v>77</v>
      </c>
      <c r="J656">
        <v>86</v>
      </c>
      <c r="K656">
        <v>58</v>
      </c>
      <c r="L656">
        <v>39</v>
      </c>
      <c r="M656">
        <v>74</v>
      </c>
      <c r="N656">
        <v>39</v>
      </c>
      <c r="O656">
        <v>296</v>
      </c>
      <c r="P656">
        <v>59.2</v>
      </c>
      <c r="Q656" t="s">
        <v>31</v>
      </c>
      <c r="R656" t="s">
        <v>27</v>
      </c>
      <c r="S656">
        <v>1602</v>
      </c>
      <c r="T656" t="s">
        <v>66</v>
      </c>
      <c r="U656" t="str">
        <f t="shared" si="10"/>
        <v>Pass</v>
      </c>
    </row>
    <row r="657" spans="1:21">
      <c r="A657" t="s">
        <v>1412</v>
      </c>
      <c r="B657" t="s">
        <v>57</v>
      </c>
      <c r="C657" t="s">
        <v>22</v>
      </c>
      <c r="D657">
        <v>7</v>
      </c>
      <c r="E657" t="s">
        <v>26</v>
      </c>
      <c r="F657">
        <v>11</v>
      </c>
      <c r="G657" t="s">
        <v>24</v>
      </c>
      <c r="H657" t="s">
        <v>1413</v>
      </c>
      <c r="I657">
        <v>99</v>
      </c>
      <c r="J657">
        <v>63</v>
      </c>
      <c r="K657">
        <v>68</v>
      </c>
      <c r="L657">
        <v>95</v>
      </c>
      <c r="M657">
        <v>91</v>
      </c>
      <c r="N657">
        <v>49</v>
      </c>
      <c r="O657">
        <v>366</v>
      </c>
      <c r="P657">
        <v>73.2</v>
      </c>
      <c r="Q657" t="s">
        <v>40</v>
      </c>
      <c r="R657" t="s">
        <v>41</v>
      </c>
      <c r="S657">
        <v>4641</v>
      </c>
      <c r="T657" t="s">
        <v>48</v>
      </c>
      <c r="U657" t="str">
        <f t="shared" si="10"/>
        <v>Pass</v>
      </c>
    </row>
    <row r="658" spans="1:21">
      <c r="A658" t="s">
        <v>1414</v>
      </c>
      <c r="B658" t="s">
        <v>36</v>
      </c>
      <c r="C658" t="s">
        <v>37</v>
      </c>
      <c r="D658">
        <v>12</v>
      </c>
      <c r="E658" t="s">
        <v>47</v>
      </c>
      <c r="F658">
        <v>18</v>
      </c>
      <c r="G658" t="s">
        <v>24</v>
      </c>
      <c r="H658" t="s">
        <v>1415</v>
      </c>
      <c r="I658">
        <v>78</v>
      </c>
      <c r="J658">
        <v>98</v>
      </c>
      <c r="K658">
        <v>64</v>
      </c>
      <c r="L658">
        <v>45</v>
      </c>
      <c r="M658">
        <v>65</v>
      </c>
      <c r="N658">
        <v>89</v>
      </c>
      <c r="O658">
        <v>361</v>
      </c>
      <c r="P658">
        <v>72.2</v>
      </c>
      <c r="Q658" t="s">
        <v>40</v>
      </c>
      <c r="R658" t="s">
        <v>41</v>
      </c>
      <c r="S658">
        <v>1650</v>
      </c>
      <c r="T658" t="s">
        <v>28</v>
      </c>
      <c r="U658" t="str">
        <f t="shared" si="10"/>
        <v>Pass</v>
      </c>
    </row>
    <row r="659" spans="1:21">
      <c r="A659" t="s">
        <v>1416</v>
      </c>
      <c r="B659" t="s">
        <v>1417</v>
      </c>
      <c r="C659" t="s">
        <v>22</v>
      </c>
      <c r="D659">
        <v>6</v>
      </c>
      <c r="E659" t="s">
        <v>31</v>
      </c>
      <c r="F659">
        <v>10</v>
      </c>
      <c r="G659" t="s">
        <v>32</v>
      </c>
      <c r="H659" t="s">
        <v>1418</v>
      </c>
      <c r="I659">
        <v>80</v>
      </c>
      <c r="J659">
        <v>45</v>
      </c>
      <c r="K659">
        <v>68</v>
      </c>
      <c r="L659">
        <v>45</v>
      </c>
      <c r="M659">
        <v>94</v>
      </c>
      <c r="N659">
        <v>46</v>
      </c>
      <c r="O659">
        <v>298</v>
      </c>
      <c r="P659">
        <v>59.6</v>
      </c>
      <c r="Q659" t="s">
        <v>31</v>
      </c>
      <c r="R659" t="s">
        <v>41</v>
      </c>
      <c r="S659">
        <v>2957</v>
      </c>
      <c r="T659" t="s">
        <v>34</v>
      </c>
      <c r="U659" t="str">
        <f t="shared" si="10"/>
        <v>Pass</v>
      </c>
    </row>
    <row r="660" spans="1:21">
      <c r="A660" t="s">
        <v>1419</v>
      </c>
      <c r="B660" t="s">
        <v>1088</v>
      </c>
      <c r="C660" t="s">
        <v>22</v>
      </c>
      <c r="D660">
        <v>10</v>
      </c>
      <c r="E660" t="s">
        <v>23</v>
      </c>
      <c r="F660">
        <v>14</v>
      </c>
      <c r="G660" t="s">
        <v>58</v>
      </c>
      <c r="H660" t="s">
        <v>1420</v>
      </c>
      <c r="I660">
        <v>90</v>
      </c>
      <c r="J660">
        <v>83</v>
      </c>
      <c r="K660">
        <v>94</v>
      </c>
      <c r="L660">
        <v>75</v>
      </c>
      <c r="M660">
        <v>82</v>
      </c>
      <c r="N660">
        <v>98</v>
      </c>
      <c r="O660">
        <v>432</v>
      </c>
      <c r="P660">
        <v>86.4</v>
      </c>
      <c r="Q660" t="s">
        <v>47</v>
      </c>
      <c r="R660" t="s">
        <v>41</v>
      </c>
      <c r="S660">
        <v>3340</v>
      </c>
      <c r="T660" t="s">
        <v>34</v>
      </c>
      <c r="U660" t="str">
        <f t="shared" si="10"/>
        <v>Pass</v>
      </c>
    </row>
    <row r="661" spans="1:21">
      <c r="A661" t="s">
        <v>1421</v>
      </c>
      <c r="B661" t="s">
        <v>373</v>
      </c>
      <c r="C661" t="s">
        <v>37</v>
      </c>
      <c r="D661">
        <v>7</v>
      </c>
      <c r="E661" t="s">
        <v>47</v>
      </c>
      <c r="F661">
        <v>11</v>
      </c>
      <c r="G661" t="s">
        <v>54</v>
      </c>
      <c r="H661" t="s">
        <v>1422</v>
      </c>
      <c r="I661">
        <v>80</v>
      </c>
      <c r="J661">
        <v>36</v>
      </c>
      <c r="K661">
        <v>80</v>
      </c>
      <c r="L661">
        <v>55</v>
      </c>
      <c r="M661">
        <v>71</v>
      </c>
      <c r="N661">
        <v>79</v>
      </c>
      <c r="O661">
        <v>321</v>
      </c>
      <c r="P661">
        <v>64.2</v>
      </c>
      <c r="Q661" t="s">
        <v>26</v>
      </c>
      <c r="R661" t="s">
        <v>27</v>
      </c>
      <c r="S661">
        <v>3031</v>
      </c>
      <c r="T661" t="s">
        <v>42</v>
      </c>
      <c r="U661" t="str">
        <f t="shared" si="10"/>
        <v>Pass</v>
      </c>
    </row>
    <row r="662" spans="1:21">
      <c r="A662" t="s">
        <v>1423</v>
      </c>
      <c r="B662" t="s">
        <v>99</v>
      </c>
      <c r="C662" t="s">
        <v>37</v>
      </c>
      <c r="D662">
        <v>2</v>
      </c>
      <c r="E662" t="s">
        <v>26</v>
      </c>
      <c r="F662">
        <v>8</v>
      </c>
      <c r="G662" t="s">
        <v>45</v>
      </c>
      <c r="H662" t="s">
        <v>1424</v>
      </c>
      <c r="I662">
        <v>60</v>
      </c>
      <c r="J662">
        <v>79</v>
      </c>
      <c r="K662">
        <v>65</v>
      </c>
      <c r="L662">
        <v>61</v>
      </c>
      <c r="M662">
        <v>71</v>
      </c>
      <c r="N662">
        <v>59</v>
      </c>
      <c r="O662">
        <v>335</v>
      </c>
      <c r="P662">
        <v>67</v>
      </c>
      <c r="Q662" t="s">
        <v>26</v>
      </c>
      <c r="R662" t="s">
        <v>27</v>
      </c>
      <c r="S662">
        <v>4644</v>
      </c>
      <c r="T662" t="s">
        <v>34</v>
      </c>
      <c r="U662" t="str">
        <f t="shared" si="10"/>
        <v>Pass</v>
      </c>
    </row>
    <row r="663" spans="1:21">
      <c r="A663" t="s">
        <v>1425</v>
      </c>
      <c r="B663" t="s">
        <v>389</v>
      </c>
      <c r="C663" t="s">
        <v>37</v>
      </c>
      <c r="D663">
        <v>9</v>
      </c>
      <c r="E663" t="s">
        <v>47</v>
      </c>
      <c r="F663">
        <v>15</v>
      </c>
      <c r="G663" t="s">
        <v>58</v>
      </c>
      <c r="H663" t="s">
        <v>1111</v>
      </c>
      <c r="I663">
        <v>70</v>
      </c>
      <c r="J663">
        <v>61</v>
      </c>
      <c r="K663">
        <v>85</v>
      </c>
      <c r="L663">
        <v>53</v>
      </c>
      <c r="M663">
        <v>48</v>
      </c>
      <c r="N663">
        <v>77</v>
      </c>
      <c r="O663">
        <v>324</v>
      </c>
      <c r="P663">
        <v>64.8</v>
      </c>
      <c r="Q663" t="s">
        <v>26</v>
      </c>
      <c r="R663" t="s">
        <v>27</v>
      </c>
      <c r="S663">
        <v>4852</v>
      </c>
      <c r="T663" t="s">
        <v>48</v>
      </c>
      <c r="U663" t="str">
        <f t="shared" si="10"/>
        <v>Pass</v>
      </c>
    </row>
    <row r="664" spans="1:21">
      <c r="A664" t="s">
        <v>1426</v>
      </c>
      <c r="B664" t="s">
        <v>378</v>
      </c>
      <c r="C664" t="s">
        <v>37</v>
      </c>
      <c r="D664">
        <v>9</v>
      </c>
      <c r="E664" t="s">
        <v>31</v>
      </c>
      <c r="F664">
        <v>15</v>
      </c>
      <c r="G664" t="s">
        <v>45</v>
      </c>
      <c r="H664" t="s">
        <v>1427</v>
      </c>
      <c r="I664">
        <v>81</v>
      </c>
      <c r="J664">
        <v>71</v>
      </c>
      <c r="K664">
        <v>59</v>
      </c>
      <c r="L664">
        <v>35</v>
      </c>
      <c r="M664">
        <v>84</v>
      </c>
      <c r="N664">
        <v>71</v>
      </c>
      <c r="O664">
        <v>320</v>
      </c>
      <c r="P664">
        <v>64</v>
      </c>
      <c r="Q664" t="s">
        <v>26</v>
      </c>
      <c r="R664" t="s">
        <v>41</v>
      </c>
      <c r="S664">
        <v>2283</v>
      </c>
      <c r="T664" t="s">
        <v>34</v>
      </c>
      <c r="U664" t="str">
        <f t="shared" si="10"/>
        <v>Pass</v>
      </c>
    </row>
    <row r="665" spans="1:21">
      <c r="A665" t="s">
        <v>1428</v>
      </c>
      <c r="B665" t="s">
        <v>21</v>
      </c>
      <c r="C665" t="s">
        <v>37</v>
      </c>
      <c r="D665">
        <v>10</v>
      </c>
      <c r="E665" t="s">
        <v>23</v>
      </c>
      <c r="F665">
        <v>16</v>
      </c>
      <c r="G665" t="s">
        <v>58</v>
      </c>
      <c r="H665" t="s">
        <v>1429</v>
      </c>
      <c r="I665">
        <v>81</v>
      </c>
      <c r="J665">
        <v>42</v>
      </c>
      <c r="K665">
        <v>61</v>
      </c>
      <c r="L665">
        <v>79</v>
      </c>
      <c r="M665">
        <v>72</v>
      </c>
      <c r="N665">
        <v>35</v>
      </c>
      <c r="O665">
        <v>289</v>
      </c>
      <c r="P665">
        <v>57.8</v>
      </c>
      <c r="Q665" t="s">
        <v>31</v>
      </c>
      <c r="R665" t="s">
        <v>27</v>
      </c>
      <c r="S665">
        <v>2831</v>
      </c>
      <c r="T665" t="s">
        <v>48</v>
      </c>
      <c r="U665" t="str">
        <f t="shared" si="10"/>
        <v>Pass</v>
      </c>
    </row>
    <row r="666" spans="1:21">
      <c r="A666" t="s">
        <v>1430</v>
      </c>
      <c r="B666" t="s">
        <v>622</v>
      </c>
      <c r="C666" t="s">
        <v>22</v>
      </c>
      <c r="D666">
        <v>12</v>
      </c>
      <c r="E666" t="s">
        <v>23</v>
      </c>
      <c r="F666">
        <v>18</v>
      </c>
      <c r="G666" t="s">
        <v>64</v>
      </c>
      <c r="H666" t="s">
        <v>1431</v>
      </c>
      <c r="I666">
        <v>95</v>
      </c>
      <c r="J666">
        <v>72</v>
      </c>
      <c r="K666">
        <v>72</v>
      </c>
      <c r="L666">
        <v>85</v>
      </c>
      <c r="M666">
        <v>38</v>
      </c>
      <c r="N666">
        <v>85</v>
      </c>
      <c r="O666">
        <v>352</v>
      </c>
      <c r="P666">
        <v>70.400000000000006</v>
      </c>
      <c r="Q666" t="s">
        <v>40</v>
      </c>
      <c r="R666" t="s">
        <v>41</v>
      </c>
      <c r="S666">
        <v>4248</v>
      </c>
      <c r="T666" t="s">
        <v>66</v>
      </c>
      <c r="U666" t="str">
        <f t="shared" si="10"/>
        <v>Pass</v>
      </c>
    </row>
    <row r="667" spans="1:21">
      <c r="A667" t="s">
        <v>1432</v>
      </c>
      <c r="B667" t="s">
        <v>242</v>
      </c>
      <c r="C667" t="s">
        <v>37</v>
      </c>
      <c r="D667">
        <v>9</v>
      </c>
      <c r="E667" t="s">
        <v>47</v>
      </c>
      <c r="F667">
        <v>13</v>
      </c>
      <c r="G667" t="s">
        <v>32</v>
      </c>
      <c r="H667" t="s">
        <v>1433</v>
      </c>
      <c r="I667">
        <v>80</v>
      </c>
      <c r="J667">
        <v>36</v>
      </c>
      <c r="K667">
        <v>94</v>
      </c>
      <c r="L667">
        <v>95</v>
      </c>
      <c r="M667">
        <v>37</v>
      </c>
      <c r="N667">
        <v>89</v>
      </c>
      <c r="O667">
        <v>351</v>
      </c>
      <c r="P667">
        <v>70.2</v>
      </c>
      <c r="Q667" t="s">
        <v>40</v>
      </c>
      <c r="R667" t="s">
        <v>27</v>
      </c>
      <c r="S667">
        <v>3520</v>
      </c>
      <c r="T667" t="s">
        <v>34</v>
      </c>
      <c r="U667" t="str">
        <f t="shared" si="10"/>
        <v>Pass</v>
      </c>
    </row>
    <row r="668" spans="1:21">
      <c r="A668" t="s">
        <v>1434</v>
      </c>
      <c r="B668" t="s">
        <v>562</v>
      </c>
      <c r="C668" t="s">
        <v>37</v>
      </c>
      <c r="D668">
        <v>3</v>
      </c>
      <c r="E668" t="s">
        <v>31</v>
      </c>
      <c r="F668">
        <v>7</v>
      </c>
      <c r="G668" t="s">
        <v>64</v>
      </c>
      <c r="H668" t="s">
        <v>1435</v>
      </c>
      <c r="I668">
        <v>67</v>
      </c>
      <c r="J668">
        <v>35</v>
      </c>
      <c r="K668">
        <v>76</v>
      </c>
      <c r="L668">
        <v>99</v>
      </c>
      <c r="M668">
        <v>70</v>
      </c>
      <c r="N668">
        <v>77</v>
      </c>
      <c r="O668">
        <v>357</v>
      </c>
      <c r="P668">
        <v>71.400000000000006</v>
      </c>
      <c r="Q668" t="s">
        <v>40</v>
      </c>
      <c r="R668" t="s">
        <v>41</v>
      </c>
      <c r="S668">
        <v>2600</v>
      </c>
      <c r="T668" t="s">
        <v>48</v>
      </c>
      <c r="U668" t="str">
        <f t="shared" si="10"/>
        <v>Pass</v>
      </c>
    </row>
    <row r="669" spans="1:21">
      <c r="A669" t="s">
        <v>1436</v>
      </c>
      <c r="B669" t="s">
        <v>678</v>
      </c>
      <c r="C669" t="s">
        <v>22</v>
      </c>
      <c r="D669">
        <v>6</v>
      </c>
      <c r="E669" t="s">
        <v>26</v>
      </c>
      <c r="F669">
        <v>10</v>
      </c>
      <c r="G669" t="s">
        <v>58</v>
      </c>
      <c r="H669" t="s">
        <v>1437</v>
      </c>
      <c r="I669">
        <v>86</v>
      </c>
      <c r="J669">
        <v>49</v>
      </c>
      <c r="K669">
        <v>82</v>
      </c>
      <c r="L669">
        <v>87</v>
      </c>
      <c r="M669">
        <v>35</v>
      </c>
      <c r="N669">
        <v>41</v>
      </c>
      <c r="O669">
        <v>294</v>
      </c>
      <c r="P669">
        <v>58.8</v>
      </c>
      <c r="Q669" t="s">
        <v>31</v>
      </c>
      <c r="R669" t="s">
        <v>41</v>
      </c>
      <c r="S669">
        <v>2444</v>
      </c>
      <c r="T669" t="s">
        <v>48</v>
      </c>
      <c r="U669" t="str">
        <f t="shared" si="10"/>
        <v>Pass</v>
      </c>
    </row>
    <row r="670" spans="1:21">
      <c r="A670" t="s">
        <v>1438</v>
      </c>
      <c r="B670" t="s">
        <v>113</v>
      </c>
      <c r="C670" t="s">
        <v>37</v>
      </c>
      <c r="D670">
        <v>11</v>
      </c>
      <c r="E670" t="s">
        <v>47</v>
      </c>
      <c r="F670">
        <v>15</v>
      </c>
      <c r="G670" t="s">
        <v>32</v>
      </c>
      <c r="H670" t="s">
        <v>1439</v>
      </c>
      <c r="I670">
        <v>90</v>
      </c>
      <c r="J670">
        <v>56</v>
      </c>
      <c r="K670">
        <v>92</v>
      </c>
      <c r="L670">
        <v>99</v>
      </c>
      <c r="M670">
        <v>93</v>
      </c>
      <c r="N670">
        <v>70</v>
      </c>
      <c r="O670">
        <v>410</v>
      </c>
      <c r="P670">
        <v>82</v>
      </c>
      <c r="Q670" t="s">
        <v>47</v>
      </c>
      <c r="R670" t="s">
        <v>27</v>
      </c>
      <c r="S670">
        <v>3366</v>
      </c>
      <c r="T670" t="s">
        <v>48</v>
      </c>
      <c r="U670" t="str">
        <f t="shared" si="10"/>
        <v>Pass</v>
      </c>
    </row>
    <row r="671" spans="1:21">
      <c r="A671" t="s">
        <v>1440</v>
      </c>
      <c r="B671" t="s">
        <v>518</v>
      </c>
      <c r="C671" t="s">
        <v>22</v>
      </c>
      <c r="D671">
        <v>12</v>
      </c>
      <c r="E671" t="s">
        <v>31</v>
      </c>
      <c r="F671">
        <v>17</v>
      </c>
      <c r="G671" t="s">
        <v>58</v>
      </c>
      <c r="H671" t="s">
        <v>1441</v>
      </c>
      <c r="I671">
        <v>85</v>
      </c>
      <c r="J671">
        <v>71</v>
      </c>
      <c r="K671">
        <v>84</v>
      </c>
      <c r="L671">
        <v>78</v>
      </c>
      <c r="M671">
        <v>88</v>
      </c>
      <c r="N671">
        <v>74</v>
      </c>
      <c r="O671">
        <v>395</v>
      </c>
      <c r="P671">
        <v>79</v>
      </c>
      <c r="Q671" t="s">
        <v>40</v>
      </c>
      <c r="R671" t="s">
        <v>27</v>
      </c>
      <c r="S671">
        <v>2363</v>
      </c>
      <c r="T671" t="s">
        <v>28</v>
      </c>
      <c r="U671" t="str">
        <f t="shared" si="10"/>
        <v>Pass</v>
      </c>
    </row>
    <row r="672" spans="1:21">
      <c r="A672" t="s">
        <v>1442</v>
      </c>
      <c r="B672" t="s">
        <v>594</v>
      </c>
      <c r="C672" t="s">
        <v>37</v>
      </c>
      <c r="D672">
        <v>7</v>
      </c>
      <c r="E672" t="s">
        <v>23</v>
      </c>
      <c r="F672">
        <v>13</v>
      </c>
      <c r="G672" t="s">
        <v>38</v>
      </c>
      <c r="H672" t="s">
        <v>1109</v>
      </c>
      <c r="I672">
        <v>82</v>
      </c>
      <c r="J672">
        <v>68</v>
      </c>
      <c r="K672">
        <v>36</v>
      </c>
      <c r="L672">
        <v>49</v>
      </c>
      <c r="M672">
        <v>42</v>
      </c>
      <c r="N672">
        <v>94</v>
      </c>
      <c r="O672">
        <v>289</v>
      </c>
      <c r="P672">
        <v>57.8</v>
      </c>
      <c r="Q672" t="s">
        <v>31</v>
      </c>
      <c r="R672" t="s">
        <v>41</v>
      </c>
      <c r="S672">
        <v>4354</v>
      </c>
      <c r="T672" t="s">
        <v>34</v>
      </c>
      <c r="U672" t="str">
        <f t="shared" si="10"/>
        <v>Pass</v>
      </c>
    </row>
    <row r="673" spans="1:21">
      <c r="A673" t="s">
        <v>1443</v>
      </c>
      <c r="B673" t="s">
        <v>439</v>
      </c>
      <c r="C673" t="s">
        <v>22</v>
      </c>
      <c r="D673">
        <v>8</v>
      </c>
      <c r="E673" t="s">
        <v>23</v>
      </c>
      <c r="F673">
        <v>12</v>
      </c>
      <c r="G673" t="s">
        <v>58</v>
      </c>
      <c r="H673" t="s">
        <v>1444</v>
      </c>
      <c r="I673">
        <v>79</v>
      </c>
      <c r="J673">
        <v>43</v>
      </c>
      <c r="K673">
        <v>69</v>
      </c>
      <c r="L673">
        <v>47</v>
      </c>
      <c r="M673">
        <v>76</v>
      </c>
      <c r="N673">
        <v>89</v>
      </c>
      <c r="O673">
        <v>324</v>
      </c>
      <c r="P673">
        <v>64.8</v>
      </c>
      <c r="Q673" t="s">
        <v>26</v>
      </c>
      <c r="R673" t="s">
        <v>41</v>
      </c>
      <c r="S673">
        <v>4922</v>
      </c>
      <c r="T673" t="s">
        <v>48</v>
      </c>
      <c r="U673" t="str">
        <f t="shared" si="10"/>
        <v>Pass</v>
      </c>
    </row>
    <row r="674" spans="1:21">
      <c r="A674" t="s">
        <v>1445</v>
      </c>
      <c r="B674" t="s">
        <v>525</v>
      </c>
      <c r="C674" t="s">
        <v>37</v>
      </c>
      <c r="D674">
        <v>10</v>
      </c>
      <c r="E674" t="s">
        <v>47</v>
      </c>
      <c r="F674">
        <v>14</v>
      </c>
      <c r="G674" t="s">
        <v>58</v>
      </c>
      <c r="H674" t="s">
        <v>1446</v>
      </c>
      <c r="I674">
        <v>63</v>
      </c>
      <c r="J674">
        <v>98</v>
      </c>
      <c r="K674">
        <v>78</v>
      </c>
      <c r="L674">
        <v>71</v>
      </c>
      <c r="M674">
        <v>38</v>
      </c>
      <c r="N674">
        <v>98</v>
      </c>
      <c r="O674">
        <v>383</v>
      </c>
      <c r="P674">
        <v>76.599999999999994</v>
      </c>
      <c r="Q674" t="s">
        <v>40</v>
      </c>
      <c r="R674" t="s">
        <v>27</v>
      </c>
      <c r="S674">
        <v>2999</v>
      </c>
      <c r="T674" t="s">
        <v>28</v>
      </c>
      <c r="U674" t="str">
        <f t="shared" si="10"/>
        <v>Pass</v>
      </c>
    </row>
    <row r="675" spans="1:21">
      <c r="A675" t="s">
        <v>1447</v>
      </c>
      <c r="B675" t="s">
        <v>72</v>
      </c>
      <c r="C675" t="s">
        <v>22</v>
      </c>
      <c r="D675">
        <v>6</v>
      </c>
      <c r="E675" t="s">
        <v>31</v>
      </c>
      <c r="F675">
        <v>12</v>
      </c>
      <c r="G675" t="s">
        <v>38</v>
      </c>
      <c r="H675" t="s">
        <v>65</v>
      </c>
      <c r="I675">
        <v>74</v>
      </c>
      <c r="J675">
        <v>56</v>
      </c>
      <c r="K675">
        <v>39</v>
      </c>
      <c r="L675">
        <v>45</v>
      </c>
      <c r="M675">
        <v>43</v>
      </c>
      <c r="N675">
        <v>85</v>
      </c>
      <c r="O675">
        <v>268</v>
      </c>
      <c r="P675">
        <v>53.6</v>
      </c>
      <c r="Q675" t="s">
        <v>31</v>
      </c>
      <c r="R675" t="s">
        <v>41</v>
      </c>
      <c r="S675">
        <v>3037</v>
      </c>
      <c r="T675" t="s">
        <v>70</v>
      </c>
      <c r="U675" t="str">
        <f t="shared" si="10"/>
        <v>Fail</v>
      </c>
    </row>
    <row r="676" spans="1:21">
      <c r="A676" t="s">
        <v>1448</v>
      </c>
      <c r="B676" t="s">
        <v>335</v>
      </c>
      <c r="C676" t="s">
        <v>37</v>
      </c>
      <c r="D676">
        <v>4</v>
      </c>
      <c r="E676" t="s">
        <v>47</v>
      </c>
      <c r="F676">
        <v>9</v>
      </c>
      <c r="G676" t="s">
        <v>45</v>
      </c>
      <c r="H676" t="s">
        <v>1449</v>
      </c>
      <c r="I676">
        <v>96</v>
      </c>
      <c r="J676">
        <v>66</v>
      </c>
      <c r="K676">
        <v>80</v>
      </c>
      <c r="L676">
        <v>87</v>
      </c>
      <c r="M676">
        <v>90</v>
      </c>
      <c r="N676">
        <v>49</v>
      </c>
      <c r="O676">
        <v>372</v>
      </c>
      <c r="P676">
        <v>74.400000000000006</v>
      </c>
      <c r="Q676" t="s">
        <v>40</v>
      </c>
      <c r="R676" t="s">
        <v>41</v>
      </c>
      <c r="S676">
        <v>2693</v>
      </c>
      <c r="T676" t="s">
        <v>66</v>
      </c>
      <c r="U676" t="str">
        <f t="shared" si="10"/>
        <v>Pass</v>
      </c>
    </row>
    <row r="677" spans="1:21">
      <c r="A677" t="s">
        <v>1450</v>
      </c>
      <c r="B677" t="s">
        <v>50</v>
      </c>
      <c r="C677" t="s">
        <v>37</v>
      </c>
      <c r="D677">
        <v>5</v>
      </c>
      <c r="E677" t="s">
        <v>26</v>
      </c>
      <c r="F677">
        <v>11</v>
      </c>
      <c r="G677" t="s">
        <v>32</v>
      </c>
      <c r="H677" t="s">
        <v>626</v>
      </c>
      <c r="I677">
        <v>78</v>
      </c>
      <c r="J677">
        <v>46</v>
      </c>
      <c r="K677">
        <v>100</v>
      </c>
      <c r="L677">
        <v>91</v>
      </c>
      <c r="M677">
        <v>39</v>
      </c>
      <c r="N677">
        <v>92</v>
      </c>
      <c r="O677">
        <v>368</v>
      </c>
      <c r="P677">
        <v>73.599999999999994</v>
      </c>
      <c r="Q677" t="s">
        <v>40</v>
      </c>
      <c r="R677" t="s">
        <v>27</v>
      </c>
      <c r="S677">
        <v>2912</v>
      </c>
      <c r="T677" t="s">
        <v>70</v>
      </c>
      <c r="U677" t="str">
        <f t="shared" si="10"/>
        <v>Pass</v>
      </c>
    </row>
    <row r="678" spans="1:21">
      <c r="A678" t="s">
        <v>1451</v>
      </c>
      <c r="B678" t="s">
        <v>274</v>
      </c>
      <c r="C678" t="s">
        <v>22</v>
      </c>
      <c r="D678">
        <v>10</v>
      </c>
      <c r="E678" t="s">
        <v>47</v>
      </c>
      <c r="F678">
        <v>15</v>
      </c>
      <c r="G678" t="s">
        <v>38</v>
      </c>
      <c r="H678" t="s">
        <v>1452</v>
      </c>
      <c r="I678">
        <v>97</v>
      </c>
      <c r="J678">
        <v>80</v>
      </c>
      <c r="K678">
        <v>49</v>
      </c>
      <c r="L678">
        <v>67</v>
      </c>
      <c r="M678">
        <v>73</v>
      </c>
      <c r="N678">
        <v>91</v>
      </c>
      <c r="O678">
        <v>360</v>
      </c>
      <c r="P678">
        <v>72</v>
      </c>
      <c r="Q678" t="s">
        <v>40</v>
      </c>
      <c r="R678" t="s">
        <v>41</v>
      </c>
      <c r="S678">
        <v>4990</v>
      </c>
      <c r="T678" t="s">
        <v>34</v>
      </c>
      <c r="U678" t="str">
        <f t="shared" si="10"/>
        <v>Pass</v>
      </c>
    </row>
    <row r="679" spans="1:21">
      <c r="A679" t="s">
        <v>1453</v>
      </c>
      <c r="B679" t="s">
        <v>628</v>
      </c>
      <c r="C679" t="s">
        <v>22</v>
      </c>
      <c r="D679">
        <v>11</v>
      </c>
      <c r="E679" t="s">
        <v>47</v>
      </c>
      <c r="F679">
        <v>15</v>
      </c>
      <c r="G679" t="s">
        <v>24</v>
      </c>
      <c r="H679" t="s">
        <v>1454</v>
      </c>
      <c r="I679">
        <v>72</v>
      </c>
      <c r="J679">
        <v>67</v>
      </c>
      <c r="K679">
        <v>72</v>
      </c>
      <c r="L679">
        <v>61</v>
      </c>
      <c r="M679">
        <v>53</v>
      </c>
      <c r="N679">
        <v>91</v>
      </c>
      <c r="O679">
        <v>344</v>
      </c>
      <c r="P679">
        <v>68.8</v>
      </c>
      <c r="Q679" t="s">
        <v>26</v>
      </c>
      <c r="R679" t="s">
        <v>27</v>
      </c>
      <c r="S679">
        <v>3627</v>
      </c>
      <c r="T679" t="s">
        <v>28</v>
      </c>
      <c r="U679" t="str">
        <f t="shared" si="10"/>
        <v>Pass</v>
      </c>
    </row>
    <row r="680" spans="1:21">
      <c r="A680" t="s">
        <v>1455</v>
      </c>
      <c r="B680" t="s">
        <v>137</v>
      </c>
      <c r="C680" t="s">
        <v>22</v>
      </c>
      <c r="D680">
        <v>1</v>
      </c>
      <c r="E680" t="s">
        <v>47</v>
      </c>
      <c r="F680">
        <v>6</v>
      </c>
      <c r="G680" t="s">
        <v>54</v>
      </c>
      <c r="H680" t="s">
        <v>1456</v>
      </c>
      <c r="I680">
        <v>73</v>
      </c>
      <c r="J680">
        <v>40</v>
      </c>
      <c r="K680">
        <v>89</v>
      </c>
      <c r="L680">
        <v>81</v>
      </c>
      <c r="M680">
        <v>84</v>
      </c>
      <c r="N680">
        <v>50</v>
      </c>
      <c r="O680">
        <v>344</v>
      </c>
      <c r="P680">
        <v>68.8</v>
      </c>
      <c r="Q680" t="s">
        <v>26</v>
      </c>
      <c r="R680" t="s">
        <v>41</v>
      </c>
      <c r="S680">
        <v>4183</v>
      </c>
      <c r="T680" t="s">
        <v>66</v>
      </c>
      <c r="U680" t="str">
        <f t="shared" si="10"/>
        <v>Pass</v>
      </c>
    </row>
    <row r="681" spans="1:21">
      <c r="A681" t="s">
        <v>1457</v>
      </c>
      <c r="B681" t="s">
        <v>226</v>
      </c>
      <c r="C681" t="s">
        <v>22</v>
      </c>
      <c r="D681">
        <v>2</v>
      </c>
      <c r="E681" t="s">
        <v>26</v>
      </c>
      <c r="F681">
        <v>7</v>
      </c>
      <c r="G681" t="s">
        <v>45</v>
      </c>
      <c r="H681" t="s">
        <v>268</v>
      </c>
      <c r="I681">
        <v>92</v>
      </c>
      <c r="J681">
        <v>49</v>
      </c>
      <c r="K681">
        <v>35</v>
      </c>
      <c r="L681">
        <v>42</v>
      </c>
      <c r="M681">
        <v>79</v>
      </c>
      <c r="N681">
        <v>98</v>
      </c>
      <c r="O681">
        <v>303</v>
      </c>
      <c r="P681">
        <v>60.6</v>
      </c>
      <c r="Q681" t="s">
        <v>26</v>
      </c>
      <c r="R681" t="s">
        <v>27</v>
      </c>
      <c r="S681">
        <v>3771</v>
      </c>
      <c r="T681" t="s">
        <v>34</v>
      </c>
      <c r="U681" t="str">
        <f t="shared" si="10"/>
        <v>Pass</v>
      </c>
    </row>
    <row r="682" spans="1:21">
      <c r="A682" t="s">
        <v>1458</v>
      </c>
      <c r="B682" t="s">
        <v>44</v>
      </c>
      <c r="C682" t="s">
        <v>37</v>
      </c>
      <c r="D682">
        <v>12</v>
      </c>
      <c r="E682" t="s">
        <v>31</v>
      </c>
      <c r="F682">
        <v>18</v>
      </c>
      <c r="G682" t="s">
        <v>64</v>
      </c>
      <c r="H682" t="s">
        <v>1459</v>
      </c>
      <c r="I682">
        <v>86</v>
      </c>
      <c r="J682">
        <v>42</v>
      </c>
      <c r="K682">
        <v>87</v>
      </c>
      <c r="L682">
        <v>81</v>
      </c>
      <c r="M682">
        <v>98</v>
      </c>
      <c r="N682">
        <v>43</v>
      </c>
      <c r="O682">
        <v>351</v>
      </c>
      <c r="P682">
        <v>70.2</v>
      </c>
      <c r="Q682" t="s">
        <v>40</v>
      </c>
      <c r="R682" t="s">
        <v>27</v>
      </c>
      <c r="S682">
        <v>3552</v>
      </c>
      <c r="T682" t="s">
        <v>42</v>
      </c>
      <c r="U682" t="str">
        <f t="shared" si="10"/>
        <v>Pass</v>
      </c>
    </row>
    <row r="683" spans="1:21">
      <c r="A683" t="s">
        <v>1460</v>
      </c>
      <c r="B683" t="s">
        <v>490</v>
      </c>
      <c r="C683" t="s">
        <v>37</v>
      </c>
      <c r="D683">
        <v>10</v>
      </c>
      <c r="E683" t="s">
        <v>23</v>
      </c>
      <c r="F683">
        <v>15</v>
      </c>
      <c r="G683" t="s">
        <v>45</v>
      </c>
      <c r="H683" t="s">
        <v>917</v>
      </c>
      <c r="I683">
        <v>92</v>
      </c>
      <c r="J683">
        <v>43</v>
      </c>
      <c r="K683">
        <v>60</v>
      </c>
      <c r="L683">
        <v>56</v>
      </c>
      <c r="M683">
        <v>71</v>
      </c>
      <c r="N683">
        <v>93</v>
      </c>
      <c r="O683">
        <v>323</v>
      </c>
      <c r="P683">
        <v>64.599999999999994</v>
      </c>
      <c r="Q683" t="s">
        <v>26</v>
      </c>
      <c r="R683" t="s">
        <v>41</v>
      </c>
      <c r="S683">
        <v>2124</v>
      </c>
      <c r="T683" t="s">
        <v>34</v>
      </c>
      <c r="U683" t="str">
        <f t="shared" si="10"/>
        <v>Pass</v>
      </c>
    </row>
    <row r="684" spans="1:21">
      <c r="A684" t="s">
        <v>1461</v>
      </c>
      <c r="B684" t="s">
        <v>322</v>
      </c>
      <c r="C684" t="s">
        <v>22</v>
      </c>
      <c r="D684">
        <v>9</v>
      </c>
      <c r="E684" t="s">
        <v>23</v>
      </c>
      <c r="F684">
        <v>15</v>
      </c>
      <c r="G684" t="s">
        <v>38</v>
      </c>
      <c r="H684" t="s">
        <v>1462</v>
      </c>
      <c r="I684">
        <v>65</v>
      </c>
      <c r="J684">
        <v>37</v>
      </c>
      <c r="K684">
        <v>50</v>
      </c>
      <c r="L684">
        <v>38</v>
      </c>
      <c r="M684">
        <v>100</v>
      </c>
      <c r="N684">
        <v>85</v>
      </c>
      <c r="O684">
        <v>310</v>
      </c>
      <c r="P684">
        <v>62</v>
      </c>
      <c r="Q684" t="s">
        <v>26</v>
      </c>
      <c r="R684" t="s">
        <v>27</v>
      </c>
      <c r="S684">
        <v>3136</v>
      </c>
      <c r="T684" t="s">
        <v>34</v>
      </c>
      <c r="U684" t="str">
        <f t="shared" si="10"/>
        <v>Pass</v>
      </c>
    </row>
    <row r="685" spans="1:21">
      <c r="A685" t="s">
        <v>1463</v>
      </c>
      <c r="B685" t="s">
        <v>131</v>
      </c>
      <c r="C685" t="s">
        <v>22</v>
      </c>
      <c r="D685">
        <v>5</v>
      </c>
      <c r="E685" t="s">
        <v>47</v>
      </c>
      <c r="F685">
        <v>9</v>
      </c>
      <c r="G685" t="s">
        <v>58</v>
      </c>
      <c r="H685" t="s">
        <v>1222</v>
      </c>
      <c r="I685">
        <v>92</v>
      </c>
      <c r="J685">
        <v>54</v>
      </c>
      <c r="K685">
        <v>41</v>
      </c>
      <c r="L685">
        <v>52</v>
      </c>
      <c r="M685">
        <v>97</v>
      </c>
      <c r="N685">
        <v>58</v>
      </c>
      <c r="O685">
        <v>302</v>
      </c>
      <c r="P685">
        <v>60.4</v>
      </c>
      <c r="Q685" t="s">
        <v>26</v>
      </c>
      <c r="R685" t="s">
        <v>41</v>
      </c>
      <c r="S685">
        <v>2106</v>
      </c>
      <c r="T685" t="s">
        <v>48</v>
      </c>
      <c r="U685" t="str">
        <f t="shared" si="10"/>
        <v>Pass</v>
      </c>
    </row>
    <row r="686" spans="1:21">
      <c r="A686" t="s">
        <v>1464</v>
      </c>
      <c r="B686" t="s">
        <v>202</v>
      </c>
      <c r="C686" t="s">
        <v>22</v>
      </c>
      <c r="D686">
        <v>4</v>
      </c>
      <c r="E686" t="s">
        <v>23</v>
      </c>
      <c r="F686">
        <v>8</v>
      </c>
      <c r="G686" t="s">
        <v>58</v>
      </c>
      <c r="H686" t="s">
        <v>662</v>
      </c>
      <c r="I686">
        <v>95</v>
      </c>
      <c r="J686">
        <v>45</v>
      </c>
      <c r="K686">
        <v>75</v>
      </c>
      <c r="L686">
        <v>99</v>
      </c>
      <c r="M686">
        <v>36</v>
      </c>
      <c r="N686">
        <v>67</v>
      </c>
      <c r="O686">
        <v>322</v>
      </c>
      <c r="P686">
        <v>64.400000000000006</v>
      </c>
      <c r="Q686" t="s">
        <v>26</v>
      </c>
      <c r="R686" t="s">
        <v>27</v>
      </c>
      <c r="S686">
        <v>1805</v>
      </c>
      <c r="T686" t="s">
        <v>28</v>
      </c>
      <c r="U686" t="str">
        <f t="shared" si="10"/>
        <v>Pass</v>
      </c>
    </row>
    <row r="687" spans="1:21">
      <c r="A687" t="s">
        <v>1465</v>
      </c>
      <c r="B687" t="s">
        <v>148</v>
      </c>
      <c r="C687" t="s">
        <v>37</v>
      </c>
      <c r="D687">
        <v>9</v>
      </c>
      <c r="E687" t="s">
        <v>26</v>
      </c>
      <c r="F687">
        <v>14</v>
      </c>
      <c r="G687" t="s">
        <v>45</v>
      </c>
      <c r="H687" t="s">
        <v>1439</v>
      </c>
      <c r="I687">
        <v>67</v>
      </c>
      <c r="J687">
        <v>56</v>
      </c>
      <c r="K687">
        <v>93</v>
      </c>
      <c r="L687">
        <v>98</v>
      </c>
      <c r="M687">
        <v>100</v>
      </c>
      <c r="N687">
        <v>99</v>
      </c>
      <c r="O687">
        <v>446</v>
      </c>
      <c r="P687">
        <v>89.2</v>
      </c>
      <c r="Q687" t="s">
        <v>47</v>
      </c>
      <c r="R687" t="s">
        <v>41</v>
      </c>
      <c r="S687">
        <v>3501</v>
      </c>
      <c r="T687" t="s">
        <v>70</v>
      </c>
      <c r="U687" t="str">
        <f t="shared" si="10"/>
        <v>Pass</v>
      </c>
    </row>
    <row r="688" spans="1:21">
      <c r="A688" t="s">
        <v>1466</v>
      </c>
      <c r="B688" t="s">
        <v>75</v>
      </c>
      <c r="C688" t="s">
        <v>22</v>
      </c>
      <c r="D688">
        <v>12</v>
      </c>
      <c r="E688" t="s">
        <v>23</v>
      </c>
      <c r="F688">
        <v>18</v>
      </c>
      <c r="G688" t="s">
        <v>64</v>
      </c>
      <c r="H688" t="s">
        <v>1467</v>
      </c>
      <c r="I688">
        <v>65</v>
      </c>
      <c r="J688">
        <v>68</v>
      </c>
      <c r="K688">
        <v>82</v>
      </c>
      <c r="L688">
        <v>80</v>
      </c>
      <c r="M688">
        <v>41</v>
      </c>
      <c r="N688">
        <v>62</v>
      </c>
      <c r="O688">
        <v>333</v>
      </c>
      <c r="P688">
        <v>66.599999999999994</v>
      </c>
      <c r="Q688" t="s">
        <v>26</v>
      </c>
      <c r="R688" t="s">
        <v>27</v>
      </c>
      <c r="S688">
        <v>3325</v>
      </c>
      <c r="T688" t="s">
        <v>42</v>
      </c>
      <c r="U688" t="str">
        <f t="shared" si="10"/>
        <v>Pass</v>
      </c>
    </row>
    <row r="689" spans="1:21">
      <c r="A689" t="s">
        <v>1468</v>
      </c>
      <c r="B689" t="s">
        <v>628</v>
      </c>
      <c r="C689" t="s">
        <v>37</v>
      </c>
      <c r="D689">
        <v>2</v>
      </c>
      <c r="E689" t="s">
        <v>26</v>
      </c>
      <c r="F689">
        <v>8</v>
      </c>
      <c r="G689" t="s">
        <v>45</v>
      </c>
      <c r="H689" t="s">
        <v>1469</v>
      </c>
      <c r="I689">
        <v>100</v>
      </c>
      <c r="J689">
        <v>80</v>
      </c>
      <c r="K689">
        <v>78</v>
      </c>
      <c r="L689">
        <v>98</v>
      </c>
      <c r="M689">
        <v>100</v>
      </c>
      <c r="N689">
        <v>100</v>
      </c>
      <c r="O689">
        <v>456</v>
      </c>
      <c r="P689">
        <v>91.2</v>
      </c>
      <c r="Q689" t="s">
        <v>760</v>
      </c>
      <c r="R689" t="s">
        <v>41</v>
      </c>
      <c r="S689">
        <v>3913</v>
      </c>
      <c r="T689" t="s">
        <v>70</v>
      </c>
      <c r="U689" t="str">
        <f t="shared" si="10"/>
        <v>Pass</v>
      </c>
    </row>
    <row r="690" spans="1:21">
      <c r="A690" t="s">
        <v>1470</v>
      </c>
      <c r="B690" t="s">
        <v>134</v>
      </c>
      <c r="C690" t="s">
        <v>37</v>
      </c>
      <c r="D690">
        <v>2</v>
      </c>
      <c r="E690" t="s">
        <v>47</v>
      </c>
      <c r="F690">
        <v>7</v>
      </c>
      <c r="G690" t="s">
        <v>54</v>
      </c>
      <c r="H690" t="s">
        <v>1471</v>
      </c>
      <c r="I690">
        <v>74</v>
      </c>
      <c r="J690">
        <v>44</v>
      </c>
      <c r="K690">
        <v>53</v>
      </c>
      <c r="L690">
        <v>83</v>
      </c>
      <c r="M690">
        <v>97</v>
      </c>
      <c r="N690">
        <v>71</v>
      </c>
      <c r="O690">
        <v>348</v>
      </c>
      <c r="P690">
        <v>69.599999999999994</v>
      </c>
      <c r="Q690" t="s">
        <v>26</v>
      </c>
      <c r="R690" t="s">
        <v>27</v>
      </c>
      <c r="S690">
        <v>4943</v>
      </c>
      <c r="T690" t="s">
        <v>28</v>
      </c>
      <c r="U690" t="str">
        <f t="shared" si="10"/>
        <v>Pass</v>
      </c>
    </row>
    <row r="691" spans="1:21">
      <c r="A691" t="s">
        <v>1472</v>
      </c>
      <c r="B691" t="s">
        <v>280</v>
      </c>
      <c r="C691" t="s">
        <v>37</v>
      </c>
      <c r="D691">
        <v>12</v>
      </c>
      <c r="E691" t="s">
        <v>47</v>
      </c>
      <c r="F691">
        <v>16</v>
      </c>
      <c r="G691" t="s">
        <v>54</v>
      </c>
      <c r="H691" t="s">
        <v>1072</v>
      </c>
      <c r="I691">
        <v>80</v>
      </c>
      <c r="J691">
        <v>95</v>
      </c>
      <c r="K691">
        <v>49</v>
      </c>
      <c r="L691">
        <v>96</v>
      </c>
      <c r="M691">
        <v>57</v>
      </c>
      <c r="N691">
        <v>76</v>
      </c>
      <c r="O691">
        <v>373</v>
      </c>
      <c r="P691">
        <v>74.599999999999994</v>
      </c>
      <c r="Q691" t="s">
        <v>40</v>
      </c>
      <c r="R691" t="s">
        <v>41</v>
      </c>
      <c r="S691">
        <v>4144</v>
      </c>
      <c r="T691" t="s">
        <v>70</v>
      </c>
      <c r="U691" t="str">
        <f t="shared" si="10"/>
        <v>Pass</v>
      </c>
    </row>
    <row r="692" spans="1:21">
      <c r="A692" t="s">
        <v>1473</v>
      </c>
      <c r="B692" t="s">
        <v>123</v>
      </c>
      <c r="C692" t="s">
        <v>22</v>
      </c>
      <c r="D692">
        <v>11</v>
      </c>
      <c r="E692" t="s">
        <v>26</v>
      </c>
      <c r="F692">
        <v>17</v>
      </c>
      <c r="G692" t="s">
        <v>38</v>
      </c>
      <c r="H692" t="s">
        <v>1474</v>
      </c>
      <c r="I692">
        <v>88</v>
      </c>
      <c r="J692">
        <v>45</v>
      </c>
      <c r="K692">
        <v>49</v>
      </c>
      <c r="L692">
        <v>47</v>
      </c>
      <c r="M692">
        <v>92</v>
      </c>
      <c r="N692">
        <v>65</v>
      </c>
      <c r="O692">
        <v>298</v>
      </c>
      <c r="P692">
        <v>59.6</v>
      </c>
      <c r="Q692" t="s">
        <v>31</v>
      </c>
      <c r="R692" t="s">
        <v>27</v>
      </c>
      <c r="S692">
        <v>3484</v>
      </c>
      <c r="T692" t="s">
        <v>34</v>
      </c>
      <c r="U692" t="str">
        <f t="shared" si="10"/>
        <v>Pass</v>
      </c>
    </row>
    <row r="693" spans="1:21">
      <c r="A693" t="s">
        <v>1475</v>
      </c>
      <c r="B693" t="s">
        <v>140</v>
      </c>
      <c r="C693" t="s">
        <v>37</v>
      </c>
      <c r="D693">
        <v>1</v>
      </c>
      <c r="E693" t="s">
        <v>26</v>
      </c>
      <c r="F693">
        <v>6</v>
      </c>
      <c r="G693" t="s">
        <v>32</v>
      </c>
      <c r="H693" t="s">
        <v>1476</v>
      </c>
      <c r="I693">
        <v>64</v>
      </c>
      <c r="J693">
        <v>76</v>
      </c>
      <c r="K693">
        <v>51</v>
      </c>
      <c r="L693">
        <v>98</v>
      </c>
      <c r="M693">
        <v>72</v>
      </c>
      <c r="N693">
        <v>74</v>
      </c>
      <c r="O693">
        <v>371</v>
      </c>
      <c r="P693">
        <v>74.2</v>
      </c>
      <c r="Q693" t="s">
        <v>40</v>
      </c>
      <c r="R693" t="s">
        <v>41</v>
      </c>
      <c r="S693">
        <v>2257</v>
      </c>
      <c r="T693" t="s">
        <v>66</v>
      </c>
      <c r="U693" t="str">
        <f t="shared" si="10"/>
        <v>Pass</v>
      </c>
    </row>
    <row r="694" spans="1:21">
      <c r="A694" t="s">
        <v>1477</v>
      </c>
      <c r="B694" t="s">
        <v>678</v>
      </c>
      <c r="C694" t="s">
        <v>37</v>
      </c>
      <c r="D694">
        <v>9</v>
      </c>
      <c r="E694" t="s">
        <v>26</v>
      </c>
      <c r="F694">
        <v>14</v>
      </c>
      <c r="G694" t="s">
        <v>32</v>
      </c>
      <c r="H694" t="s">
        <v>1478</v>
      </c>
      <c r="I694">
        <v>72</v>
      </c>
      <c r="J694">
        <v>94</v>
      </c>
      <c r="K694">
        <v>81</v>
      </c>
      <c r="L694">
        <v>63</v>
      </c>
      <c r="M694">
        <v>81</v>
      </c>
      <c r="N694">
        <v>80</v>
      </c>
      <c r="O694">
        <v>399</v>
      </c>
      <c r="P694">
        <v>79.8</v>
      </c>
      <c r="Q694" t="s">
        <v>40</v>
      </c>
      <c r="R694" t="s">
        <v>41</v>
      </c>
      <c r="S694">
        <v>1619</v>
      </c>
      <c r="T694" t="s">
        <v>66</v>
      </c>
      <c r="U694" t="str">
        <f t="shared" si="10"/>
        <v>Pass</v>
      </c>
    </row>
    <row r="695" spans="1:21">
      <c r="A695" t="s">
        <v>1479</v>
      </c>
      <c r="B695" t="s">
        <v>190</v>
      </c>
      <c r="C695" t="s">
        <v>22</v>
      </c>
      <c r="D695">
        <v>3</v>
      </c>
      <c r="E695" t="s">
        <v>47</v>
      </c>
      <c r="F695">
        <v>9</v>
      </c>
      <c r="G695" t="s">
        <v>45</v>
      </c>
      <c r="H695" t="s">
        <v>1480</v>
      </c>
      <c r="I695">
        <v>86</v>
      </c>
      <c r="J695">
        <v>100</v>
      </c>
      <c r="K695">
        <v>93</v>
      </c>
      <c r="L695">
        <v>80</v>
      </c>
      <c r="M695">
        <v>58</v>
      </c>
      <c r="N695">
        <v>96</v>
      </c>
      <c r="O695">
        <v>427</v>
      </c>
      <c r="P695">
        <v>85.4</v>
      </c>
      <c r="Q695" t="s">
        <v>47</v>
      </c>
      <c r="R695" t="s">
        <v>27</v>
      </c>
      <c r="S695">
        <v>1731</v>
      </c>
      <c r="T695" t="s">
        <v>28</v>
      </c>
      <c r="U695" t="str">
        <f t="shared" si="10"/>
        <v>Pass</v>
      </c>
    </row>
    <row r="696" spans="1:21">
      <c r="A696" t="s">
        <v>1481</v>
      </c>
      <c r="B696" t="s">
        <v>145</v>
      </c>
      <c r="C696" t="s">
        <v>37</v>
      </c>
      <c r="D696">
        <v>7</v>
      </c>
      <c r="E696" t="s">
        <v>23</v>
      </c>
      <c r="F696">
        <v>13</v>
      </c>
      <c r="G696" t="s">
        <v>38</v>
      </c>
      <c r="H696" t="s">
        <v>1482</v>
      </c>
      <c r="I696">
        <v>73</v>
      </c>
      <c r="J696">
        <v>66</v>
      </c>
      <c r="K696">
        <v>65</v>
      </c>
      <c r="L696">
        <v>86</v>
      </c>
      <c r="M696">
        <v>49</v>
      </c>
      <c r="N696">
        <v>35</v>
      </c>
      <c r="O696">
        <v>301</v>
      </c>
      <c r="P696">
        <v>60.2</v>
      </c>
      <c r="Q696" t="s">
        <v>26</v>
      </c>
      <c r="R696" t="s">
        <v>27</v>
      </c>
      <c r="S696">
        <v>3010</v>
      </c>
      <c r="T696" t="s">
        <v>70</v>
      </c>
      <c r="U696" t="str">
        <f t="shared" si="10"/>
        <v>Pass</v>
      </c>
    </row>
    <row r="697" spans="1:21">
      <c r="A697" t="s">
        <v>1483</v>
      </c>
      <c r="B697" t="s">
        <v>90</v>
      </c>
      <c r="C697" t="s">
        <v>22</v>
      </c>
      <c r="D697">
        <v>4</v>
      </c>
      <c r="E697" t="s">
        <v>26</v>
      </c>
      <c r="F697">
        <v>10</v>
      </c>
      <c r="G697" t="s">
        <v>38</v>
      </c>
      <c r="H697" t="s">
        <v>1484</v>
      </c>
      <c r="I697">
        <v>89</v>
      </c>
      <c r="J697">
        <v>64</v>
      </c>
      <c r="K697">
        <v>59</v>
      </c>
      <c r="L697">
        <v>50</v>
      </c>
      <c r="M697">
        <v>89</v>
      </c>
      <c r="N697">
        <v>41</v>
      </c>
      <c r="O697">
        <v>303</v>
      </c>
      <c r="P697">
        <v>60.6</v>
      </c>
      <c r="Q697" t="s">
        <v>26</v>
      </c>
      <c r="R697" t="s">
        <v>41</v>
      </c>
      <c r="S697">
        <v>3467</v>
      </c>
      <c r="T697" t="s">
        <v>70</v>
      </c>
      <c r="U697" t="str">
        <f t="shared" si="10"/>
        <v>Pass</v>
      </c>
    </row>
    <row r="698" spans="1:21">
      <c r="A698" t="s">
        <v>1485</v>
      </c>
      <c r="B698" t="s">
        <v>239</v>
      </c>
      <c r="C698" t="s">
        <v>37</v>
      </c>
      <c r="D698">
        <v>3</v>
      </c>
      <c r="E698" t="s">
        <v>23</v>
      </c>
      <c r="F698">
        <v>9</v>
      </c>
      <c r="G698" t="s">
        <v>64</v>
      </c>
      <c r="H698" t="s">
        <v>348</v>
      </c>
      <c r="I698">
        <v>70</v>
      </c>
      <c r="J698">
        <v>51</v>
      </c>
      <c r="K698">
        <v>74</v>
      </c>
      <c r="L698">
        <v>47</v>
      </c>
      <c r="M698">
        <v>88</v>
      </c>
      <c r="N698">
        <v>71</v>
      </c>
      <c r="O698">
        <v>331</v>
      </c>
      <c r="P698">
        <v>66.2</v>
      </c>
      <c r="Q698" t="s">
        <v>26</v>
      </c>
      <c r="R698" t="s">
        <v>41</v>
      </c>
      <c r="S698">
        <v>4086</v>
      </c>
      <c r="T698" t="s">
        <v>28</v>
      </c>
      <c r="U698" t="str">
        <f t="shared" si="10"/>
        <v>Pass</v>
      </c>
    </row>
    <row r="699" spans="1:21">
      <c r="A699" t="s">
        <v>1486</v>
      </c>
      <c r="B699" t="s">
        <v>21</v>
      </c>
      <c r="C699" t="s">
        <v>37</v>
      </c>
      <c r="D699">
        <v>12</v>
      </c>
      <c r="E699" t="s">
        <v>26</v>
      </c>
      <c r="F699">
        <v>18</v>
      </c>
      <c r="G699" t="s">
        <v>32</v>
      </c>
      <c r="H699" t="s">
        <v>1487</v>
      </c>
      <c r="I699">
        <v>100</v>
      </c>
      <c r="J699">
        <v>67</v>
      </c>
      <c r="K699">
        <v>93</v>
      </c>
      <c r="L699">
        <v>94</v>
      </c>
      <c r="M699">
        <v>91</v>
      </c>
      <c r="N699">
        <v>87</v>
      </c>
      <c r="O699">
        <v>432</v>
      </c>
      <c r="P699">
        <v>86.4</v>
      </c>
      <c r="Q699" t="s">
        <v>47</v>
      </c>
      <c r="R699" t="s">
        <v>41</v>
      </c>
      <c r="S699">
        <v>4168</v>
      </c>
      <c r="T699" t="s">
        <v>42</v>
      </c>
      <c r="U699" t="str">
        <f t="shared" si="10"/>
        <v>Pass</v>
      </c>
    </row>
    <row r="700" spans="1:21">
      <c r="A700" t="s">
        <v>1488</v>
      </c>
      <c r="B700" t="s">
        <v>445</v>
      </c>
      <c r="C700" t="s">
        <v>22</v>
      </c>
      <c r="D700">
        <v>12</v>
      </c>
      <c r="E700" t="s">
        <v>26</v>
      </c>
      <c r="F700">
        <v>16</v>
      </c>
      <c r="G700" t="s">
        <v>45</v>
      </c>
      <c r="H700" t="s">
        <v>1489</v>
      </c>
      <c r="I700">
        <v>64</v>
      </c>
      <c r="J700">
        <v>39</v>
      </c>
      <c r="K700">
        <v>44</v>
      </c>
      <c r="L700">
        <v>45</v>
      </c>
      <c r="M700">
        <v>74</v>
      </c>
      <c r="N700">
        <v>93</v>
      </c>
      <c r="O700">
        <v>295</v>
      </c>
      <c r="P700">
        <v>59</v>
      </c>
      <c r="Q700" t="s">
        <v>31</v>
      </c>
      <c r="R700" t="s">
        <v>41</v>
      </c>
      <c r="S700">
        <v>2716</v>
      </c>
      <c r="T700" t="s">
        <v>48</v>
      </c>
      <c r="U700" t="str">
        <f t="shared" si="10"/>
        <v>Pass</v>
      </c>
    </row>
    <row r="701" spans="1:21">
      <c r="A701" t="s">
        <v>1490</v>
      </c>
      <c r="B701" t="s">
        <v>165</v>
      </c>
      <c r="C701" t="s">
        <v>22</v>
      </c>
      <c r="D701">
        <v>1</v>
      </c>
      <c r="E701" t="s">
        <v>23</v>
      </c>
      <c r="F701">
        <v>6</v>
      </c>
      <c r="G701" t="s">
        <v>54</v>
      </c>
      <c r="H701" t="s">
        <v>1253</v>
      </c>
      <c r="I701">
        <v>90</v>
      </c>
      <c r="J701">
        <v>65</v>
      </c>
      <c r="K701">
        <v>93</v>
      </c>
      <c r="L701">
        <v>69</v>
      </c>
      <c r="M701">
        <v>57</v>
      </c>
      <c r="N701">
        <v>37</v>
      </c>
      <c r="O701">
        <v>321</v>
      </c>
      <c r="P701">
        <v>64.2</v>
      </c>
      <c r="Q701" t="s">
        <v>26</v>
      </c>
      <c r="R701" t="s">
        <v>41</v>
      </c>
      <c r="S701">
        <v>1803</v>
      </c>
      <c r="T701" t="s">
        <v>48</v>
      </c>
      <c r="U701" t="str">
        <f t="shared" si="10"/>
        <v>Pass</v>
      </c>
    </row>
    <row r="702" spans="1:21">
      <c r="A702" t="s">
        <v>1491</v>
      </c>
      <c r="B702" t="s">
        <v>844</v>
      </c>
      <c r="C702" t="s">
        <v>37</v>
      </c>
      <c r="D702">
        <v>6</v>
      </c>
      <c r="E702" t="s">
        <v>23</v>
      </c>
      <c r="F702">
        <v>10</v>
      </c>
      <c r="G702" t="s">
        <v>64</v>
      </c>
      <c r="H702" t="s">
        <v>1492</v>
      </c>
      <c r="I702">
        <v>94</v>
      </c>
      <c r="J702">
        <v>95</v>
      </c>
      <c r="K702">
        <v>44</v>
      </c>
      <c r="L702">
        <v>87</v>
      </c>
      <c r="M702">
        <v>41</v>
      </c>
      <c r="N702">
        <v>48</v>
      </c>
      <c r="O702">
        <v>315</v>
      </c>
      <c r="P702">
        <v>63</v>
      </c>
      <c r="Q702" t="s">
        <v>26</v>
      </c>
      <c r="R702" t="s">
        <v>27</v>
      </c>
      <c r="S702">
        <v>2825</v>
      </c>
      <c r="T702" t="s">
        <v>70</v>
      </c>
      <c r="U702" t="str">
        <f t="shared" si="10"/>
        <v>Pass</v>
      </c>
    </row>
    <row r="703" spans="1:21">
      <c r="A703" t="s">
        <v>1493</v>
      </c>
      <c r="B703" t="s">
        <v>844</v>
      </c>
      <c r="C703" t="s">
        <v>37</v>
      </c>
      <c r="D703">
        <v>1</v>
      </c>
      <c r="E703" t="s">
        <v>31</v>
      </c>
      <c r="F703">
        <v>7</v>
      </c>
      <c r="G703" t="s">
        <v>32</v>
      </c>
      <c r="H703" t="s">
        <v>1494</v>
      </c>
      <c r="I703">
        <v>88</v>
      </c>
      <c r="J703">
        <v>44</v>
      </c>
      <c r="K703">
        <v>53</v>
      </c>
      <c r="L703">
        <v>97</v>
      </c>
      <c r="M703">
        <v>61</v>
      </c>
      <c r="N703">
        <v>88</v>
      </c>
      <c r="O703">
        <v>343</v>
      </c>
      <c r="P703">
        <v>68.599999999999994</v>
      </c>
      <c r="Q703" t="s">
        <v>26</v>
      </c>
      <c r="R703" t="s">
        <v>27</v>
      </c>
      <c r="S703">
        <v>3352</v>
      </c>
      <c r="T703" t="s">
        <v>42</v>
      </c>
      <c r="U703" t="str">
        <f t="shared" si="10"/>
        <v>Pass</v>
      </c>
    </row>
    <row r="704" spans="1:21">
      <c r="A704" t="s">
        <v>1495</v>
      </c>
      <c r="B704" t="s">
        <v>190</v>
      </c>
      <c r="C704" t="s">
        <v>37</v>
      </c>
      <c r="D704">
        <v>1</v>
      </c>
      <c r="E704" t="s">
        <v>31</v>
      </c>
      <c r="F704">
        <v>7</v>
      </c>
      <c r="G704" t="s">
        <v>54</v>
      </c>
      <c r="H704" t="s">
        <v>1496</v>
      </c>
      <c r="I704">
        <v>66</v>
      </c>
      <c r="J704">
        <v>88</v>
      </c>
      <c r="K704">
        <v>99</v>
      </c>
      <c r="L704">
        <v>95</v>
      </c>
      <c r="M704">
        <v>40</v>
      </c>
      <c r="N704">
        <v>47</v>
      </c>
      <c r="O704">
        <v>369</v>
      </c>
      <c r="P704">
        <v>73.8</v>
      </c>
      <c r="Q704" t="s">
        <v>40</v>
      </c>
      <c r="R704" t="s">
        <v>27</v>
      </c>
      <c r="S704">
        <v>3178</v>
      </c>
      <c r="T704" t="s">
        <v>70</v>
      </c>
      <c r="U704" t="str">
        <f t="shared" si="10"/>
        <v>Pass</v>
      </c>
    </row>
    <row r="705" spans="1:21">
      <c r="A705" t="s">
        <v>1497</v>
      </c>
      <c r="B705" t="s">
        <v>160</v>
      </c>
      <c r="C705" t="s">
        <v>22</v>
      </c>
      <c r="D705">
        <v>5</v>
      </c>
      <c r="E705" t="s">
        <v>26</v>
      </c>
      <c r="F705">
        <v>10</v>
      </c>
      <c r="G705" t="s">
        <v>24</v>
      </c>
      <c r="H705" t="s">
        <v>1498</v>
      </c>
      <c r="I705">
        <v>77</v>
      </c>
      <c r="J705">
        <v>40</v>
      </c>
      <c r="K705">
        <v>42</v>
      </c>
      <c r="L705">
        <v>44</v>
      </c>
      <c r="M705">
        <v>52</v>
      </c>
      <c r="N705">
        <v>45</v>
      </c>
      <c r="O705">
        <v>223</v>
      </c>
      <c r="P705">
        <v>44.6</v>
      </c>
      <c r="Q705" t="s">
        <v>23</v>
      </c>
      <c r="R705" t="s">
        <v>27</v>
      </c>
      <c r="S705">
        <v>2114</v>
      </c>
      <c r="T705" t="s">
        <v>66</v>
      </c>
      <c r="U705" t="str">
        <f t="shared" si="10"/>
        <v>Fail</v>
      </c>
    </row>
    <row r="706" spans="1:21">
      <c r="A706" t="s">
        <v>1499</v>
      </c>
      <c r="B706" t="s">
        <v>602</v>
      </c>
      <c r="C706" t="s">
        <v>37</v>
      </c>
      <c r="D706">
        <v>5</v>
      </c>
      <c r="E706" t="s">
        <v>47</v>
      </c>
      <c r="F706">
        <v>11</v>
      </c>
      <c r="G706" t="s">
        <v>32</v>
      </c>
      <c r="H706" t="s">
        <v>1500</v>
      </c>
      <c r="I706">
        <v>97</v>
      </c>
      <c r="J706">
        <v>47</v>
      </c>
      <c r="K706">
        <v>52</v>
      </c>
      <c r="L706">
        <v>92</v>
      </c>
      <c r="M706">
        <v>83</v>
      </c>
      <c r="N706">
        <v>80</v>
      </c>
      <c r="O706">
        <v>354</v>
      </c>
      <c r="P706">
        <v>70.8</v>
      </c>
      <c r="Q706" t="s">
        <v>40</v>
      </c>
      <c r="R706" t="s">
        <v>41</v>
      </c>
      <c r="S706">
        <v>1916</v>
      </c>
      <c r="T706" t="s">
        <v>66</v>
      </c>
      <c r="U706" t="str">
        <f t="shared" si="10"/>
        <v>Pass</v>
      </c>
    </row>
    <row r="707" spans="1:21">
      <c r="A707" t="s">
        <v>1501</v>
      </c>
      <c r="B707" t="s">
        <v>250</v>
      </c>
      <c r="C707" t="s">
        <v>37</v>
      </c>
      <c r="D707">
        <v>3</v>
      </c>
      <c r="E707" t="s">
        <v>47</v>
      </c>
      <c r="F707">
        <v>7</v>
      </c>
      <c r="G707" t="s">
        <v>38</v>
      </c>
      <c r="H707" t="s">
        <v>1502</v>
      </c>
      <c r="I707">
        <v>86</v>
      </c>
      <c r="J707">
        <v>40</v>
      </c>
      <c r="K707">
        <v>77</v>
      </c>
      <c r="L707">
        <v>79</v>
      </c>
      <c r="M707">
        <v>87</v>
      </c>
      <c r="N707">
        <v>67</v>
      </c>
      <c r="O707">
        <v>350</v>
      </c>
      <c r="P707">
        <v>70</v>
      </c>
      <c r="Q707" t="s">
        <v>40</v>
      </c>
      <c r="R707" t="s">
        <v>41</v>
      </c>
      <c r="S707">
        <v>2447</v>
      </c>
      <c r="T707" t="s">
        <v>70</v>
      </c>
      <c r="U707" t="str">
        <f t="shared" ref="U707:U770" si="11">IF(P707&gt;55,"Pass","Fail")</f>
        <v>Pass</v>
      </c>
    </row>
    <row r="708" spans="1:21">
      <c r="A708" t="s">
        <v>1503</v>
      </c>
      <c r="B708" t="s">
        <v>231</v>
      </c>
      <c r="C708" t="s">
        <v>22</v>
      </c>
      <c r="D708">
        <v>12</v>
      </c>
      <c r="E708" t="s">
        <v>23</v>
      </c>
      <c r="F708">
        <v>16</v>
      </c>
      <c r="G708" t="s">
        <v>38</v>
      </c>
      <c r="H708" t="s">
        <v>1504</v>
      </c>
      <c r="I708">
        <v>96</v>
      </c>
      <c r="J708">
        <v>92</v>
      </c>
      <c r="K708">
        <v>73</v>
      </c>
      <c r="L708">
        <v>88</v>
      </c>
      <c r="M708">
        <v>49</v>
      </c>
      <c r="N708">
        <v>53</v>
      </c>
      <c r="O708">
        <v>355</v>
      </c>
      <c r="P708">
        <v>71</v>
      </c>
      <c r="Q708" t="s">
        <v>40</v>
      </c>
      <c r="R708" t="s">
        <v>27</v>
      </c>
      <c r="S708">
        <v>2131</v>
      </c>
      <c r="T708" t="s">
        <v>48</v>
      </c>
      <c r="U708" t="str">
        <f t="shared" si="11"/>
        <v>Pass</v>
      </c>
    </row>
    <row r="709" spans="1:21">
      <c r="A709" t="s">
        <v>1505</v>
      </c>
      <c r="B709" t="s">
        <v>274</v>
      </c>
      <c r="C709" t="s">
        <v>22</v>
      </c>
      <c r="D709">
        <v>10</v>
      </c>
      <c r="E709" t="s">
        <v>31</v>
      </c>
      <c r="F709">
        <v>15</v>
      </c>
      <c r="G709" t="s">
        <v>64</v>
      </c>
      <c r="H709" t="s">
        <v>1060</v>
      </c>
      <c r="I709">
        <v>67</v>
      </c>
      <c r="J709">
        <v>88</v>
      </c>
      <c r="K709">
        <v>47</v>
      </c>
      <c r="L709">
        <v>58</v>
      </c>
      <c r="M709">
        <v>35</v>
      </c>
      <c r="N709">
        <v>56</v>
      </c>
      <c r="O709">
        <v>284</v>
      </c>
      <c r="P709">
        <v>56.8</v>
      </c>
      <c r="Q709" t="s">
        <v>31</v>
      </c>
      <c r="R709" t="s">
        <v>41</v>
      </c>
      <c r="S709">
        <v>3364</v>
      </c>
      <c r="T709" t="s">
        <v>42</v>
      </c>
      <c r="U709" t="str">
        <f t="shared" si="11"/>
        <v>Pass</v>
      </c>
    </row>
    <row r="710" spans="1:21">
      <c r="A710" t="s">
        <v>1506</v>
      </c>
      <c r="B710" t="s">
        <v>113</v>
      </c>
      <c r="C710" t="s">
        <v>37</v>
      </c>
      <c r="D710">
        <v>9</v>
      </c>
      <c r="E710" t="s">
        <v>31</v>
      </c>
      <c r="F710">
        <v>14</v>
      </c>
      <c r="G710" t="s">
        <v>32</v>
      </c>
      <c r="H710" t="s">
        <v>1507</v>
      </c>
      <c r="I710">
        <v>98</v>
      </c>
      <c r="J710">
        <v>91</v>
      </c>
      <c r="K710">
        <v>59</v>
      </c>
      <c r="L710">
        <v>69</v>
      </c>
      <c r="M710">
        <v>41</v>
      </c>
      <c r="N710">
        <v>65</v>
      </c>
      <c r="O710">
        <v>325</v>
      </c>
      <c r="P710">
        <v>65</v>
      </c>
      <c r="Q710" t="s">
        <v>26</v>
      </c>
      <c r="R710" t="s">
        <v>27</v>
      </c>
      <c r="S710">
        <v>3508</v>
      </c>
      <c r="T710" t="s">
        <v>70</v>
      </c>
      <c r="U710" t="str">
        <f t="shared" si="11"/>
        <v>Pass</v>
      </c>
    </row>
    <row r="711" spans="1:21">
      <c r="A711" t="s">
        <v>1508</v>
      </c>
      <c r="B711" t="s">
        <v>508</v>
      </c>
      <c r="C711" t="s">
        <v>37</v>
      </c>
      <c r="D711">
        <v>2</v>
      </c>
      <c r="E711" t="s">
        <v>26</v>
      </c>
      <c r="F711">
        <v>6</v>
      </c>
      <c r="G711" t="s">
        <v>24</v>
      </c>
      <c r="H711" t="s">
        <v>1509</v>
      </c>
      <c r="I711">
        <v>71</v>
      </c>
      <c r="J711">
        <v>63</v>
      </c>
      <c r="K711">
        <v>57</v>
      </c>
      <c r="L711">
        <v>70</v>
      </c>
      <c r="M711">
        <v>42</v>
      </c>
      <c r="N711">
        <v>40</v>
      </c>
      <c r="O711">
        <v>272</v>
      </c>
      <c r="P711">
        <v>54.4</v>
      </c>
      <c r="Q711" t="s">
        <v>31</v>
      </c>
      <c r="R711" t="s">
        <v>27</v>
      </c>
      <c r="S711">
        <v>3594</v>
      </c>
      <c r="T711" t="s">
        <v>42</v>
      </c>
      <c r="U711" t="str">
        <f t="shared" si="11"/>
        <v>Fail</v>
      </c>
    </row>
    <row r="712" spans="1:21">
      <c r="A712" t="s">
        <v>1510</v>
      </c>
      <c r="B712" t="s">
        <v>748</v>
      </c>
      <c r="C712" t="s">
        <v>37</v>
      </c>
      <c r="D712">
        <v>4</v>
      </c>
      <c r="E712" t="s">
        <v>26</v>
      </c>
      <c r="F712">
        <v>10</v>
      </c>
      <c r="G712" t="s">
        <v>58</v>
      </c>
      <c r="H712" t="s">
        <v>1511</v>
      </c>
      <c r="I712">
        <v>92</v>
      </c>
      <c r="J712">
        <v>79</v>
      </c>
      <c r="K712">
        <v>39</v>
      </c>
      <c r="L712">
        <v>53</v>
      </c>
      <c r="M712">
        <v>96</v>
      </c>
      <c r="N712">
        <v>82</v>
      </c>
      <c r="O712">
        <v>349</v>
      </c>
      <c r="P712">
        <v>69.8</v>
      </c>
      <c r="Q712" t="s">
        <v>26</v>
      </c>
      <c r="R712" t="s">
        <v>41</v>
      </c>
      <c r="S712">
        <v>4430</v>
      </c>
      <c r="T712" t="s">
        <v>42</v>
      </c>
      <c r="U712" t="str">
        <f t="shared" si="11"/>
        <v>Pass</v>
      </c>
    </row>
    <row r="713" spans="1:21">
      <c r="A713" t="s">
        <v>1512</v>
      </c>
      <c r="B713" t="s">
        <v>490</v>
      </c>
      <c r="C713" t="s">
        <v>37</v>
      </c>
      <c r="D713">
        <v>5</v>
      </c>
      <c r="E713" t="s">
        <v>23</v>
      </c>
      <c r="F713">
        <v>10</v>
      </c>
      <c r="G713" t="s">
        <v>54</v>
      </c>
      <c r="H713" t="s">
        <v>317</v>
      </c>
      <c r="I713">
        <v>69</v>
      </c>
      <c r="J713">
        <v>70</v>
      </c>
      <c r="K713">
        <v>49</v>
      </c>
      <c r="L713">
        <v>79</v>
      </c>
      <c r="M713">
        <v>43</v>
      </c>
      <c r="N713">
        <v>42</v>
      </c>
      <c r="O713">
        <v>283</v>
      </c>
      <c r="P713">
        <v>56.6</v>
      </c>
      <c r="Q713" t="s">
        <v>31</v>
      </c>
      <c r="R713" t="s">
        <v>41</v>
      </c>
      <c r="S713">
        <v>4765</v>
      </c>
      <c r="T713" t="s">
        <v>48</v>
      </c>
      <c r="U713" t="str">
        <f t="shared" si="11"/>
        <v>Pass</v>
      </c>
    </row>
    <row r="714" spans="1:21">
      <c r="A714" t="s">
        <v>1513</v>
      </c>
      <c r="B714" t="s">
        <v>896</v>
      </c>
      <c r="C714" t="s">
        <v>22</v>
      </c>
      <c r="D714">
        <v>2</v>
      </c>
      <c r="E714" t="s">
        <v>23</v>
      </c>
      <c r="F714">
        <v>6</v>
      </c>
      <c r="G714" t="s">
        <v>64</v>
      </c>
      <c r="H714" t="s">
        <v>379</v>
      </c>
      <c r="I714">
        <v>74</v>
      </c>
      <c r="J714">
        <v>71</v>
      </c>
      <c r="K714">
        <v>37</v>
      </c>
      <c r="L714">
        <v>85</v>
      </c>
      <c r="M714">
        <v>65</v>
      </c>
      <c r="N714">
        <v>71</v>
      </c>
      <c r="O714">
        <v>329</v>
      </c>
      <c r="P714">
        <v>65.8</v>
      </c>
      <c r="Q714" t="s">
        <v>26</v>
      </c>
      <c r="R714" t="s">
        <v>41</v>
      </c>
      <c r="S714">
        <v>4771</v>
      </c>
      <c r="T714" t="s">
        <v>66</v>
      </c>
      <c r="U714" t="str">
        <f t="shared" si="11"/>
        <v>Pass</v>
      </c>
    </row>
    <row r="715" spans="1:21">
      <c r="A715" t="s">
        <v>1514</v>
      </c>
      <c r="B715" t="s">
        <v>36</v>
      </c>
      <c r="C715" t="s">
        <v>22</v>
      </c>
      <c r="D715">
        <v>11</v>
      </c>
      <c r="E715" t="s">
        <v>23</v>
      </c>
      <c r="F715">
        <v>15</v>
      </c>
      <c r="G715" t="s">
        <v>38</v>
      </c>
      <c r="H715" t="s">
        <v>924</v>
      </c>
      <c r="I715">
        <v>86</v>
      </c>
      <c r="J715">
        <v>41</v>
      </c>
      <c r="K715">
        <v>77</v>
      </c>
      <c r="L715">
        <v>63</v>
      </c>
      <c r="M715">
        <v>35</v>
      </c>
      <c r="N715">
        <v>60</v>
      </c>
      <c r="O715">
        <v>276</v>
      </c>
      <c r="P715">
        <v>55.2</v>
      </c>
      <c r="Q715" t="s">
        <v>31</v>
      </c>
      <c r="R715" t="s">
        <v>27</v>
      </c>
      <c r="S715">
        <v>3420</v>
      </c>
      <c r="T715" t="s">
        <v>66</v>
      </c>
      <c r="U715" t="str">
        <f t="shared" si="11"/>
        <v>Pass</v>
      </c>
    </row>
    <row r="716" spans="1:21">
      <c r="A716" t="s">
        <v>1515</v>
      </c>
      <c r="B716" t="s">
        <v>239</v>
      </c>
      <c r="C716" t="s">
        <v>22</v>
      </c>
      <c r="D716">
        <v>3</v>
      </c>
      <c r="E716" t="s">
        <v>47</v>
      </c>
      <c r="F716">
        <v>7</v>
      </c>
      <c r="G716" t="s">
        <v>54</v>
      </c>
      <c r="H716" t="s">
        <v>1516</v>
      </c>
      <c r="I716">
        <v>80</v>
      </c>
      <c r="J716">
        <v>94</v>
      </c>
      <c r="K716">
        <v>47</v>
      </c>
      <c r="L716">
        <v>52</v>
      </c>
      <c r="M716">
        <v>45</v>
      </c>
      <c r="N716">
        <v>43</v>
      </c>
      <c r="O716">
        <v>281</v>
      </c>
      <c r="P716">
        <v>56.2</v>
      </c>
      <c r="Q716" t="s">
        <v>31</v>
      </c>
      <c r="R716" t="s">
        <v>27</v>
      </c>
      <c r="S716">
        <v>3736</v>
      </c>
      <c r="T716" t="s">
        <v>42</v>
      </c>
      <c r="U716" t="str">
        <f t="shared" si="11"/>
        <v>Pass</v>
      </c>
    </row>
    <row r="717" spans="1:21">
      <c r="A717" t="s">
        <v>1517</v>
      </c>
      <c r="B717" t="s">
        <v>383</v>
      </c>
      <c r="C717" t="s">
        <v>22</v>
      </c>
      <c r="D717">
        <v>6</v>
      </c>
      <c r="E717" t="s">
        <v>23</v>
      </c>
      <c r="F717">
        <v>10</v>
      </c>
      <c r="G717" t="s">
        <v>58</v>
      </c>
      <c r="H717" t="s">
        <v>649</v>
      </c>
      <c r="I717">
        <v>74</v>
      </c>
      <c r="J717">
        <v>70</v>
      </c>
      <c r="K717">
        <v>57</v>
      </c>
      <c r="L717">
        <v>79</v>
      </c>
      <c r="M717">
        <v>78</v>
      </c>
      <c r="N717">
        <v>86</v>
      </c>
      <c r="O717">
        <v>370</v>
      </c>
      <c r="P717">
        <v>74</v>
      </c>
      <c r="Q717" t="s">
        <v>40</v>
      </c>
      <c r="R717" t="s">
        <v>27</v>
      </c>
      <c r="S717">
        <v>4333</v>
      </c>
      <c r="T717" t="s">
        <v>48</v>
      </c>
      <c r="U717" t="str">
        <f t="shared" si="11"/>
        <v>Pass</v>
      </c>
    </row>
    <row r="718" spans="1:21">
      <c r="A718" t="s">
        <v>1518</v>
      </c>
      <c r="B718" t="s">
        <v>184</v>
      </c>
      <c r="C718" t="s">
        <v>37</v>
      </c>
      <c r="D718">
        <v>7</v>
      </c>
      <c r="E718" t="s">
        <v>26</v>
      </c>
      <c r="F718">
        <v>13</v>
      </c>
      <c r="G718" t="s">
        <v>38</v>
      </c>
      <c r="H718" t="s">
        <v>1511</v>
      </c>
      <c r="I718">
        <v>79</v>
      </c>
      <c r="J718">
        <v>85</v>
      </c>
      <c r="K718">
        <v>68</v>
      </c>
      <c r="L718">
        <v>56</v>
      </c>
      <c r="M718">
        <v>83</v>
      </c>
      <c r="N718">
        <v>68</v>
      </c>
      <c r="O718">
        <v>360</v>
      </c>
      <c r="P718">
        <v>72</v>
      </c>
      <c r="Q718" t="s">
        <v>40</v>
      </c>
      <c r="R718" t="s">
        <v>41</v>
      </c>
      <c r="S718">
        <v>3587</v>
      </c>
      <c r="T718" t="s">
        <v>28</v>
      </c>
      <c r="U718" t="str">
        <f t="shared" si="11"/>
        <v>Pass</v>
      </c>
    </row>
    <row r="719" spans="1:21">
      <c r="A719" t="s">
        <v>1519</v>
      </c>
      <c r="B719" t="s">
        <v>808</v>
      </c>
      <c r="C719" t="s">
        <v>37</v>
      </c>
      <c r="D719">
        <v>9</v>
      </c>
      <c r="E719" t="s">
        <v>26</v>
      </c>
      <c r="F719">
        <v>13</v>
      </c>
      <c r="G719" t="s">
        <v>32</v>
      </c>
      <c r="H719" t="s">
        <v>873</v>
      </c>
      <c r="I719">
        <v>61</v>
      </c>
      <c r="J719">
        <v>85</v>
      </c>
      <c r="K719">
        <v>89</v>
      </c>
      <c r="L719">
        <v>45</v>
      </c>
      <c r="M719">
        <v>87</v>
      </c>
      <c r="N719">
        <v>47</v>
      </c>
      <c r="O719">
        <v>353</v>
      </c>
      <c r="P719">
        <v>70.599999999999994</v>
      </c>
      <c r="Q719" t="s">
        <v>40</v>
      </c>
      <c r="R719" t="s">
        <v>41</v>
      </c>
      <c r="S719">
        <v>4219</v>
      </c>
      <c r="T719" t="s">
        <v>42</v>
      </c>
      <c r="U719" t="str">
        <f t="shared" si="11"/>
        <v>Pass</v>
      </c>
    </row>
    <row r="720" spans="1:21">
      <c r="A720" t="s">
        <v>1520</v>
      </c>
      <c r="B720" t="s">
        <v>389</v>
      </c>
      <c r="C720" t="s">
        <v>37</v>
      </c>
      <c r="D720">
        <v>8</v>
      </c>
      <c r="E720" t="s">
        <v>31</v>
      </c>
      <c r="F720">
        <v>14</v>
      </c>
      <c r="G720" t="s">
        <v>45</v>
      </c>
      <c r="H720" t="s">
        <v>1521</v>
      </c>
      <c r="I720">
        <v>84</v>
      </c>
      <c r="J720">
        <v>53</v>
      </c>
      <c r="K720">
        <v>81</v>
      </c>
      <c r="L720">
        <v>43</v>
      </c>
      <c r="M720">
        <v>86</v>
      </c>
      <c r="N720">
        <v>80</v>
      </c>
      <c r="O720">
        <v>343</v>
      </c>
      <c r="P720">
        <v>68.599999999999994</v>
      </c>
      <c r="Q720" t="s">
        <v>26</v>
      </c>
      <c r="R720" t="s">
        <v>27</v>
      </c>
      <c r="S720">
        <v>3449</v>
      </c>
      <c r="T720" t="s">
        <v>28</v>
      </c>
      <c r="U720" t="str">
        <f t="shared" si="11"/>
        <v>Pass</v>
      </c>
    </row>
    <row r="721" spans="1:21">
      <c r="A721" t="s">
        <v>1522</v>
      </c>
      <c r="B721" t="s">
        <v>900</v>
      </c>
      <c r="C721" t="s">
        <v>22</v>
      </c>
      <c r="D721">
        <v>1</v>
      </c>
      <c r="E721" t="s">
        <v>26</v>
      </c>
      <c r="F721">
        <v>6</v>
      </c>
      <c r="G721" t="s">
        <v>58</v>
      </c>
      <c r="H721" t="s">
        <v>1523</v>
      </c>
      <c r="I721">
        <v>61</v>
      </c>
      <c r="J721">
        <v>95</v>
      </c>
      <c r="K721">
        <v>92</v>
      </c>
      <c r="L721">
        <v>63</v>
      </c>
      <c r="M721">
        <v>63</v>
      </c>
      <c r="N721">
        <v>47</v>
      </c>
      <c r="O721">
        <v>360</v>
      </c>
      <c r="P721">
        <v>72</v>
      </c>
      <c r="Q721" t="s">
        <v>40</v>
      </c>
      <c r="R721" t="s">
        <v>41</v>
      </c>
      <c r="S721">
        <v>4014</v>
      </c>
      <c r="T721" t="s">
        <v>70</v>
      </c>
      <c r="U721" t="str">
        <f t="shared" si="11"/>
        <v>Pass</v>
      </c>
    </row>
    <row r="722" spans="1:21">
      <c r="A722" t="s">
        <v>1524</v>
      </c>
      <c r="B722" t="s">
        <v>625</v>
      </c>
      <c r="C722" t="s">
        <v>22</v>
      </c>
      <c r="D722">
        <v>9</v>
      </c>
      <c r="E722" t="s">
        <v>26</v>
      </c>
      <c r="F722">
        <v>14</v>
      </c>
      <c r="G722" t="s">
        <v>64</v>
      </c>
      <c r="H722" t="s">
        <v>1525</v>
      </c>
      <c r="I722">
        <v>60</v>
      </c>
      <c r="J722">
        <v>83</v>
      </c>
      <c r="K722">
        <v>60</v>
      </c>
      <c r="L722">
        <v>80</v>
      </c>
      <c r="M722">
        <v>96</v>
      </c>
      <c r="N722">
        <v>96</v>
      </c>
      <c r="O722">
        <v>415</v>
      </c>
      <c r="P722">
        <v>83</v>
      </c>
      <c r="Q722" t="s">
        <v>47</v>
      </c>
      <c r="R722" t="s">
        <v>27</v>
      </c>
      <c r="S722">
        <v>4804</v>
      </c>
      <c r="T722" t="s">
        <v>34</v>
      </c>
      <c r="U722" t="str">
        <f t="shared" si="11"/>
        <v>Pass</v>
      </c>
    </row>
    <row r="723" spans="1:21">
      <c r="A723" t="s">
        <v>1526</v>
      </c>
      <c r="B723" t="s">
        <v>614</v>
      </c>
      <c r="C723" t="s">
        <v>22</v>
      </c>
      <c r="D723">
        <v>4</v>
      </c>
      <c r="E723" t="s">
        <v>26</v>
      </c>
      <c r="F723">
        <v>9</v>
      </c>
      <c r="G723" t="s">
        <v>45</v>
      </c>
      <c r="H723" t="s">
        <v>1527</v>
      </c>
      <c r="I723">
        <v>94</v>
      </c>
      <c r="J723">
        <v>57</v>
      </c>
      <c r="K723">
        <v>92</v>
      </c>
      <c r="L723">
        <v>64</v>
      </c>
      <c r="M723">
        <v>58</v>
      </c>
      <c r="N723">
        <v>42</v>
      </c>
      <c r="O723">
        <v>313</v>
      </c>
      <c r="P723">
        <v>62.6</v>
      </c>
      <c r="Q723" t="s">
        <v>26</v>
      </c>
      <c r="R723" t="s">
        <v>41</v>
      </c>
      <c r="S723">
        <v>3560</v>
      </c>
      <c r="T723" t="s">
        <v>28</v>
      </c>
      <c r="U723" t="str">
        <f t="shared" si="11"/>
        <v>Pass</v>
      </c>
    </row>
    <row r="724" spans="1:21">
      <c r="A724" t="s">
        <v>1528</v>
      </c>
      <c r="B724" t="s">
        <v>594</v>
      </c>
      <c r="C724" t="s">
        <v>22</v>
      </c>
      <c r="D724">
        <v>2</v>
      </c>
      <c r="E724" t="s">
        <v>31</v>
      </c>
      <c r="F724">
        <v>6</v>
      </c>
      <c r="G724" t="s">
        <v>45</v>
      </c>
      <c r="H724" t="s">
        <v>1529</v>
      </c>
      <c r="I724">
        <v>91</v>
      </c>
      <c r="J724">
        <v>39</v>
      </c>
      <c r="K724">
        <v>69</v>
      </c>
      <c r="L724">
        <v>69</v>
      </c>
      <c r="M724">
        <v>52</v>
      </c>
      <c r="N724">
        <v>48</v>
      </c>
      <c r="O724">
        <v>277</v>
      </c>
      <c r="P724">
        <v>55.4</v>
      </c>
      <c r="Q724" t="s">
        <v>31</v>
      </c>
      <c r="R724" t="s">
        <v>41</v>
      </c>
      <c r="S724">
        <v>4514</v>
      </c>
      <c r="T724" t="s">
        <v>66</v>
      </c>
      <c r="U724" t="str">
        <f t="shared" si="11"/>
        <v>Pass</v>
      </c>
    </row>
    <row r="725" spans="1:21">
      <c r="A725" t="s">
        <v>1530</v>
      </c>
      <c r="B725" t="s">
        <v>253</v>
      </c>
      <c r="C725" t="s">
        <v>22</v>
      </c>
      <c r="D725">
        <v>11</v>
      </c>
      <c r="E725" t="s">
        <v>23</v>
      </c>
      <c r="F725">
        <v>15</v>
      </c>
      <c r="G725" t="s">
        <v>38</v>
      </c>
      <c r="H725" t="s">
        <v>1214</v>
      </c>
      <c r="I725">
        <v>91</v>
      </c>
      <c r="J725">
        <v>92</v>
      </c>
      <c r="K725">
        <v>82</v>
      </c>
      <c r="L725">
        <v>53</v>
      </c>
      <c r="M725">
        <v>77</v>
      </c>
      <c r="N725">
        <v>39</v>
      </c>
      <c r="O725">
        <v>343</v>
      </c>
      <c r="P725">
        <v>68.599999999999994</v>
      </c>
      <c r="Q725" t="s">
        <v>26</v>
      </c>
      <c r="R725" t="s">
        <v>27</v>
      </c>
      <c r="S725">
        <v>1766</v>
      </c>
      <c r="T725" t="s">
        <v>70</v>
      </c>
      <c r="U725" t="str">
        <f t="shared" si="11"/>
        <v>Pass</v>
      </c>
    </row>
    <row r="726" spans="1:21">
      <c r="A726" t="s">
        <v>1531</v>
      </c>
      <c r="B726" t="s">
        <v>110</v>
      </c>
      <c r="C726" t="s">
        <v>22</v>
      </c>
      <c r="D726">
        <v>12</v>
      </c>
      <c r="E726" t="s">
        <v>26</v>
      </c>
      <c r="F726">
        <v>18</v>
      </c>
      <c r="G726" t="s">
        <v>64</v>
      </c>
      <c r="H726" t="s">
        <v>1532</v>
      </c>
      <c r="I726">
        <v>96</v>
      </c>
      <c r="J726">
        <v>44</v>
      </c>
      <c r="K726">
        <v>100</v>
      </c>
      <c r="L726">
        <v>85</v>
      </c>
      <c r="M726">
        <v>37</v>
      </c>
      <c r="N726">
        <v>97</v>
      </c>
      <c r="O726">
        <v>363</v>
      </c>
      <c r="P726">
        <v>72.599999999999994</v>
      </c>
      <c r="Q726" t="s">
        <v>40</v>
      </c>
      <c r="R726" t="s">
        <v>41</v>
      </c>
      <c r="S726">
        <v>3064</v>
      </c>
      <c r="T726" t="s">
        <v>66</v>
      </c>
      <c r="U726" t="str">
        <f t="shared" si="11"/>
        <v>Pass</v>
      </c>
    </row>
    <row r="727" spans="1:21">
      <c r="A727" t="s">
        <v>1533</v>
      </c>
      <c r="B727" t="s">
        <v>319</v>
      </c>
      <c r="C727" t="s">
        <v>37</v>
      </c>
      <c r="D727">
        <v>7</v>
      </c>
      <c r="E727" t="s">
        <v>31</v>
      </c>
      <c r="F727">
        <v>12</v>
      </c>
      <c r="G727" t="s">
        <v>54</v>
      </c>
      <c r="H727" t="s">
        <v>1534</v>
      </c>
      <c r="I727">
        <v>67</v>
      </c>
      <c r="J727">
        <v>69</v>
      </c>
      <c r="K727">
        <v>59</v>
      </c>
      <c r="L727">
        <v>66</v>
      </c>
      <c r="M727">
        <v>88</v>
      </c>
      <c r="N727">
        <v>48</v>
      </c>
      <c r="O727">
        <v>330</v>
      </c>
      <c r="P727">
        <v>66</v>
      </c>
      <c r="Q727" t="s">
        <v>26</v>
      </c>
      <c r="R727" t="s">
        <v>41</v>
      </c>
      <c r="S727">
        <v>3080</v>
      </c>
      <c r="T727" t="s">
        <v>70</v>
      </c>
      <c r="U727" t="str">
        <f t="shared" si="11"/>
        <v>Pass</v>
      </c>
    </row>
    <row r="728" spans="1:21">
      <c r="A728" t="s">
        <v>1535</v>
      </c>
      <c r="B728" t="s">
        <v>280</v>
      </c>
      <c r="C728" t="s">
        <v>22</v>
      </c>
      <c r="D728">
        <v>1</v>
      </c>
      <c r="E728" t="s">
        <v>26</v>
      </c>
      <c r="F728">
        <v>7</v>
      </c>
      <c r="G728" t="s">
        <v>45</v>
      </c>
      <c r="H728" t="s">
        <v>1536</v>
      </c>
      <c r="I728">
        <v>81</v>
      </c>
      <c r="J728">
        <v>89</v>
      </c>
      <c r="K728">
        <v>47</v>
      </c>
      <c r="L728">
        <v>39</v>
      </c>
      <c r="M728">
        <v>52</v>
      </c>
      <c r="N728">
        <v>96</v>
      </c>
      <c r="O728">
        <v>323</v>
      </c>
      <c r="P728">
        <v>64.599999999999994</v>
      </c>
      <c r="Q728" t="s">
        <v>26</v>
      </c>
      <c r="R728" t="s">
        <v>41</v>
      </c>
      <c r="S728">
        <v>4695</v>
      </c>
      <c r="T728" t="s">
        <v>42</v>
      </c>
      <c r="U728" t="str">
        <f t="shared" si="11"/>
        <v>Pass</v>
      </c>
    </row>
    <row r="729" spans="1:21">
      <c r="A729" t="s">
        <v>1537</v>
      </c>
      <c r="B729" t="s">
        <v>178</v>
      </c>
      <c r="C729" t="s">
        <v>22</v>
      </c>
      <c r="D729">
        <v>3</v>
      </c>
      <c r="E729" t="s">
        <v>26</v>
      </c>
      <c r="F729">
        <v>7</v>
      </c>
      <c r="G729" t="s">
        <v>64</v>
      </c>
      <c r="H729" t="s">
        <v>376</v>
      </c>
      <c r="I729">
        <v>82</v>
      </c>
      <c r="J729">
        <v>35</v>
      </c>
      <c r="K729">
        <v>60</v>
      </c>
      <c r="L729">
        <v>84</v>
      </c>
      <c r="M729">
        <v>53</v>
      </c>
      <c r="N729">
        <v>97</v>
      </c>
      <c r="O729">
        <v>329</v>
      </c>
      <c r="P729">
        <v>65.8</v>
      </c>
      <c r="Q729" t="s">
        <v>26</v>
      </c>
      <c r="R729" t="s">
        <v>27</v>
      </c>
      <c r="S729">
        <v>2289</v>
      </c>
      <c r="T729" t="s">
        <v>70</v>
      </c>
      <c r="U729" t="str">
        <f t="shared" si="11"/>
        <v>Pass</v>
      </c>
    </row>
    <row r="730" spans="1:21">
      <c r="A730" t="s">
        <v>1538</v>
      </c>
      <c r="B730" t="s">
        <v>808</v>
      </c>
      <c r="C730" t="s">
        <v>22</v>
      </c>
      <c r="D730">
        <v>10</v>
      </c>
      <c r="E730" t="s">
        <v>47</v>
      </c>
      <c r="F730">
        <v>14</v>
      </c>
      <c r="G730" t="s">
        <v>58</v>
      </c>
      <c r="H730" t="s">
        <v>1539</v>
      </c>
      <c r="I730">
        <v>60</v>
      </c>
      <c r="J730">
        <v>99</v>
      </c>
      <c r="K730">
        <v>92</v>
      </c>
      <c r="L730">
        <v>56</v>
      </c>
      <c r="M730">
        <v>53</v>
      </c>
      <c r="N730">
        <v>94</v>
      </c>
      <c r="O730">
        <v>394</v>
      </c>
      <c r="P730">
        <v>78.8</v>
      </c>
      <c r="Q730" t="s">
        <v>40</v>
      </c>
      <c r="R730" t="s">
        <v>27</v>
      </c>
      <c r="S730">
        <v>2383</v>
      </c>
      <c r="T730" t="s">
        <v>48</v>
      </c>
      <c r="U730" t="str">
        <f t="shared" si="11"/>
        <v>Pass</v>
      </c>
    </row>
    <row r="731" spans="1:21">
      <c r="A731" t="s">
        <v>1540</v>
      </c>
      <c r="B731" t="s">
        <v>562</v>
      </c>
      <c r="C731" t="s">
        <v>37</v>
      </c>
      <c r="D731">
        <v>6</v>
      </c>
      <c r="E731" t="s">
        <v>23</v>
      </c>
      <c r="F731">
        <v>10</v>
      </c>
      <c r="G731" t="s">
        <v>45</v>
      </c>
      <c r="H731" t="s">
        <v>1339</v>
      </c>
      <c r="I731">
        <v>88</v>
      </c>
      <c r="J731">
        <v>79</v>
      </c>
      <c r="K731">
        <v>89</v>
      </c>
      <c r="L731">
        <v>98</v>
      </c>
      <c r="M731">
        <v>58</v>
      </c>
      <c r="N731">
        <v>69</v>
      </c>
      <c r="O731">
        <v>393</v>
      </c>
      <c r="P731">
        <v>78.599999999999994</v>
      </c>
      <c r="Q731" t="s">
        <v>40</v>
      </c>
      <c r="R731" t="s">
        <v>27</v>
      </c>
      <c r="S731">
        <v>3404</v>
      </c>
      <c r="T731" t="s">
        <v>70</v>
      </c>
      <c r="U731" t="str">
        <f t="shared" si="11"/>
        <v>Pass</v>
      </c>
    </row>
    <row r="732" spans="1:21">
      <c r="A732" t="s">
        <v>1541</v>
      </c>
      <c r="B732" t="s">
        <v>350</v>
      </c>
      <c r="C732" t="s">
        <v>37</v>
      </c>
      <c r="D732">
        <v>12</v>
      </c>
      <c r="E732" t="s">
        <v>23</v>
      </c>
      <c r="F732">
        <v>16</v>
      </c>
      <c r="G732" t="s">
        <v>45</v>
      </c>
      <c r="H732" t="s">
        <v>1542</v>
      </c>
      <c r="I732">
        <v>70</v>
      </c>
      <c r="J732">
        <v>69</v>
      </c>
      <c r="K732">
        <v>61</v>
      </c>
      <c r="L732">
        <v>38</v>
      </c>
      <c r="M732">
        <v>60</v>
      </c>
      <c r="N732">
        <v>82</v>
      </c>
      <c r="O732">
        <v>310</v>
      </c>
      <c r="P732">
        <v>62</v>
      </c>
      <c r="Q732" t="s">
        <v>26</v>
      </c>
      <c r="R732" t="s">
        <v>41</v>
      </c>
      <c r="S732">
        <v>3574</v>
      </c>
      <c r="T732" t="s">
        <v>70</v>
      </c>
      <c r="U732" t="str">
        <f t="shared" si="11"/>
        <v>Pass</v>
      </c>
    </row>
    <row r="733" spans="1:21">
      <c r="A733" t="s">
        <v>1543</v>
      </c>
      <c r="B733" t="s">
        <v>835</v>
      </c>
      <c r="C733" t="s">
        <v>37</v>
      </c>
      <c r="D733">
        <v>9</v>
      </c>
      <c r="E733" t="s">
        <v>23</v>
      </c>
      <c r="F733">
        <v>13</v>
      </c>
      <c r="G733" t="s">
        <v>32</v>
      </c>
      <c r="H733" t="s">
        <v>1544</v>
      </c>
      <c r="I733">
        <v>100</v>
      </c>
      <c r="J733">
        <v>60</v>
      </c>
      <c r="K733">
        <v>42</v>
      </c>
      <c r="L733">
        <v>50</v>
      </c>
      <c r="M733">
        <v>62</v>
      </c>
      <c r="N733">
        <v>35</v>
      </c>
      <c r="O733">
        <v>249</v>
      </c>
      <c r="P733">
        <v>49.8</v>
      </c>
      <c r="Q733" t="s">
        <v>23</v>
      </c>
      <c r="R733" t="s">
        <v>27</v>
      </c>
      <c r="S733">
        <v>4738</v>
      </c>
      <c r="T733" t="s">
        <v>34</v>
      </c>
      <c r="U733" t="str">
        <f t="shared" si="11"/>
        <v>Fail</v>
      </c>
    </row>
    <row r="734" spans="1:21">
      <c r="A734" t="s">
        <v>1545</v>
      </c>
      <c r="B734" t="s">
        <v>134</v>
      </c>
      <c r="C734" t="s">
        <v>22</v>
      </c>
      <c r="D734">
        <v>5</v>
      </c>
      <c r="E734" t="s">
        <v>26</v>
      </c>
      <c r="F734">
        <v>10</v>
      </c>
      <c r="G734" t="s">
        <v>24</v>
      </c>
      <c r="H734" t="s">
        <v>1546</v>
      </c>
      <c r="I734">
        <v>99</v>
      </c>
      <c r="J734">
        <v>80</v>
      </c>
      <c r="K734">
        <v>97</v>
      </c>
      <c r="L734">
        <v>93</v>
      </c>
      <c r="M734">
        <v>71</v>
      </c>
      <c r="N734">
        <v>100</v>
      </c>
      <c r="O734">
        <v>441</v>
      </c>
      <c r="P734">
        <v>88.2</v>
      </c>
      <c r="Q734" t="s">
        <v>47</v>
      </c>
      <c r="R734" t="s">
        <v>27</v>
      </c>
      <c r="S734">
        <v>4852</v>
      </c>
      <c r="T734" t="s">
        <v>70</v>
      </c>
      <c r="U734" t="str">
        <f t="shared" si="11"/>
        <v>Pass</v>
      </c>
    </row>
    <row r="735" spans="1:21">
      <c r="A735" t="s">
        <v>1547</v>
      </c>
      <c r="B735" t="s">
        <v>419</v>
      </c>
      <c r="C735" t="s">
        <v>37</v>
      </c>
      <c r="D735">
        <v>12</v>
      </c>
      <c r="E735" t="s">
        <v>23</v>
      </c>
      <c r="F735">
        <v>17</v>
      </c>
      <c r="G735" t="s">
        <v>24</v>
      </c>
      <c r="H735" t="s">
        <v>1371</v>
      </c>
      <c r="I735">
        <v>63</v>
      </c>
      <c r="J735">
        <v>91</v>
      </c>
      <c r="K735">
        <v>91</v>
      </c>
      <c r="L735">
        <v>67</v>
      </c>
      <c r="M735">
        <v>76</v>
      </c>
      <c r="N735">
        <v>67</v>
      </c>
      <c r="O735">
        <v>392</v>
      </c>
      <c r="P735">
        <v>78.400000000000006</v>
      </c>
      <c r="Q735" t="s">
        <v>40</v>
      </c>
      <c r="R735" t="s">
        <v>27</v>
      </c>
      <c r="S735">
        <v>4668</v>
      </c>
      <c r="T735" t="s">
        <v>28</v>
      </c>
      <c r="U735" t="str">
        <f t="shared" si="11"/>
        <v>Pass</v>
      </c>
    </row>
    <row r="736" spans="1:21">
      <c r="A736" t="s">
        <v>1548</v>
      </c>
      <c r="B736" t="s">
        <v>798</v>
      </c>
      <c r="C736" t="s">
        <v>37</v>
      </c>
      <c r="D736">
        <v>2</v>
      </c>
      <c r="E736" t="s">
        <v>47</v>
      </c>
      <c r="F736">
        <v>8</v>
      </c>
      <c r="G736" t="s">
        <v>38</v>
      </c>
      <c r="H736" t="s">
        <v>1549</v>
      </c>
      <c r="I736">
        <v>65</v>
      </c>
      <c r="J736">
        <v>37</v>
      </c>
      <c r="K736">
        <v>51</v>
      </c>
      <c r="L736">
        <v>54</v>
      </c>
      <c r="M736">
        <v>56</v>
      </c>
      <c r="N736">
        <v>81</v>
      </c>
      <c r="O736">
        <v>279</v>
      </c>
      <c r="P736">
        <v>55.8</v>
      </c>
      <c r="Q736" t="s">
        <v>31</v>
      </c>
      <c r="R736" t="s">
        <v>41</v>
      </c>
      <c r="S736">
        <v>4238</v>
      </c>
      <c r="T736" t="s">
        <v>48</v>
      </c>
      <c r="U736" t="str">
        <f t="shared" si="11"/>
        <v>Pass</v>
      </c>
    </row>
    <row r="737" spans="1:21">
      <c r="A737" t="s">
        <v>1550</v>
      </c>
      <c r="B737" t="s">
        <v>448</v>
      </c>
      <c r="C737" t="s">
        <v>37</v>
      </c>
      <c r="D737">
        <v>1</v>
      </c>
      <c r="E737" t="s">
        <v>26</v>
      </c>
      <c r="F737">
        <v>7</v>
      </c>
      <c r="G737" t="s">
        <v>64</v>
      </c>
      <c r="H737" t="s">
        <v>1551</v>
      </c>
      <c r="I737">
        <v>75</v>
      </c>
      <c r="J737">
        <v>100</v>
      </c>
      <c r="K737">
        <v>48</v>
      </c>
      <c r="L737">
        <v>63</v>
      </c>
      <c r="M737">
        <v>50</v>
      </c>
      <c r="N737">
        <v>52</v>
      </c>
      <c r="O737">
        <v>313</v>
      </c>
      <c r="P737">
        <v>62.6</v>
      </c>
      <c r="Q737" t="s">
        <v>26</v>
      </c>
      <c r="R737" t="s">
        <v>27</v>
      </c>
      <c r="S737">
        <v>1832</v>
      </c>
      <c r="T737" t="s">
        <v>42</v>
      </c>
      <c r="U737" t="str">
        <f t="shared" si="11"/>
        <v>Pass</v>
      </c>
    </row>
    <row r="738" spans="1:21">
      <c r="A738" t="s">
        <v>1552</v>
      </c>
      <c r="B738" t="s">
        <v>326</v>
      </c>
      <c r="C738" t="s">
        <v>22</v>
      </c>
      <c r="D738">
        <v>4</v>
      </c>
      <c r="E738" t="s">
        <v>23</v>
      </c>
      <c r="F738">
        <v>9</v>
      </c>
      <c r="G738" t="s">
        <v>64</v>
      </c>
      <c r="H738" t="s">
        <v>1035</v>
      </c>
      <c r="I738">
        <v>66</v>
      </c>
      <c r="J738">
        <v>94</v>
      </c>
      <c r="K738">
        <v>97</v>
      </c>
      <c r="L738">
        <v>48</v>
      </c>
      <c r="M738">
        <v>93</v>
      </c>
      <c r="N738">
        <v>62</v>
      </c>
      <c r="O738">
        <v>394</v>
      </c>
      <c r="P738">
        <v>78.8</v>
      </c>
      <c r="Q738" t="s">
        <v>40</v>
      </c>
      <c r="R738" t="s">
        <v>41</v>
      </c>
      <c r="S738">
        <v>2635</v>
      </c>
      <c r="T738" t="s">
        <v>66</v>
      </c>
      <c r="U738" t="str">
        <f t="shared" si="11"/>
        <v>Pass</v>
      </c>
    </row>
    <row r="739" spans="1:21">
      <c r="A739" t="s">
        <v>1553</v>
      </c>
      <c r="B739" t="s">
        <v>256</v>
      </c>
      <c r="C739" t="s">
        <v>22</v>
      </c>
      <c r="D739">
        <v>3</v>
      </c>
      <c r="E739" t="s">
        <v>31</v>
      </c>
      <c r="F739">
        <v>7</v>
      </c>
      <c r="G739" t="s">
        <v>45</v>
      </c>
      <c r="H739" t="s">
        <v>653</v>
      </c>
      <c r="I739">
        <v>88</v>
      </c>
      <c r="J739">
        <v>43</v>
      </c>
      <c r="K739">
        <v>65</v>
      </c>
      <c r="L739">
        <v>40</v>
      </c>
      <c r="M739">
        <v>51</v>
      </c>
      <c r="N739">
        <v>68</v>
      </c>
      <c r="O739">
        <v>267</v>
      </c>
      <c r="P739">
        <v>53.4</v>
      </c>
      <c r="Q739" t="s">
        <v>31</v>
      </c>
      <c r="R739" t="s">
        <v>41</v>
      </c>
      <c r="S739">
        <v>4343</v>
      </c>
      <c r="T739" t="s">
        <v>70</v>
      </c>
      <c r="U739" t="str">
        <f t="shared" si="11"/>
        <v>Fail</v>
      </c>
    </row>
    <row r="740" spans="1:21">
      <c r="A740" t="s">
        <v>1554</v>
      </c>
      <c r="B740" t="s">
        <v>81</v>
      </c>
      <c r="C740" t="s">
        <v>37</v>
      </c>
      <c r="D740">
        <v>11</v>
      </c>
      <c r="E740" t="s">
        <v>26</v>
      </c>
      <c r="F740">
        <v>16</v>
      </c>
      <c r="G740" t="s">
        <v>38</v>
      </c>
      <c r="H740" t="s">
        <v>1555</v>
      </c>
      <c r="I740">
        <v>72</v>
      </c>
      <c r="J740">
        <v>78</v>
      </c>
      <c r="K740">
        <v>56</v>
      </c>
      <c r="L740">
        <v>41</v>
      </c>
      <c r="M740">
        <v>61</v>
      </c>
      <c r="N740">
        <v>76</v>
      </c>
      <c r="O740">
        <v>312</v>
      </c>
      <c r="P740">
        <v>62.4</v>
      </c>
      <c r="Q740" t="s">
        <v>26</v>
      </c>
      <c r="R740" t="s">
        <v>27</v>
      </c>
      <c r="S740">
        <v>4403</v>
      </c>
      <c r="T740" t="s">
        <v>34</v>
      </c>
      <c r="U740" t="str">
        <f t="shared" si="11"/>
        <v>Pass</v>
      </c>
    </row>
    <row r="741" spans="1:21">
      <c r="A741" t="s">
        <v>1556</v>
      </c>
      <c r="B741" t="s">
        <v>1281</v>
      </c>
      <c r="C741" t="s">
        <v>37</v>
      </c>
      <c r="D741">
        <v>12</v>
      </c>
      <c r="E741" t="s">
        <v>26</v>
      </c>
      <c r="F741">
        <v>16</v>
      </c>
      <c r="G741" t="s">
        <v>64</v>
      </c>
      <c r="H741" t="s">
        <v>1469</v>
      </c>
      <c r="I741">
        <v>62</v>
      </c>
      <c r="J741">
        <v>76</v>
      </c>
      <c r="K741">
        <v>50</v>
      </c>
      <c r="L741">
        <v>86</v>
      </c>
      <c r="M741">
        <v>89</v>
      </c>
      <c r="N741">
        <v>91</v>
      </c>
      <c r="O741">
        <v>392</v>
      </c>
      <c r="P741">
        <v>78.400000000000006</v>
      </c>
      <c r="Q741" t="s">
        <v>40</v>
      </c>
      <c r="R741" t="s">
        <v>27</v>
      </c>
      <c r="S741">
        <v>2636</v>
      </c>
      <c r="T741" t="s">
        <v>48</v>
      </c>
      <c r="U741" t="str">
        <f t="shared" si="11"/>
        <v>Pass</v>
      </c>
    </row>
    <row r="742" spans="1:21">
      <c r="A742" t="s">
        <v>1557</v>
      </c>
      <c r="B742" t="s">
        <v>586</v>
      </c>
      <c r="C742" t="s">
        <v>37</v>
      </c>
      <c r="D742">
        <v>11</v>
      </c>
      <c r="E742" t="s">
        <v>26</v>
      </c>
      <c r="F742">
        <v>15</v>
      </c>
      <c r="G742" t="s">
        <v>64</v>
      </c>
      <c r="H742" t="s">
        <v>1558</v>
      </c>
      <c r="I742">
        <v>70</v>
      </c>
      <c r="J742">
        <v>97</v>
      </c>
      <c r="K742">
        <v>53</v>
      </c>
      <c r="L742">
        <v>70</v>
      </c>
      <c r="M742">
        <v>45</v>
      </c>
      <c r="N742">
        <v>92</v>
      </c>
      <c r="O742">
        <v>357</v>
      </c>
      <c r="P742">
        <v>71.400000000000006</v>
      </c>
      <c r="Q742" t="s">
        <v>40</v>
      </c>
      <c r="R742" t="s">
        <v>41</v>
      </c>
      <c r="S742">
        <v>4189</v>
      </c>
      <c r="T742" t="s">
        <v>48</v>
      </c>
      <c r="U742" t="str">
        <f t="shared" si="11"/>
        <v>Pass</v>
      </c>
    </row>
    <row r="743" spans="1:21">
      <c r="A743" t="s">
        <v>1559</v>
      </c>
      <c r="B743" t="s">
        <v>926</v>
      </c>
      <c r="C743" t="s">
        <v>22</v>
      </c>
      <c r="D743">
        <v>12</v>
      </c>
      <c r="E743" t="s">
        <v>31</v>
      </c>
      <c r="F743">
        <v>16</v>
      </c>
      <c r="G743" t="s">
        <v>32</v>
      </c>
      <c r="H743" t="s">
        <v>1560</v>
      </c>
      <c r="I743">
        <v>69</v>
      </c>
      <c r="J743">
        <v>74</v>
      </c>
      <c r="K743">
        <v>69</v>
      </c>
      <c r="L743">
        <v>45</v>
      </c>
      <c r="M743">
        <v>65</v>
      </c>
      <c r="N743">
        <v>90</v>
      </c>
      <c r="O743">
        <v>343</v>
      </c>
      <c r="P743">
        <v>68.599999999999994</v>
      </c>
      <c r="Q743" t="s">
        <v>26</v>
      </c>
      <c r="R743" t="s">
        <v>41</v>
      </c>
      <c r="S743">
        <v>1834</v>
      </c>
      <c r="T743" t="s">
        <v>70</v>
      </c>
      <c r="U743" t="str">
        <f t="shared" si="11"/>
        <v>Pass</v>
      </c>
    </row>
    <row r="744" spans="1:21">
      <c r="A744" t="s">
        <v>1561</v>
      </c>
      <c r="B744" t="s">
        <v>181</v>
      </c>
      <c r="C744" t="s">
        <v>37</v>
      </c>
      <c r="D744">
        <v>2</v>
      </c>
      <c r="E744" t="s">
        <v>23</v>
      </c>
      <c r="F744">
        <v>8</v>
      </c>
      <c r="G744" t="s">
        <v>24</v>
      </c>
      <c r="H744" t="s">
        <v>346</v>
      </c>
      <c r="I744">
        <v>91</v>
      </c>
      <c r="J744">
        <v>55</v>
      </c>
      <c r="K744">
        <v>80</v>
      </c>
      <c r="L744">
        <v>59</v>
      </c>
      <c r="M744">
        <v>61</v>
      </c>
      <c r="N744">
        <v>45</v>
      </c>
      <c r="O744">
        <v>300</v>
      </c>
      <c r="P744">
        <v>60</v>
      </c>
      <c r="Q744" t="s">
        <v>26</v>
      </c>
      <c r="R744" t="s">
        <v>27</v>
      </c>
      <c r="S744">
        <v>1738</v>
      </c>
      <c r="T744" t="s">
        <v>48</v>
      </c>
      <c r="U744" t="str">
        <f t="shared" si="11"/>
        <v>Pass</v>
      </c>
    </row>
    <row r="745" spans="1:21">
      <c r="A745" t="s">
        <v>1562</v>
      </c>
      <c r="B745" t="s">
        <v>332</v>
      </c>
      <c r="C745" t="s">
        <v>22</v>
      </c>
      <c r="D745">
        <v>6</v>
      </c>
      <c r="E745" t="s">
        <v>23</v>
      </c>
      <c r="F745">
        <v>11</v>
      </c>
      <c r="G745" t="s">
        <v>38</v>
      </c>
      <c r="H745" t="s">
        <v>1222</v>
      </c>
      <c r="I745">
        <v>77</v>
      </c>
      <c r="J745">
        <v>48</v>
      </c>
      <c r="K745">
        <v>45</v>
      </c>
      <c r="L745">
        <v>60</v>
      </c>
      <c r="M745">
        <v>84</v>
      </c>
      <c r="N745">
        <v>69</v>
      </c>
      <c r="O745">
        <v>306</v>
      </c>
      <c r="P745">
        <v>61.2</v>
      </c>
      <c r="Q745" t="s">
        <v>26</v>
      </c>
      <c r="R745" t="s">
        <v>41</v>
      </c>
      <c r="S745">
        <v>3258</v>
      </c>
      <c r="T745" t="s">
        <v>66</v>
      </c>
      <c r="U745" t="str">
        <f t="shared" si="11"/>
        <v>Pass</v>
      </c>
    </row>
    <row r="746" spans="1:21">
      <c r="A746" t="s">
        <v>1563</v>
      </c>
      <c r="B746" t="s">
        <v>205</v>
      </c>
      <c r="C746" t="s">
        <v>22</v>
      </c>
      <c r="D746">
        <v>1</v>
      </c>
      <c r="E746" t="s">
        <v>31</v>
      </c>
      <c r="F746">
        <v>7</v>
      </c>
      <c r="G746" t="s">
        <v>58</v>
      </c>
      <c r="H746" t="s">
        <v>715</v>
      </c>
      <c r="I746">
        <v>79</v>
      </c>
      <c r="J746">
        <v>38</v>
      </c>
      <c r="K746">
        <v>84</v>
      </c>
      <c r="L746">
        <v>71</v>
      </c>
      <c r="M746">
        <v>69</v>
      </c>
      <c r="N746">
        <v>65</v>
      </c>
      <c r="O746">
        <v>327</v>
      </c>
      <c r="P746">
        <v>65.400000000000006</v>
      </c>
      <c r="Q746" t="s">
        <v>26</v>
      </c>
      <c r="R746" t="s">
        <v>27</v>
      </c>
      <c r="S746">
        <v>3977</v>
      </c>
      <c r="T746" t="s">
        <v>28</v>
      </c>
      <c r="U746" t="str">
        <f t="shared" si="11"/>
        <v>Pass</v>
      </c>
    </row>
    <row r="747" spans="1:21">
      <c r="A747" t="s">
        <v>1564</v>
      </c>
      <c r="B747" t="s">
        <v>68</v>
      </c>
      <c r="C747" t="s">
        <v>22</v>
      </c>
      <c r="D747">
        <v>7</v>
      </c>
      <c r="E747" t="s">
        <v>23</v>
      </c>
      <c r="F747">
        <v>12</v>
      </c>
      <c r="G747" t="s">
        <v>45</v>
      </c>
      <c r="H747" t="s">
        <v>333</v>
      </c>
      <c r="I747">
        <v>94</v>
      </c>
      <c r="J747">
        <v>45</v>
      </c>
      <c r="K747">
        <v>47</v>
      </c>
      <c r="L747">
        <v>66</v>
      </c>
      <c r="M747">
        <v>52</v>
      </c>
      <c r="N747">
        <v>68</v>
      </c>
      <c r="O747">
        <v>278</v>
      </c>
      <c r="P747">
        <v>55.6</v>
      </c>
      <c r="Q747" t="s">
        <v>31</v>
      </c>
      <c r="R747" t="s">
        <v>27</v>
      </c>
      <c r="S747">
        <v>3703</v>
      </c>
      <c r="T747" t="s">
        <v>34</v>
      </c>
      <c r="U747" t="str">
        <f t="shared" si="11"/>
        <v>Pass</v>
      </c>
    </row>
    <row r="748" spans="1:21">
      <c r="A748" t="s">
        <v>1565</v>
      </c>
      <c r="B748" t="s">
        <v>982</v>
      </c>
      <c r="C748" t="s">
        <v>22</v>
      </c>
      <c r="D748">
        <v>5</v>
      </c>
      <c r="E748" t="s">
        <v>23</v>
      </c>
      <c r="F748">
        <v>9</v>
      </c>
      <c r="G748" t="s">
        <v>24</v>
      </c>
      <c r="H748" t="s">
        <v>1566</v>
      </c>
      <c r="I748">
        <v>66</v>
      </c>
      <c r="J748">
        <v>59</v>
      </c>
      <c r="K748">
        <v>53</v>
      </c>
      <c r="L748">
        <v>56</v>
      </c>
      <c r="M748">
        <v>48</v>
      </c>
      <c r="N748">
        <v>86</v>
      </c>
      <c r="O748">
        <v>302</v>
      </c>
      <c r="P748">
        <v>60.4</v>
      </c>
      <c r="Q748" t="s">
        <v>26</v>
      </c>
      <c r="R748" t="s">
        <v>27</v>
      </c>
      <c r="S748">
        <v>4458</v>
      </c>
      <c r="T748" t="s">
        <v>42</v>
      </c>
      <c r="U748" t="str">
        <f t="shared" si="11"/>
        <v>Pass</v>
      </c>
    </row>
    <row r="749" spans="1:21">
      <c r="A749" t="s">
        <v>1567</v>
      </c>
      <c r="B749" t="s">
        <v>193</v>
      </c>
      <c r="C749" t="s">
        <v>22</v>
      </c>
      <c r="D749">
        <v>2</v>
      </c>
      <c r="E749" t="s">
        <v>23</v>
      </c>
      <c r="F749">
        <v>8</v>
      </c>
      <c r="G749" t="s">
        <v>32</v>
      </c>
      <c r="H749" t="s">
        <v>1568</v>
      </c>
      <c r="I749">
        <v>90</v>
      </c>
      <c r="J749">
        <v>64</v>
      </c>
      <c r="K749">
        <v>84</v>
      </c>
      <c r="L749">
        <v>93</v>
      </c>
      <c r="M749">
        <v>53</v>
      </c>
      <c r="N749">
        <v>43</v>
      </c>
      <c r="O749">
        <v>337</v>
      </c>
      <c r="P749">
        <v>67.400000000000006</v>
      </c>
      <c r="Q749" t="s">
        <v>26</v>
      </c>
      <c r="R749" t="s">
        <v>27</v>
      </c>
      <c r="S749">
        <v>2290</v>
      </c>
      <c r="T749" t="s">
        <v>70</v>
      </c>
      <c r="U749" t="str">
        <f t="shared" si="11"/>
        <v>Pass</v>
      </c>
    </row>
    <row r="750" spans="1:21">
      <c r="A750" t="s">
        <v>1569</v>
      </c>
      <c r="B750" t="s">
        <v>1142</v>
      </c>
      <c r="C750" t="s">
        <v>22</v>
      </c>
      <c r="D750">
        <v>7</v>
      </c>
      <c r="E750" t="s">
        <v>31</v>
      </c>
      <c r="F750">
        <v>13</v>
      </c>
      <c r="G750" t="s">
        <v>38</v>
      </c>
      <c r="H750" t="s">
        <v>309</v>
      </c>
      <c r="I750">
        <v>74</v>
      </c>
      <c r="J750">
        <v>71</v>
      </c>
      <c r="K750">
        <v>52</v>
      </c>
      <c r="L750">
        <v>67</v>
      </c>
      <c r="M750">
        <v>54</v>
      </c>
      <c r="N750">
        <v>37</v>
      </c>
      <c r="O750">
        <v>281</v>
      </c>
      <c r="P750">
        <v>56.2</v>
      </c>
      <c r="Q750" t="s">
        <v>31</v>
      </c>
      <c r="R750" t="s">
        <v>27</v>
      </c>
      <c r="S750">
        <v>1992</v>
      </c>
      <c r="T750" t="s">
        <v>42</v>
      </c>
      <c r="U750" t="str">
        <f t="shared" si="11"/>
        <v>Pass</v>
      </c>
    </row>
    <row r="751" spans="1:21">
      <c r="A751" t="s">
        <v>1570</v>
      </c>
      <c r="B751" t="s">
        <v>375</v>
      </c>
      <c r="C751" t="s">
        <v>37</v>
      </c>
      <c r="D751">
        <v>1</v>
      </c>
      <c r="E751" t="s">
        <v>26</v>
      </c>
      <c r="F751">
        <v>6</v>
      </c>
      <c r="G751" t="s">
        <v>58</v>
      </c>
      <c r="H751" t="s">
        <v>1571</v>
      </c>
      <c r="I751">
        <v>65</v>
      </c>
      <c r="J751">
        <v>86</v>
      </c>
      <c r="K751">
        <v>55</v>
      </c>
      <c r="L751">
        <v>57</v>
      </c>
      <c r="M751">
        <v>43</v>
      </c>
      <c r="N751">
        <v>76</v>
      </c>
      <c r="O751">
        <v>317</v>
      </c>
      <c r="P751">
        <v>63.4</v>
      </c>
      <c r="Q751" t="s">
        <v>26</v>
      </c>
      <c r="R751" t="s">
        <v>41</v>
      </c>
      <c r="S751">
        <v>2947</v>
      </c>
      <c r="T751" t="s">
        <v>42</v>
      </c>
      <c r="U751" t="str">
        <f t="shared" si="11"/>
        <v>Pass</v>
      </c>
    </row>
    <row r="752" spans="1:21">
      <c r="A752" t="s">
        <v>1572</v>
      </c>
      <c r="B752" t="s">
        <v>426</v>
      </c>
      <c r="C752" t="s">
        <v>22</v>
      </c>
      <c r="D752">
        <v>9</v>
      </c>
      <c r="E752" t="s">
        <v>31</v>
      </c>
      <c r="F752">
        <v>15</v>
      </c>
      <c r="G752" t="s">
        <v>45</v>
      </c>
      <c r="H752" t="s">
        <v>1573</v>
      </c>
      <c r="I752">
        <v>98</v>
      </c>
      <c r="J752">
        <v>90</v>
      </c>
      <c r="K752">
        <v>63</v>
      </c>
      <c r="L752">
        <v>79</v>
      </c>
      <c r="M752">
        <v>71</v>
      </c>
      <c r="N752">
        <v>37</v>
      </c>
      <c r="O752">
        <v>340</v>
      </c>
      <c r="P752">
        <v>68</v>
      </c>
      <c r="Q752" t="s">
        <v>26</v>
      </c>
      <c r="R752" t="s">
        <v>41</v>
      </c>
      <c r="S752">
        <v>2392</v>
      </c>
      <c r="T752" t="s">
        <v>34</v>
      </c>
      <c r="U752" t="str">
        <f t="shared" si="11"/>
        <v>Pass</v>
      </c>
    </row>
    <row r="753" spans="1:21">
      <c r="A753" t="s">
        <v>1574</v>
      </c>
      <c r="B753" t="s">
        <v>184</v>
      </c>
      <c r="C753" t="s">
        <v>37</v>
      </c>
      <c r="D753">
        <v>10</v>
      </c>
      <c r="E753" t="s">
        <v>47</v>
      </c>
      <c r="F753">
        <v>14</v>
      </c>
      <c r="G753" t="s">
        <v>24</v>
      </c>
      <c r="H753" t="s">
        <v>182</v>
      </c>
      <c r="I753">
        <v>92</v>
      </c>
      <c r="J753">
        <v>44</v>
      </c>
      <c r="K753">
        <v>87</v>
      </c>
      <c r="L753">
        <v>83</v>
      </c>
      <c r="M753">
        <v>85</v>
      </c>
      <c r="N753">
        <v>72</v>
      </c>
      <c r="O753">
        <v>371</v>
      </c>
      <c r="P753">
        <v>74.2</v>
      </c>
      <c r="Q753" t="s">
        <v>40</v>
      </c>
      <c r="R753" t="s">
        <v>41</v>
      </c>
      <c r="S753">
        <v>2738</v>
      </c>
      <c r="T753" t="s">
        <v>42</v>
      </c>
      <c r="U753" t="str">
        <f t="shared" si="11"/>
        <v>Pass</v>
      </c>
    </row>
    <row r="754" spans="1:21">
      <c r="A754" t="s">
        <v>1575</v>
      </c>
      <c r="B754" t="s">
        <v>134</v>
      </c>
      <c r="C754" t="s">
        <v>37</v>
      </c>
      <c r="D754">
        <v>12</v>
      </c>
      <c r="E754" t="s">
        <v>47</v>
      </c>
      <c r="F754">
        <v>18</v>
      </c>
      <c r="G754" t="s">
        <v>58</v>
      </c>
      <c r="H754" t="s">
        <v>1576</v>
      </c>
      <c r="I754">
        <v>93</v>
      </c>
      <c r="J754">
        <v>44</v>
      </c>
      <c r="K754">
        <v>76</v>
      </c>
      <c r="L754">
        <v>54</v>
      </c>
      <c r="M754">
        <v>44</v>
      </c>
      <c r="N754">
        <v>54</v>
      </c>
      <c r="O754">
        <v>272</v>
      </c>
      <c r="P754">
        <v>54.4</v>
      </c>
      <c r="Q754" t="s">
        <v>31</v>
      </c>
      <c r="R754" t="s">
        <v>41</v>
      </c>
      <c r="S754">
        <v>3606</v>
      </c>
      <c r="T754" t="s">
        <v>42</v>
      </c>
      <c r="U754" t="str">
        <f t="shared" si="11"/>
        <v>Fail</v>
      </c>
    </row>
    <row r="755" spans="1:21">
      <c r="A755" t="s">
        <v>1577</v>
      </c>
      <c r="B755" t="s">
        <v>305</v>
      </c>
      <c r="C755" t="s">
        <v>22</v>
      </c>
      <c r="D755">
        <v>2</v>
      </c>
      <c r="E755" t="s">
        <v>26</v>
      </c>
      <c r="F755">
        <v>6</v>
      </c>
      <c r="G755" t="s">
        <v>38</v>
      </c>
      <c r="H755" t="s">
        <v>1578</v>
      </c>
      <c r="I755">
        <v>86</v>
      </c>
      <c r="J755">
        <v>88</v>
      </c>
      <c r="K755">
        <v>89</v>
      </c>
      <c r="L755">
        <v>86</v>
      </c>
      <c r="M755">
        <v>89</v>
      </c>
      <c r="N755">
        <v>66</v>
      </c>
      <c r="O755">
        <v>418</v>
      </c>
      <c r="P755">
        <v>83.6</v>
      </c>
      <c r="Q755" t="s">
        <v>47</v>
      </c>
      <c r="R755" t="s">
        <v>27</v>
      </c>
      <c r="S755">
        <v>3469</v>
      </c>
      <c r="T755" t="s">
        <v>66</v>
      </c>
      <c r="U755" t="str">
        <f t="shared" si="11"/>
        <v>Pass</v>
      </c>
    </row>
    <row r="756" spans="1:21">
      <c r="A756" t="s">
        <v>1579</v>
      </c>
      <c r="B756" t="s">
        <v>219</v>
      </c>
      <c r="C756" t="s">
        <v>37</v>
      </c>
      <c r="D756">
        <v>8</v>
      </c>
      <c r="E756" t="s">
        <v>23</v>
      </c>
      <c r="F756">
        <v>12</v>
      </c>
      <c r="G756" t="s">
        <v>38</v>
      </c>
      <c r="H756" t="s">
        <v>502</v>
      </c>
      <c r="I756">
        <v>78</v>
      </c>
      <c r="J756">
        <v>66</v>
      </c>
      <c r="K756">
        <v>46</v>
      </c>
      <c r="L756">
        <v>83</v>
      </c>
      <c r="M756">
        <v>56</v>
      </c>
      <c r="N756">
        <v>54</v>
      </c>
      <c r="O756">
        <v>305</v>
      </c>
      <c r="P756">
        <v>61</v>
      </c>
      <c r="Q756" t="s">
        <v>26</v>
      </c>
      <c r="R756" t="s">
        <v>41</v>
      </c>
      <c r="S756">
        <v>3155</v>
      </c>
      <c r="T756" t="s">
        <v>28</v>
      </c>
      <c r="U756" t="str">
        <f t="shared" si="11"/>
        <v>Pass</v>
      </c>
    </row>
    <row r="757" spans="1:21">
      <c r="A757" t="s">
        <v>1580</v>
      </c>
      <c r="B757" t="s">
        <v>211</v>
      </c>
      <c r="C757" t="s">
        <v>22</v>
      </c>
      <c r="D757">
        <v>6</v>
      </c>
      <c r="E757" t="s">
        <v>31</v>
      </c>
      <c r="F757">
        <v>10</v>
      </c>
      <c r="G757" t="s">
        <v>64</v>
      </c>
      <c r="H757" t="s">
        <v>958</v>
      </c>
      <c r="I757">
        <v>63</v>
      </c>
      <c r="J757">
        <v>50</v>
      </c>
      <c r="K757">
        <v>82</v>
      </c>
      <c r="L757">
        <v>99</v>
      </c>
      <c r="M757">
        <v>55</v>
      </c>
      <c r="N757">
        <v>39</v>
      </c>
      <c r="O757">
        <v>325</v>
      </c>
      <c r="P757">
        <v>65</v>
      </c>
      <c r="Q757" t="s">
        <v>26</v>
      </c>
      <c r="R757" t="s">
        <v>41</v>
      </c>
      <c r="S757">
        <v>2812</v>
      </c>
      <c r="T757" t="s">
        <v>34</v>
      </c>
      <c r="U757" t="str">
        <f t="shared" si="11"/>
        <v>Pass</v>
      </c>
    </row>
    <row r="758" spans="1:21">
      <c r="A758" t="s">
        <v>1581</v>
      </c>
      <c r="B758" t="s">
        <v>211</v>
      </c>
      <c r="C758" t="s">
        <v>37</v>
      </c>
      <c r="D758">
        <v>3</v>
      </c>
      <c r="E758" t="s">
        <v>31</v>
      </c>
      <c r="F758">
        <v>8</v>
      </c>
      <c r="G758" t="s">
        <v>32</v>
      </c>
      <c r="H758" t="s">
        <v>1582</v>
      </c>
      <c r="I758">
        <v>90</v>
      </c>
      <c r="J758">
        <v>88</v>
      </c>
      <c r="K758">
        <v>79</v>
      </c>
      <c r="L758">
        <v>76</v>
      </c>
      <c r="M758">
        <v>54</v>
      </c>
      <c r="N758">
        <v>47</v>
      </c>
      <c r="O758">
        <v>344</v>
      </c>
      <c r="P758">
        <v>68.8</v>
      </c>
      <c r="Q758" t="s">
        <v>26</v>
      </c>
      <c r="R758" t="s">
        <v>27</v>
      </c>
      <c r="S758">
        <v>4424</v>
      </c>
      <c r="T758" t="s">
        <v>70</v>
      </c>
      <c r="U758" t="str">
        <f t="shared" si="11"/>
        <v>Pass</v>
      </c>
    </row>
    <row r="759" spans="1:21">
      <c r="A759" t="s">
        <v>1583</v>
      </c>
      <c r="B759" t="s">
        <v>256</v>
      </c>
      <c r="C759" t="s">
        <v>37</v>
      </c>
      <c r="D759">
        <v>7</v>
      </c>
      <c r="E759" t="s">
        <v>31</v>
      </c>
      <c r="F759">
        <v>13</v>
      </c>
      <c r="G759" t="s">
        <v>24</v>
      </c>
      <c r="H759" t="s">
        <v>1584</v>
      </c>
      <c r="I759">
        <v>88</v>
      </c>
      <c r="J759">
        <v>74</v>
      </c>
      <c r="K759">
        <v>63</v>
      </c>
      <c r="L759">
        <v>74</v>
      </c>
      <c r="M759">
        <v>51</v>
      </c>
      <c r="N759">
        <v>99</v>
      </c>
      <c r="O759">
        <v>361</v>
      </c>
      <c r="P759">
        <v>72.2</v>
      </c>
      <c r="Q759" t="s">
        <v>40</v>
      </c>
      <c r="R759" t="s">
        <v>41</v>
      </c>
      <c r="S759">
        <v>4076</v>
      </c>
      <c r="T759" t="s">
        <v>48</v>
      </c>
      <c r="U759" t="str">
        <f t="shared" si="11"/>
        <v>Pass</v>
      </c>
    </row>
    <row r="760" spans="1:21">
      <c r="A760" t="s">
        <v>1585</v>
      </c>
      <c r="B760" t="s">
        <v>389</v>
      </c>
      <c r="C760" t="s">
        <v>22</v>
      </c>
      <c r="D760">
        <v>2</v>
      </c>
      <c r="E760" t="s">
        <v>26</v>
      </c>
      <c r="F760">
        <v>8</v>
      </c>
      <c r="G760" t="s">
        <v>58</v>
      </c>
      <c r="H760" t="s">
        <v>1395</v>
      </c>
      <c r="I760">
        <v>72</v>
      </c>
      <c r="J760">
        <v>72</v>
      </c>
      <c r="K760">
        <v>78</v>
      </c>
      <c r="L760">
        <v>50</v>
      </c>
      <c r="M760">
        <v>50</v>
      </c>
      <c r="N760">
        <v>99</v>
      </c>
      <c r="O760">
        <v>349</v>
      </c>
      <c r="P760">
        <v>69.8</v>
      </c>
      <c r="Q760" t="s">
        <v>26</v>
      </c>
      <c r="R760" t="s">
        <v>27</v>
      </c>
      <c r="S760">
        <v>3394</v>
      </c>
      <c r="T760" t="s">
        <v>42</v>
      </c>
      <c r="U760" t="str">
        <f t="shared" si="11"/>
        <v>Pass</v>
      </c>
    </row>
    <row r="761" spans="1:21">
      <c r="A761" t="s">
        <v>1586</v>
      </c>
      <c r="B761" t="s">
        <v>562</v>
      </c>
      <c r="C761" t="s">
        <v>37</v>
      </c>
      <c r="D761">
        <v>9</v>
      </c>
      <c r="E761" t="s">
        <v>47</v>
      </c>
      <c r="F761">
        <v>15</v>
      </c>
      <c r="G761" t="s">
        <v>58</v>
      </c>
      <c r="H761" t="s">
        <v>1587</v>
      </c>
      <c r="I761">
        <v>63</v>
      </c>
      <c r="J761">
        <v>61</v>
      </c>
      <c r="K761">
        <v>89</v>
      </c>
      <c r="L761">
        <v>48</v>
      </c>
      <c r="M761">
        <v>37</v>
      </c>
      <c r="N761">
        <v>61</v>
      </c>
      <c r="O761">
        <v>296</v>
      </c>
      <c r="P761">
        <v>59.2</v>
      </c>
      <c r="Q761" t="s">
        <v>31</v>
      </c>
      <c r="R761" t="s">
        <v>27</v>
      </c>
      <c r="S761">
        <v>4395</v>
      </c>
      <c r="T761" t="s">
        <v>42</v>
      </c>
      <c r="U761" t="str">
        <f t="shared" si="11"/>
        <v>Pass</v>
      </c>
    </row>
    <row r="762" spans="1:21">
      <c r="A762" t="s">
        <v>1588</v>
      </c>
      <c r="B762" t="s">
        <v>370</v>
      </c>
      <c r="C762" t="s">
        <v>22</v>
      </c>
      <c r="D762">
        <v>2</v>
      </c>
      <c r="E762" t="s">
        <v>26</v>
      </c>
      <c r="F762">
        <v>7</v>
      </c>
      <c r="G762" t="s">
        <v>32</v>
      </c>
      <c r="H762" t="s">
        <v>509</v>
      </c>
      <c r="I762">
        <v>97</v>
      </c>
      <c r="J762">
        <v>87</v>
      </c>
      <c r="K762">
        <v>68</v>
      </c>
      <c r="L762">
        <v>41</v>
      </c>
      <c r="M762">
        <v>45</v>
      </c>
      <c r="N762">
        <v>81</v>
      </c>
      <c r="O762">
        <v>322</v>
      </c>
      <c r="P762">
        <v>64.400000000000006</v>
      </c>
      <c r="Q762" t="s">
        <v>26</v>
      </c>
      <c r="R762" t="s">
        <v>41</v>
      </c>
      <c r="S762">
        <v>4665</v>
      </c>
      <c r="T762" t="s">
        <v>66</v>
      </c>
      <c r="U762" t="str">
        <f t="shared" si="11"/>
        <v>Pass</v>
      </c>
    </row>
    <row r="763" spans="1:21">
      <c r="A763" t="s">
        <v>1589</v>
      </c>
      <c r="B763" t="s">
        <v>250</v>
      </c>
      <c r="C763" t="s">
        <v>37</v>
      </c>
      <c r="D763">
        <v>7</v>
      </c>
      <c r="E763" t="s">
        <v>47</v>
      </c>
      <c r="F763">
        <v>12</v>
      </c>
      <c r="G763" t="s">
        <v>45</v>
      </c>
      <c r="H763" t="s">
        <v>324</v>
      </c>
      <c r="I763">
        <v>99</v>
      </c>
      <c r="J763">
        <v>69</v>
      </c>
      <c r="K763">
        <v>62</v>
      </c>
      <c r="L763">
        <v>99</v>
      </c>
      <c r="M763">
        <v>100</v>
      </c>
      <c r="N763">
        <v>57</v>
      </c>
      <c r="O763">
        <v>387</v>
      </c>
      <c r="P763">
        <v>77.400000000000006</v>
      </c>
      <c r="Q763" t="s">
        <v>40</v>
      </c>
      <c r="R763" t="s">
        <v>27</v>
      </c>
      <c r="S763">
        <v>4134</v>
      </c>
      <c r="T763" t="s">
        <v>48</v>
      </c>
      <c r="U763" t="str">
        <f t="shared" si="11"/>
        <v>Pass</v>
      </c>
    </row>
    <row r="764" spans="1:21">
      <c r="A764" t="s">
        <v>1590</v>
      </c>
      <c r="B764" t="s">
        <v>1234</v>
      </c>
      <c r="C764" t="s">
        <v>22</v>
      </c>
      <c r="D764">
        <v>6</v>
      </c>
      <c r="E764" t="s">
        <v>23</v>
      </c>
      <c r="F764">
        <v>11</v>
      </c>
      <c r="G764" t="s">
        <v>54</v>
      </c>
      <c r="H764" t="s">
        <v>1591</v>
      </c>
      <c r="I764">
        <v>81</v>
      </c>
      <c r="J764">
        <v>88</v>
      </c>
      <c r="K764">
        <v>72</v>
      </c>
      <c r="L764">
        <v>56</v>
      </c>
      <c r="M764">
        <v>62</v>
      </c>
      <c r="N764">
        <v>53</v>
      </c>
      <c r="O764">
        <v>331</v>
      </c>
      <c r="P764">
        <v>66.2</v>
      </c>
      <c r="Q764" t="s">
        <v>26</v>
      </c>
      <c r="R764" t="s">
        <v>41</v>
      </c>
      <c r="S764">
        <v>2697</v>
      </c>
      <c r="T764" t="s">
        <v>48</v>
      </c>
      <c r="U764" t="str">
        <f t="shared" si="11"/>
        <v>Pass</v>
      </c>
    </row>
    <row r="765" spans="1:21">
      <c r="A765" t="s">
        <v>1592</v>
      </c>
      <c r="B765" t="s">
        <v>332</v>
      </c>
      <c r="C765" t="s">
        <v>37</v>
      </c>
      <c r="D765">
        <v>10</v>
      </c>
      <c r="E765" t="s">
        <v>31</v>
      </c>
      <c r="F765">
        <v>16</v>
      </c>
      <c r="G765" t="s">
        <v>24</v>
      </c>
      <c r="H765" t="s">
        <v>1593</v>
      </c>
      <c r="I765">
        <v>89</v>
      </c>
      <c r="J765">
        <v>60</v>
      </c>
      <c r="K765">
        <v>40</v>
      </c>
      <c r="L765">
        <v>39</v>
      </c>
      <c r="M765">
        <v>96</v>
      </c>
      <c r="N765">
        <v>72</v>
      </c>
      <c r="O765">
        <v>307</v>
      </c>
      <c r="P765">
        <v>61.4</v>
      </c>
      <c r="Q765" t="s">
        <v>26</v>
      </c>
      <c r="R765" t="s">
        <v>41</v>
      </c>
      <c r="S765">
        <v>3871</v>
      </c>
      <c r="T765" t="s">
        <v>28</v>
      </c>
      <c r="U765" t="str">
        <f t="shared" si="11"/>
        <v>Pass</v>
      </c>
    </row>
    <row r="766" spans="1:21">
      <c r="A766" t="s">
        <v>1594</v>
      </c>
      <c r="B766" t="s">
        <v>131</v>
      </c>
      <c r="C766" t="s">
        <v>22</v>
      </c>
      <c r="D766">
        <v>3</v>
      </c>
      <c r="E766" t="s">
        <v>47</v>
      </c>
      <c r="F766">
        <v>9</v>
      </c>
      <c r="G766" t="s">
        <v>24</v>
      </c>
      <c r="H766" t="s">
        <v>1595</v>
      </c>
      <c r="I766">
        <v>62</v>
      </c>
      <c r="J766">
        <v>99</v>
      </c>
      <c r="K766">
        <v>84</v>
      </c>
      <c r="L766">
        <v>61</v>
      </c>
      <c r="M766">
        <v>89</v>
      </c>
      <c r="N766">
        <v>90</v>
      </c>
      <c r="O766">
        <v>423</v>
      </c>
      <c r="P766">
        <v>84.6</v>
      </c>
      <c r="Q766" t="s">
        <v>47</v>
      </c>
      <c r="R766" t="s">
        <v>41</v>
      </c>
      <c r="S766">
        <v>2445</v>
      </c>
      <c r="T766" t="s">
        <v>48</v>
      </c>
      <c r="U766" t="str">
        <f t="shared" si="11"/>
        <v>Pass</v>
      </c>
    </row>
    <row r="767" spans="1:21">
      <c r="A767" t="s">
        <v>1596</v>
      </c>
      <c r="B767" t="s">
        <v>110</v>
      </c>
      <c r="C767" t="s">
        <v>37</v>
      </c>
      <c r="D767">
        <v>11</v>
      </c>
      <c r="E767" t="s">
        <v>31</v>
      </c>
      <c r="F767">
        <v>15</v>
      </c>
      <c r="G767" t="s">
        <v>64</v>
      </c>
      <c r="H767" t="s">
        <v>1597</v>
      </c>
      <c r="I767">
        <v>78</v>
      </c>
      <c r="J767">
        <v>93</v>
      </c>
      <c r="K767">
        <v>98</v>
      </c>
      <c r="L767">
        <v>44</v>
      </c>
      <c r="M767">
        <v>41</v>
      </c>
      <c r="N767">
        <v>53</v>
      </c>
      <c r="O767">
        <v>329</v>
      </c>
      <c r="P767">
        <v>65.8</v>
      </c>
      <c r="Q767" t="s">
        <v>26</v>
      </c>
      <c r="R767" t="s">
        <v>27</v>
      </c>
      <c r="S767">
        <v>4102</v>
      </c>
      <c r="T767" t="s">
        <v>70</v>
      </c>
      <c r="U767" t="str">
        <f t="shared" si="11"/>
        <v>Pass</v>
      </c>
    </row>
    <row r="768" spans="1:21">
      <c r="A768" t="s">
        <v>1598</v>
      </c>
      <c r="B768" t="s">
        <v>50</v>
      </c>
      <c r="C768" t="s">
        <v>37</v>
      </c>
      <c r="D768">
        <v>1</v>
      </c>
      <c r="E768" t="s">
        <v>31</v>
      </c>
      <c r="F768">
        <v>6</v>
      </c>
      <c r="G768" t="s">
        <v>58</v>
      </c>
      <c r="H768" t="s">
        <v>1190</v>
      </c>
      <c r="I768">
        <v>68</v>
      </c>
      <c r="J768">
        <v>81</v>
      </c>
      <c r="K768">
        <v>87</v>
      </c>
      <c r="L768">
        <v>90</v>
      </c>
      <c r="M768">
        <v>90</v>
      </c>
      <c r="N768">
        <v>47</v>
      </c>
      <c r="O768">
        <v>395</v>
      </c>
      <c r="P768">
        <v>79</v>
      </c>
      <c r="Q768" t="s">
        <v>40</v>
      </c>
      <c r="R768" t="s">
        <v>41</v>
      </c>
      <c r="S768">
        <v>3179</v>
      </c>
      <c r="T768" t="s">
        <v>28</v>
      </c>
      <c r="U768" t="str">
        <f t="shared" si="11"/>
        <v>Pass</v>
      </c>
    </row>
    <row r="769" spans="1:21">
      <c r="A769" t="s">
        <v>1599</v>
      </c>
      <c r="B769" t="s">
        <v>302</v>
      </c>
      <c r="C769" t="s">
        <v>22</v>
      </c>
      <c r="D769">
        <v>7</v>
      </c>
      <c r="E769" t="s">
        <v>31</v>
      </c>
      <c r="F769">
        <v>11</v>
      </c>
      <c r="G769" t="s">
        <v>45</v>
      </c>
      <c r="H769" t="s">
        <v>1600</v>
      </c>
      <c r="I769">
        <v>66</v>
      </c>
      <c r="J769">
        <v>42</v>
      </c>
      <c r="K769">
        <v>71</v>
      </c>
      <c r="L769">
        <v>95</v>
      </c>
      <c r="M769">
        <v>69</v>
      </c>
      <c r="N769">
        <v>58</v>
      </c>
      <c r="O769">
        <v>335</v>
      </c>
      <c r="P769">
        <v>67</v>
      </c>
      <c r="Q769" t="s">
        <v>26</v>
      </c>
      <c r="R769" t="s">
        <v>41</v>
      </c>
      <c r="S769">
        <v>3700</v>
      </c>
      <c r="T769" t="s">
        <v>70</v>
      </c>
      <c r="U769" t="str">
        <f t="shared" si="11"/>
        <v>Pass</v>
      </c>
    </row>
    <row r="770" spans="1:21">
      <c r="A770" t="s">
        <v>1601</v>
      </c>
      <c r="B770" t="s">
        <v>1410</v>
      </c>
      <c r="C770" t="s">
        <v>37</v>
      </c>
      <c r="D770">
        <v>5</v>
      </c>
      <c r="E770" t="s">
        <v>31</v>
      </c>
      <c r="F770">
        <v>9</v>
      </c>
      <c r="G770" t="s">
        <v>45</v>
      </c>
      <c r="H770" t="s">
        <v>1602</v>
      </c>
      <c r="I770">
        <v>67</v>
      </c>
      <c r="J770">
        <v>45</v>
      </c>
      <c r="K770">
        <v>96</v>
      </c>
      <c r="L770">
        <v>60</v>
      </c>
      <c r="M770">
        <v>96</v>
      </c>
      <c r="N770">
        <v>48</v>
      </c>
      <c r="O770">
        <v>345</v>
      </c>
      <c r="P770">
        <v>69</v>
      </c>
      <c r="Q770" t="s">
        <v>26</v>
      </c>
      <c r="R770" t="s">
        <v>27</v>
      </c>
      <c r="S770">
        <v>1711</v>
      </c>
      <c r="T770" t="s">
        <v>48</v>
      </c>
      <c r="U770" t="str">
        <f t="shared" si="11"/>
        <v>Pass</v>
      </c>
    </row>
    <row r="771" spans="1:21">
      <c r="A771" t="s">
        <v>1603</v>
      </c>
      <c r="B771" t="s">
        <v>253</v>
      </c>
      <c r="C771" t="s">
        <v>37</v>
      </c>
      <c r="D771">
        <v>2</v>
      </c>
      <c r="E771" t="s">
        <v>31</v>
      </c>
      <c r="F771">
        <v>6</v>
      </c>
      <c r="G771" t="s">
        <v>54</v>
      </c>
      <c r="H771" t="s">
        <v>1604</v>
      </c>
      <c r="I771">
        <v>75</v>
      </c>
      <c r="J771">
        <v>37</v>
      </c>
      <c r="K771">
        <v>44</v>
      </c>
      <c r="L771">
        <v>61</v>
      </c>
      <c r="M771">
        <v>99</v>
      </c>
      <c r="N771">
        <v>92</v>
      </c>
      <c r="O771">
        <v>333</v>
      </c>
      <c r="P771">
        <v>66.599999999999994</v>
      </c>
      <c r="Q771" t="s">
        <v>26</v>
      </c>
      <c r="R771" t="s">
        <v>41</v>
      </c>
      <c r="S771">
        <v>4706</v>
      </c>
      <c r="T771" t="s">
        <v>34</v>
      </c>
      <c r="U771" t="str">
        <f t="shared" ref="U771:U834" si="12">IF(P771&gt;55,"Pass","Fail")</f>
        <v>Pass</v>
      </c>
    </row>
    <row r="772" spans="1:21">
      <c r="A772" t="s">
        <v>1605</v>
      </c>
      <c r="B772" t="s">
        <v>308</v>
      </c>
      <c r="C772" t="s">
        <v>37</v>
      </c>
      <c r="D772">
        <v>1</v>
      </c>
      <c r="E772" t="s">
        <v>31</v>
      </c>
      <c r="F772">
        <v>7</v>
      </c>
      <c r="G772" t="s">
        <v>45</v>
      </c>
      <c r="H772" t="s">
        <v>1606</v>
      </c>
      <c r="I772">
        <v>67</v>
      </c>
      <c r="J772">
        <v>73</v>
      </c>
      <c r="K772">
        <v>58</v>
      </c>
      <c r="L772">
        <v>64</v>
      </c>
      <c r="M772">
        <v>59</v>
      </c>
      <c r="N772">
        <v>70</v>
      </c>
      <c r="O772">
        <v>324</v>
      </c>
      <c r="P772">
        <v>64.8</v>
      </c>
      <c r="Q772" t="s">
        <v>26</v>
      </c>
      <c r="R772" t="s">
        <v>41</v>
      </c>
      <c r="S772">
        <v>2890</v>
      </c>
      <c r="T772" t="s">
        <v>42</v>
      </c>
      <c r="U772" t="str">
        <f t="shared" si="12"/>
        <v>Pass</v>
      </c>
    </row>
    <row r="773" spans="1:21">
      <c r="A773" t="s">
        <v>1607</v>
      </c>
      <c r="B773" t="s">
        <v>383</v>
      </c>
      <c r="C773" t="s">
        <v>37</v>
      </c>
      <c r="D773">
        <v>12</v>
      </c>
      <c r="E773" t="s">
        <v>47</v>
      </c>
      <c r="F773">
        <v>18</v>
      </c>
      <c r="G773" t="s">
        <v>54</v>
      </c>
      <c r="H773" t="s">
        <v>1608</v>
      </c>
      <c r="I773">
        <v>83</v>
      </c>
      <c r="J773">
        <v>68</v>
      </c>
      <c r="K773">
        <v>37</v>
      </c>
      <c r="L773">
        <v>48</v>
      </c>
      <c r="M773">
        <v>70</v>
      </c>
      <c r="N773">
        <v>35</v>
      </c>
      <c r="O773">
        <v>258</v>
      </c>
      <c r="P773">
        <v>51.6</v>
      </c>
      <c r="Q773" t="s">
        <v>31</v>
      </c>
      <c r="R773" t="s">
        <v>41</v>
      </c>
      <c r="S773">
        <v>4559</v>
      </c>
      <c r="T773" t="s">
        <v>42</v>
      </c>
      <c r="U773" t="str">
        <f t="shared" si="12"/>
        <v>Fail</v>
      </c>
    </row>
    <row r="774" spans="1:21">
      <c r="A774" t="s">
        <v>1609</v>
      </c>
      <c r="B774" t="s">
        <v>292</v>
      </c>
      <c r="C774" t="s">
        <v>22</v>
      </c>
      <c r="D774">
        <v>10</v>
      </c>
      <c r="E774" t="s">
        <v>31</v>
      </c>
      <c r="F774">
        <v>14</v>
      </c>
      <c r="G774" t="s">
        <v>24</v>
      </c>
      <c r="H774" t="s">
        <v>1610</v>
      </c>
      <c r="I774">
        <v>81</v>
      </c>
      <c r="J774">
        <v>61</v>
      </c>
      <c r="K774">
        <v>59</v>
      </c>
      <c r="L774">
        <v>40</v>
      </c>
      <c r="M774">
        <v>41</v>
      </c>
      <c r="N774">
        <v>93</v>
      </c>
      <c r="O774">
        <v>294</v>
      </c>
      <c r="P774">
        <v>58.8</v>
      </c>
      <c r="Q774" t="s">
        <v>31</v>
      </c>
      <c r="R774" t="s">
        <v>27</v>
      </c>
      <c r="S774">
        <v>2738</v>
      </c>
      <c r="T774" t="s">
        <v>28</v>
      </c>
      <c r="U774" t="str">
        <f t="shared" si="12"/>
        <v>Pass</v>
      </c>
    </row>
    <row r="775" spans="1:21">
      <c r="A775" t="s">
        <v>1611</v>
      </c>
      <c r="B775" t="s">
        <v>426</v>
      </c>
      <c r="C775" t="s">
        <v>22</v>
      </c>
      <c r="D775">
        <v>6</v>
      </c>
      <c r="E775" t="s">
        <v>31</v>
      </c>
      <c r="F775">
        <v>11</v>
      </c>
      <c r="G775" t="s">
        <v>54</v>
      </c>
      <c r="H775" t="s">
        <v>1612</v>
      </c>
      <c r="I775">
        <v>62</v>
      </c>
      <c r="J775">
        <v>87</v>
      </c>
      <c r="K775">
        <v>93</v>
      </c>
      <c r="L775">
        <v>58</v>
      </c>
      <c r="M775">
        <v>70</v>
      </c>
      <c r="N775">
        <v>65</v>
      </c>
      <c r="O775">
        <v>373</v>
      </c>
      <c r="P775">
        <v>74.599999999999994</v>
      </c>
      <c r="Q775" t="s">
        <v>40</v>
      </c>
      <c r="R775" t="s">
        <v>41</v>
      </c>
      <c r="S775">
        <v>4308</v>
      </c>
      <c r="T775" t="s">
        <v>48</v>
      </c>
      <c r="U775" t="str">
        <f t="shared" si="12"/>
        <v>Pass</v>
      </c>
    </row>
    <row r="776" spans="1:21">
      <c r="A776" t="s">
        <v>1613</v>
      </c>
      <c r="B776" t="s">
        <v>562</v>
      </c>
      <c r="C776" t="s">
        <v>22</v>
      </c>
      <c r="D776">
        <v>11</v>
      </c>
      <c r="E776" t="s">
        <v>47</v>
      </c>
      <c r="F776">
        <v>16</v>
      </c>
      <c r="G776" t="s">
        <v>64</v>
      </c>
      <c r="H776" t="s">
        <v>1614</v>
      </c>
      <c r="I776">
        <v>94</v>
      </c>
      <c r="J776">
        <v>48</v>
      </c>
      <c r="K776">
        <v>91</v>
      </c>
      <c r="L776">
        <v>94</v>
      </c>
      <c r="M776">
        <v>37</v>
      </c>
      <c r="N776">
        <v>51</v>
      </c>
      <c r="O776">
        <v>321</v>
      </c>
      <c r="P776">
        <v>64.2</v>
      </c>
      <c r="Q776" t="s">
        <v>26</v>
      </c>
      <c r="R776" t="s">
        <v>41</v>
      </c>
      <c r="S776">
        <v>2280</v>
      </c>
      <c r="T776" t="s">
        <v>34</v>
      </c>
      <c r="U776" t="str">
        <f t="shared" si="12"/>
        <v>Pass</v>
      </c>
    </row>
    <row r="777" spans="1:21">
      <c r="A777" t="s">
        <v>1615</v>
      </c>
      <c r="B777" t="s">
        <v>305</v>
      </c>
      <c r="C777" t="s">
        <v>22</v>
      </c>
      <c r="D777">
        <v>4</v>
      </c>
      <c r="E777" t="s">
        <v>31</v>
      </c>
      <c r="F777">
        <v>10</v>
      </c>
      <c r="G777" t="s">
        <v>38</v>
      </c>
      <c r="H777" t="s">
        <v>1616</v>
      </c>
      <c r="I777">
        <v>76</v>
      </c>
      <c r="J777">
        <v>72</v>
      </c>
      <c r="K777">
        <v>62</v>
      </c>
      <c r="L777">
        <v>50</v>
      </c>
      <c r="M777">
        <v>80</v>
      </c>
      <c r="N777">
        <v>66</v>
      </c>
      <c r="O777">
        <v>330</v>
      </c>
      <c r="P777">
        <v>66</v>
      </c>
      <c r="Q777" t="s">
        <v>26</v>
      </c>
      <c r="R777" t="s">
        <v>41</v>
      </c>
      <c r="S777">
        <v>1986</v>
      </c>
      <c r="T777" t="s">
        <v>48</v>
      </c>
      <c r="U777" t="str">
        <f t="shared" si="12"/>
        <v>Pass</v>
      </c>
    </row>
    <row r="778" spans="1:21">
      <c r="A778" t="s">
        <v>1617</v>
      </c>
      <c r="B778" t="s">
        <v>131</v>
      </c>
      <c r="C778" t="s">
        <v>37</v>
      </c>
      <c r="D778">
        <v>9</v>
      </c>
      <c r="E778" t="s">
        <v>26</v>
      </c>
      <c r="F778">
        <v>15</v>
      </c>
      <c r="G778" t="s">
        <v>54</v>
      </c>
      <c r="H778" t="s">
        <v>1618</v>
      </c>
      <c r="I778">
        <v>76</v>
      </c>
      <c r="J778">
        <v>84</v>
      </c>
      <c r="K778">
        <v>95</v>
      </c>
      <c r="L778">
        <v>55</v>
      </c>
      <c r="M778">
        <v>50</v>
      </c>
      <c r="N778">
        <v>51</v>
      </c>
      <c r="O778">
        <v>335</v>
      </c>
      <c r="P778">
        <v>67</v>
      </c>
      <c r="Q778" t="s">
        <v>26</v>
      </c>
      <c r="R778" t="s">
        <v>41</v>
      </c>
      <c r="S778">
        <v>4641</v>
      </c>
      <c r="T778" t="s">
        <v>66</v>
      </c>
      <c r="U778" t="str">
        <f t="shared" si="12"/>
        <v>Pass</v>
      </c>
    </row>
    <row r="779" spans="1:21">
      <c r="A779" t="s">
        <v>1619</v>
      </c>
      <c r="B779" t="s">
        <v>808</v>
      </c>
      <c r="C779" t="s">
        <v>22</v>
      </c>
      <c r="D779">
        <v>8</v>
      </c>
      <c r="E779" t="s">
        <v>47</v>
      </c>
      <c r="F779">
        <v>14</v>
      </c>
      <c r="G779" t="s">
        <v>58</v>
      </c>
      <c r="H779" t="s">
        <v>1209</v>
      </c>
      <c r="I779">
        <v>88</v>
      </c>
      <c r="J779">
        <v>86</v>
      </c>
      <c r="K779">
        <v>93</v>
      </c>
      <c r="L779">
        <v>80</v>
      </c>
      <c r="M779">
        <v>92</v>
      </c>
      <c r="N779">
        <v>55</v>
      </c>
      <c r="O779">
        <v>406</v>
      </c>
      <c r="P779">
        <v>81.2</v>
      </c>
      <c r="Q779" t="s">
        <v>47</v>
      </c>
      <c r="R779" t="s">
        <v>27</v>
      </c>
      <c r="S779">
        <v>2118</v>
      </c>
      <c r="T779" t="s">
        <v>28</v>
      </c>
      <c r="U779" t="str">
        <f t="shared" si="12"/>
        <v>Pass</v>
      </c>
    </row>
    <row r="780" spans="1:21">
      <c r="A780" t="s">
        <v>1620</v>
      </c>
      <c r="B780" t="s">
        <v>211</v>
      </c>
      <c r="C780" t="s">
        <v>22</v>
      </c>
      <c r="D780">
        <v>11</v>
      </c>
      <c r="E780" t="s">
        <v>26</v>
      </c>
      <c r="F780">
        <v>15</v>
      </c>
      <c r="G780" t="s">
        <v>24</v>
      </c>
      <c r="H780" t="s">
        <v>1614</v>
      </c>
      <c r="I780">
        <v>91</v>
      </c>
      <c r="J780">
        <v>45</v>
      </c>
      <c r="K780">
        <v>53</v>
      </c>
      <c r="L780">
        <v>94</v>
      </c>
      <c r="M780">
        <v>50</v>
      </c>
      <c r="N780">
        <v>70</v>
      </c>
      <c r="O780">
        <v>312</v>
      </c>
      <c r="P780">
        <v>62.4</v>
      </c>
      <c r="Q780" t="s">
        <v>26</v>
      </c>
      <c r="R780" t="s">
        <v>41</v>
      </c>
      <c r="S780">
        <v>3814</v>
      </c>
      <c r="T780" t="s">
        <v>34</v>
      </c>
      <c r="U780" t="str">
        <f t="shared" si="12"/>
        <v>Pass</v>
      </c>
    </row>
    <row r="781" spans="1:21">
      <c r="A781" t="s">
        <v>1621</v>
      </c>
      <c r="B781" t="s">
        <v>53</v>
      </c>
      <c r="C781" t="s">
        <v>22</v>
      </c>
      <c r="D781">
        <v>3</v>
      </c>
      <c r="E781" t="s">
        <v>47</v>
      </c>
      <c r="F781">
        <v>7</v>
      </c>
      <c r="G781" t="s">
        <v>38</v>
      </c>
      <c r="H781" t="s">
        <v>1622</v>
      </c>
      <c r="I781">
        <v>61</v>
      </c>
      <c r="J781">
        <v>50</v>
      </c>
      <c r="K781">
        <v>50</v>
      </c>
      <c r="L781">
        <v>39</v>
      </c>
      <c r="M781">
        <v>46</v>
      </c>
      <c r="N781">
        <v>69</v>
      </c>
      <c r="O781">
        <v>254</v>
      </c>
      <c r="P781">
        <v>50.8</v>
      </c>
      <c r="Q781" t="s">
        <v>31</v>
      </c>
      <c r="R781" t="s">
        <v>27</v>
      </c>
      <c r="S781">
        <v>1905</v>
      </c>
      <c r="T781" t="s">
        <v>48</v>
      </c>
      <c r="U781" t="str">
        <f t="shared" si="12"/>
        <v>Fail</v>
      </c>
    </row>
    <row r="782" spans="1:21">
      <c r="A782" t="s">
        <v>1623</v>
      </c>
      <c r="B782" t="s">
        <v>57</v>
      </c>
      <c r="C782" t="s">
        <v>22</v>
      </c>
      <c r="D782">
        <v>11</v>
      </c>
      <c r="E782" t="s">
        <v>23</v>
      </c>
      <c r="F782">
        <v>17</v>
      </c>
      <c r="G782" t="s">
        <v>54</v>
      </c>
      <c r="H782" t="s">
        <v>462</v>
      </c>
      <c r="I782">
        <v>91</v>
      </c>
      <c r="J782">
        <v>64</v>
      </c>
      <c r="K782">
        <v>60</v>
      </c>
      <c r="L782">
        <v>53</v>
      </c>
      <c r="M782">
        <v>91</v>
      </c>
      <c r="N782">
        <v>52</v>
      </c>
      <c r="O782">
        <v>320</v>
      </c>
      <c r="P782">
        <v>64</v>
      </c>
      <c r="Q782" t="s">
        <v>26</v>
      </c>
      <c r="R782" t="s">
        <v>41</v>
      </c>
      <c r="S782">
        <v>4049</v>
      </c>
      <c r="T782" t="s">
        <v>28</v>
      </c>
      <c r="U782" t="str">
        <f t="shared" si="12"/>
        <v>Pass</v>
      </c>
    </row>
    <row r="783" spans="1:21">
      <c r="A783" t="s">
        <v>1624</v>
      </c>
      <c r="B783" t="s">
        <v>87</v>
      </c>
      <c r="C783" t="s">
        <v>22</v>
      </c>
      <c r="D783">
        <v>3</v>
      </c>
      <c r="E783" t="s">
        <v>47</v>
      </c>
      <c r="F783">
        <v>7</v>
      </c>
      <c r="G783" t="s">
        <v>58</v>
      </c>
      <c r="H783" t="s">
        <v>1625</v>
      </c>
      <c r="I783">
        <v>91</v>
      </c>
      <c r="J783">
        <v>88</v>
      </c>
      <c r="K783">
        <v>58</v>
      </c>
      <c r="L783">
        <v>95</v>
      </c>
      <c r="M783">
        <v>71</v>
      </c>
      <c r="N783">
        <v>38</v>
      </c>
      <c r="O783">
        <v>350</v>
      </c>
      <c r="P783">
        <v>70</v>
      </c>
      <c r="Q783" t="s">
        <v>40</v>
      </c>
      <c r="R783" t="s">
        <v>41</v>
      </c>
      <c r="S783">
        <v>4037</v>
      </c>
      <c r="T783" t="s">
        <v>28</v>
      </c>
      <c r="U783" t="str">
        <f t="shared" si="12"/>
        <v>Pass</v>
      </c>
    </row>
    <row r="784" spans="1:21">
      <c r="A784" t="s">
        <v>1626</v>
      </c>
      <c r="B784" t="s">
        <v>137</v>
      </c>
      <c r="C784" t="s">
        <v>22</v>
      </c>
      <c r="D784">
        <v>3</v>
      </c>
      <c r="E784" t="s">
        <v>26</v>
      </c>
      <c r="F784">
        <v>8</v>
      </c>
      <c r="G784" t="s">
        <v>32</v>
      </c>
      <c r="H784" t="s">
        <v>1627</v>
      </c>
      <c r="I784">
        <v>64</v>
      </c>
      <c r="J784">
        <v>52</v>
      </c>
      <c r="K784">
        <v>74</v>
      </c>
      <c r="L784">
        <v>65</v>
      </c>
      <c r="M784">
        <v>89</v>
      </c>
      <c r="N784">
        <v>69</v>
      </c>
      <c r="O784">
        <v>349</v>
      </c>
      <c r="P784">
        <v>69.8</v>
      </c>
      <c r="Q784" t="s">
        <v>26</v>
      </c>
      <c r="R784" t="s">
        <v>27</v>
      </c>
      <c r="S784">
        <v>3834</v>
      </c>
      <c r="T784" t="s">
        <v>28</v>
      </c>
      <c r="U784" t="str">
        <f t="shared" si="12"/>
        <v>Pass</v>
      </c>
    </row>
    <row r="785" spans="1:21">
      <c r="A785" t="s">
        <v>1628</v>
      </c>
      <c r="B785" t="s">
        <v>231</v>
      </c>
      <c r="C785" t="s">
        <v>37</v>
      </c>
      <c r="D785">
        <v>7</v>
      </c>
      <c r="E785" t="s">
        <v>47</v>
      </c>
      <c r="F785">
        <v>13</v>
      </c>
      <c r="G785" t="s">
        <v>24</v>
      </c>
      <c r="H785" t="s">
        <v>1629</v>
      </c>
      <c r="I785">
        <v>74</v>
      </c>
      <c r="J785">
        <v>99</v>
      </c>
      <c r="K785">
        <v>60</v>
      </c>
      <c r="L785">
        <v>49</v>
      </c>
      <c r="M785">
        <v>73</v>
      </c>
      <c r="N785">
        <v>98</v>
      </c>
      <c r="O785">
        <v>379</v>
      </c>
      <c r="P785">
        <v>75.8</v>
      </c>
      <c r="Q785" t="s">
        <v>40</v>
      </c>
      <c r="R785" t="s">
        <v>41</v>
      </c>
      <c r="S785">
        <v>2743</v>
      </c>
      <c r="T785" t="s">
        <v>28</v>
      </c>
      <c r="U785" t="str">
        <f t="shared" si="12"/>
        <v>Pass</v>
      </c>
    </row>
    <row r="786" spans="1:21">
      <c r="A786" t="s">
        <v>1630</v>
      </c>
      <c r="B786" t="s">
        <v>386</v>
      </c>
      <c r="C786" t="s">
        <v>22</v>
      </c>
      <c r="D786">
        <v>5</v>
      </c>
      <c r="E786" t="s">
        <v>31</v>
      </c>
      <c r="F786">
        <v>9</v>
      </c>
      <c r="G786" t="s">
        <v>45</v>
      </c>
      <c r="H786" t="s">
        <v>1587</v>
      </c>
      <c r="I786">
        <v>72</v>
      </c>
      <c r="J786">
        <v>87</v>
      </c>
      <c r="K786">
        <v>69</v>
      </c>
      <c r="L786">
        <v>58</v>
      </c>
      <c r="M786">
        <v>90</v>
      </c>
      <c r="N786">
        <v>87</v>
      </c>
      <c r="O786">
        <v>391</v>
      </c>
      <c r="P786">
        <v>78.2</v>
      </c>
      <c r="Q786" t="s">
        <v>40</v>
      </c>
      <c r="R786" t="s">
        <v>27</v>
      </c>
      <c r="S786">
        <v>4860</v>
      </c>
      <c r="T786" t="s">
        <v>70</v>
      </c>
      <c r="U786" t="str">
        <f t="shared" si="12"/>
        <v>Pass</v>
      </c>
    </row>
    <row r="787" spans="1:21">
      <c r="A787" t="s">
        <v>1631</v>
      </c>
      <c r="B787" t="s">
        <v>289</v>
      </c>
      <c r="C787" t="s">
        <v>22</v>
      </c>
      <c r="D787">
        <v>1</v>
      </c>
      <c r="E787" t="s">
        <v>31</v>
      </c>
      <c r="F787">
        <v>6</v>
      </c>
      <c r="G787" t="s">
        <v>38</v>
      </c>
      <c r="H787" t="s">
        <v>1612</v>
      </c>
      <c r="I787">
        <v>75</v>
      </c>
      <c r="J787">
        <v>42</v>
      </c>
      <c r="K787">
        <v>52</v>
      </c>
      <c r="L787">
        <v>97</v>
      </c>
      <c r="M787">
        <v>50</v>
      </c>
      <c r="N787">
        <v>72</v>
      </c>
      <c r="O787">
        <v>313</v>
      </c>
      <c r="P787">
        <v>62.6</v>
      </c>
      <c r="Q787" t="s">
        <v>26</v>
      </c>
      <c r="R787" t="s">
        <v>27</v>
      </c>
      <c r="S787">
        <v>2539</v>
      </c>
      <c r="T787" t="s">
        <v>66</v>
      </c>
      <c r="U787" t="str">
        <f t="shared" si="12"/>
        <v>Pass</v>
      </c>
    </row>
    <row r="788" spans="1:21">
      <c r="A788" t="s">
        <v>1632</v>
      </c>
      <c r="B788" t="s">
        <v>461</v>
      </c>
      <c r="C788" t="s">
        <v>22</v>
      </c>
      <c r="D788">
        <v>11</v>
      </c>
      <c r="E788" t="s">
        <v>31</v>
      </c>
      <c r="F788">
        <v>15</v>
      </c>
      <c r="G788" t="s">
        <v>24</v>
      </c>
      <c r="H788" t="s">
        <v>1633</v>
      </c>
      <c r="I788">
        <v>94</v>
      </c>
      <c r="J788">
        <v>62</v>
      </c>
      <c r="K788">
        <v>89</v>
      </c>
      <c r="L788">
        <v>77</v>
      </c>
      <c r="M788">
        <v>59</v>
      </c>
      <c r="N788">
        <v>83</v>
      </c>
      <c r="O788">
        <v>370</v>
      </c>
      <c r="P788">
        <v>74</v>
      </c>
      <c r="Q788" t="s">
        <v>40</v>
      </c>
      <c r="R788" t="s">
        <v>41</v>
      </c>
      <c r="S788">
        <v>4180</v>
      </c>
      <c r="T788" t="s">
        <v>34</v>
      </c>
      <c r="U788" t="str">
        <f t="shared" si="12"/>
        <v>Pass</v>
      </c>
    </row>
    <row r="789" spans="1:21">
      <c r="A789" t="s">
        <v>1634</v>
      </c>
      <c r="B789" t="s">
        <v>518</v>
      </c>
      <c r="C789" t="s">
        <v>37</v>
      </c>
      <c r="D789">
        <v>6</v>
      </c>
      <c r="E789" t="s">
        <v>31</v>
      </c>
      <c r="F789">
        <v>10</v>
      </c>
      <c r="G789" t="s">
        <v>32</v>
      </c>
      <c r="H789" t="s">
        <v>589</v>
      </c>
      <c r="I789">
        <v>60</v>
      </c>
      <c r="J789">
        <v>52</v>
      </c>
      <c r="K789">
        <v>42</v>
      </c>
      <c r="L789">
        <v>83</v>
      </c>
      <c r="M789">
        <v>89</v>
      </c>
      <c r="N789">
        <v>99</v>
      </c>
      <c r="O789">
        <v>365</v>
      </c>
      <c r="P789">
        <v>73</v>
      </c>
      <c r="Q789" t="s">
        <v>40</v>
      </c>
      <c r="R789" t="s">
        <v>27</v>
      </c>
      <c r="S789">
        <v>1847</v>
      </c>
      <c r="T789" t="s">
        <v>66</v>
      </c>
      <c r="U789" t="str">
        <f t="shared" si="12"/>
        <v>Pass</v>
      </c>
    </row>
    <row r="790" spans="1:21">
      <c r="A790" t="s">
        <v>1635</v>
      </c>
      <c r="B790" t="s">
        <v>165</v>
      </c>
      <c r="C790" t="s">
        <v>37</v>
      </c>
      <c r="D790">
        <v>7</v>
      </c>
      <c r="E790" t="s">
        <v>47</v>
      </c>
      <c r="F790">
        <v>12</v>
      </c>
      <c r="G790" t="s">
        <v>45</v>
      </c>
      <c r="H790" t="s">
        <v>1636</v>
      </c>
      <c r="I790">
        <v>96</v>
      </c>
      <c r="J790">
        <v>60</v>
      </c>
      <c r="K790">
        <v>75</v>
      </c>
      <c r="L790">
        <v>56</v>
      </c>
      <c r="M790">
        <v>84</v>
      </c>
      <c r="N790">
        <v>95</v>
      </c>
      <c r="O790">
        <v>370</v>
      </c>
      <c r="P790">
        <v>74</v>
      </c>
      <c r="Q790" t="s">
        <v>40</v>
      </c>
      <c r="R790" t="s">
        <v>41</v>
      </c>
      <c r="S790">
        <v>2745</v>
      </c>
      <c r="T790" t="s">
        <v>70</v>
      </c>
      <c r="U790" t="str">
        <f t="shared" si="12"/>
        <v>Pass</v>
      </c>
    </row>
    <row r="791" spans="1:21">
      <c r="A791" t="s">
        <v>1637</v>
      </c>
      <c r="B791" t="s">
        <v>408</v>
      </c>
      <c r="C791" t="s">
        <v>22</v>
      </c>
      <c r="D791">
        <v>2</v>
      </c>
      <c r="E791" t="s">
        <v>47</v>
      </c>
      <c r="F791">
        <v>8</v>
      </c>
      <c r="G791" t="s">
        <v>54</v>
      </c>
      <c r="H791" t="s">
        <v>1638</v>
      </c>
      <c r="I791">
        <v>80</v>
      </c>
      <c r="J791">
        <v>41</v>
      </c>
      <c r="K791">
        <v>83</v>
      </c>
      <c r="L791">
        <v>58</v>
      </c>
      <c r="M791">
        <v>83</v>
      </c>
      <c r="N791">
        <v>46</v>
      </c>
      <c r="O791">
        <v>311</v>
      </c>
      <c r="P791">
        <v>62.2</v>
      </c>
      <c r="Q791" t="s">
        <v>26</v>
      </c>
      <c r="R791" t="s">
        <v>27</v>
      </c>
      <c r="S791">
        <v>2772</v>
      </c>
      <c r="T791" t="s">
        <v>70</v>
      </c>
      <c r="U791" t="str">
        <f t="shared" si="12"/>
        <v>Pass</v>
      </c>
    </row>
    <row r="792" spans="1:21">
      <c r="A792" t="s">
        <v>1639</v>
      </c>
      <c r="B792" t="s">
        <v>242</v>
      </c>
      <c r="C792" t="s">
        <v>37</v>
      </c>
      <c r="D792">
        <v>3</v>
      </c>
      <c r="E792" t="s">
        <v>26</v>
      </c>
      <c r="F792">
        <v>9</v>
      </c>
      <c r="G792" t="s">
        <v>58</v>
      </c>
      <c r="H792" t="s">
        <v>1640</v>
      </c>
      <c r="I792">
        <v>73</v>
      </c>
      <c r="J792">
        <v>49</v>
      </c>
      <c r="K792">
        <v>54</v>
      </c>
      <c r="L792">
        <v>76</v>
      </c>
      <c r="M792">
        <v>98</v>
      </c>
      <c r="N792">
        <v>39</v>
      </c>
      <c r="O792">
        <v>316</v>
      </c>
      <c r="P792">
        <v>63.2</v>
      </c>
      <c r="Q792" t="s">
        <v>26</v>
      </c>
      <c r="R792" t="s">
        <v>27</v>
      </c>
      <c r="S792">
        <v>3234</v>
      </c>
      <c r="T792" t="s">
        <v>28</v>
      </c>
      <c r="U792" t="str">
        <f t="shared" si="12"/>
        <v>Pass</v>
      </c>
    </row>
    <row r="793" spans="1:21">
      <c r="A793" t="s">
        <v>1641</v>
      </c>
      <c r="B793" t="s">
        <v>75</v>
      </c>
      <c r="C793" t="s">
        <v>37</v>
      </c>
      <c r="D793">
        <v>2</v>
      </c>
      <c r="E793" t="s">
        <v>31</v>
      </c>
      <c r="F793">
        <v>8</v>
      </c>
      <c r="G793" t="s">
        <v>64</v>
      </c>
      <c r="H793" t="s">
        <v>1642</v>
      </c>
      <c r="I793">
        <v>92</v>
      </c>
      <c r="J793">
        <v>66</v>
      </c>
      <c r="K793">
        <v>39</v>
      </c>
      <c r="L793">
        <v>75</v>
      </c>
      <c r="M793">
        <v>52</v>
      </c>
      <c r="N793">
        <v>58</v>
      </c>
      <c r="O793">
        <v>290</v>
      </c>
      <c r="P793">
        <v>58</v>
      </c>
      <c r="Q793" t="s">
        <v>31</v>
      </c>
      <c r="R793" t="s">
        <v>41</v>
      </c>
      <c r="S793">
        <v>4342</v>
      </c>
      <c r="T793" t="s">
        <v>28</v>
      </c>
      <c r="U793" t="str">
        <f t="shared" si="12"/>
        <v>Pass</v>
      </c>
    </row>
    <row r="794" spans="1:21">
      <c r="A794" t="s">
        <v>1643</v>
      </c>
      <c r="B794" t="s">
        <v>1644</v>
      </c>
      <c r="C794" t="s">
        <v>37</v>
      </c>
      <c r="D794">
        <v>12</v>
      </c>
      <c r="E794" t="s">
        <v>26</v>
      </c>
      <c r="F794">
        <v>18</v>
      </c>
      <c r="G794" t="s">
        <v>54</v>
      </c>
      <c r="H794" t="s">
        <v>972</v>
      </c>
      <c r="I794">
        <v>83</v>
      </c>
      <c r="J794">
        <v>75</v>
      </c>
      <c r="K794">
        <v>86</v>
      </c>
      <c r="L794">
        <v>42</v>
      </c>
      <c r="M794">
        <v>39</v>
      </c>
      <c r="N794">
        <v>41</v>
      </c>
      <c r="O794">
        <v>283</v>
      </c>
      <c r="P794">
        <v>56.6</v>
      </c>
      <c r="Q794" t="s">
        <v>31</v>
      </c>
      <c r="R794" t="s">
        <v>27</v>
      </c>
      <c r="S794">
        <v>4931</v>
      </c>
      <c r="T794" t="s">
        <v>70</v>
      </c>
      <c r="U794" t="str">
        <f t="shared" si="12"/>
        <v>Pass</v>
      </c>
    </row>
    <row r="795" spans="1:21">
      <c r="A795" t="s">
        <v>1645</v>
      </c>
      <c r="B795" t="s">
        <v>1080</v>
      </c>
      <c r="C795" t="s">
        <v>22</v>
      </c>
      <c r="D795">
        <v>12</v>
      </c>
      <c r="E795" t="s">
        <v>26</v>
      </c>
      <c r="F795">
        <v>16</v>
      </c>
      <c r="G795" t="s">
        <v>32</v>
      </c>
      <c r="H795" t="s">
        <v>1246</v>
      </c>
      <c r="I795">
        <v>76</v>
      </c>
      <c r="J795">
        <v>69</v>
      </c>
      <c r="K795">
        <v>36</v>
      </c>
      <c r="L795">
        <v>94</v>
      </c>
      <c r="M795">
        <v>72</v>
      </c>
      <c r="N795">
        <v>44</v>
      </c>
      <c r="O795">
        <v>315</v>
      </c>
      <c r="P795">
        <v>63</v>
      </c>
      <c r="Q795" t="s">
        <v>26</v>
      </c>
      <c r="R795" t="s">
        <v>27</v>
      </c>
      <c r="S795">
        <v>2385</v>
      </c>
      <c r="T795" t="s">
        <v>42</v>
      </c>
      <c r="U795" t="str">
        <f t="shared" si="12"/>
        <v>Pass</v>
      </c>
    </row>
    <row r="796" spans="1:21">
      <c r="A796" t="s">
        <v>1646</v>
      </c>
      <c r="B796" t="s">
        <v>1281</v>
      </c>
      <c r="C796" t="s">
        <v>22</v>
      </c>
      <c r="D796">
        <v>9</v>
      </c>
      <c r="E796" t="s">
        <v>47</v>
      </c>
      <c r="F796">
        <v>15</v>
      </c>
      <c r="G796" t="s">
        <v>54</v>
      </c>
      <c r="H796" t="s">
        <v>1226</v>
      </c>
      <c r="I796">
        <v>85</v>
      </c>
      <c r="J796">
        <v>99</v>
      </c>
      <c r="K796">
        <v>57</v>
      </c>
      <c r="L796">
        <v>68</v>
      </c>
      <c r="M796">
        <v>92</v>
      </c>
      <c r="N796">
        <v>65</v>
      </c>
      <c r="O796">
        <v>381</v>
      </c>
      <c r="P796">
        <v>76.2</v>
      </c>
      <c r="Q796" t="s">
        <v>40</v>
      </c>
      <c r="R796" t="s">
        <v>27</v>
      </c>
      <c r="S796">
        <v>3044</v>
      </c>
      <c r="T796" t="s">
        <v>70</v>
      </c>
      <c r="U796" t="str">
        <f t="shared" si="12"/>
        <v>Pass</v>
      </c>
    </row>
    <row r="797" spans="1:21">
      <c r="A797" t="s">
        <v>1647</v>
      </c>
      <c r="B797" t="s">
        <v>36</v>
      </c>
      <c r="C797" t="s">
        <v>22</v>
      </c>
      <c r="D797">
        <v>11</v>
      </c>
      <c r="E797" t="s">
        <v>31</v>
      </c>
      <c r="F797">
        <v>17</v>
      </c>
      <c r="G797" t="s">
        <v>38</v>
      </c>
      <c r="H797" t="s">
        <v>1648</v>
      </c>
      <c r="I797">
        <v>79</v>
      </c>
      <c r="J797">
        <v>42</v>
      </c>
      <c r="K797">
        <v>89</v>
      </c>
      <c r="L797">
        <v>67</v>
      </c>
      <c r="M797">
        <v>46</v>
      </c>
      <c r="N797">
        <v>77</v>
      </c>
      <c r="O797">
        <v>321</v>
      </c>
      <c r="P797">
        <v>64.2</v>
      </c>
      <c r="Q797" t="s">
        <v>26</v>
      </c>
      <c r="R797" t="s">
        <v>27</v>
      </c>
      <c r="S797">
        <v>1906</v>
      </c>
      <c r="T797" t="s">
        <v>34</v>
      </c>
      <c r="U797" t="str">
        <f t="shared" si="12"/>
        <v>Pass</v>
      </c>
    </row>
    <row r="798" spans="1:21">
      <c r="A798" t="s">
        <v>1649</v>
      </c>
      <c r="B798" t="s">
        <v>277</v>
      </c>
      <c r="C798" t="s">
        <v>22</v>
      </c>
      <c r="D798">
        <v>12</v>
      </c>
      <c r="E798" t="s">
        <v>23</v>
      </c>
      <c r="F798">
        <v>18</v>
      </c>
      <c r="G798" t="s">
        <v>32</v>
      </c>
      <c r="H798" t="s">
        <v>1650</v>
      </c>
      <c r="I798">
        <v>72</v>
      </c>
      <c r="J798">
        <v>83</v>
      </c>
      <c r="K798">
        <v>69</v>
      </c>
      <c r="L798">
        <v>98</v>
      </c>
      <c r="M798">
        <v>39</v>
      </c>
      <c r="N798">
        <v>63</v>
      </c>
      <c r="O798">
        <v>352</v>
      </c>
      <c r="P798">
        <v>70.400000000000006</v>
      </c>
      <c r="Q798" t="s">
        <v>40</v>
      </c>
      <c r="R798" t="s">
        <v>41</v>
      </c>
      <c r="S798">
        <v>3983</v>
      </c>
      <c r="T798" t="s">
        <v>42</v>
      </c>
      <c r="U798" t="str">
        <f t="shared" si="12"/>
        <v>Pass</v>
      </c>
    </row>
    <row r="799" spans="1:21">
      <c r="A799" t="s">
        <v>1651</v>
      </c>
      <c r="B799" t="s">
        <v>518</v>
      </c>
      <c r="C799" t="s">
        <v>37</v>
      </c>
      <c r="D799">
        <v>3</v>
      </c>
      <c r="E799" t="s">
        <v>23</v>
      </c>
      <c r="F799">
        <v>7</v>
      </c>
      <c r="G799" t="s">
        <v>58</v>
      </c>
      <c r="H799" t="s">
        <v>1652</v>
      </c>
      <c r="I799">
        <v>84</v>
      </c>
      <c r="J799">
        <v>52</v>
      </c>
      <c r="K799">
        <v>71</v>
      </c>
      <c r="L799">
        <v>59</v>
      </c>
      <c r="M799">
        <v>51</v>
      </c>
      <c r="N799">
        <v>42</v>
      </c>
      <c r="O799">
        <v>275</v>
      </c>
      <c r="P799">
        <v>55</v>
      </c>
      <c r="Q799" t="s">
        <v>31</v>
      </c>
      <c r="R799" t="s">
        <v>41</v>
      </c>
      <c r="S799">
        <v>4284</v>
      </c>
      <c r="T799" t="s">
        <v>48</v>
      </c>
      <c r="U799" t="str">
        <f t="shared" si="12"/>
        <v>Fail</v>
      </c>
    </row>
    <row r="800" spans="1:21">
      <c r="A800" t="s">
        <v>1653</v>
      </c>
      <c r="B800" t="s">
        <v>61</v>
      </c>
      <c r="C800" t="s">
        <v>22</v>
      </c>
      <c r="D800">
        <v>4</v>
      </c>
      <c r="E800" t="s">
        <v>47</v>
      </c>
      <c r="F800">
        <v>8</v>
      </c>
      <c r="G800" t="s">
        <v>32</v>
      </c>
      <c r="H800" t="s">
        <v>1654</v>
      </c>
      <c r="I800">
        <v>80</v>
      </c>
      <c r="J800">
        <v>94</v>
      </c>
      <c r="K800">
        <v>41</v>
      </c>
      <c r="L800">
        <v>92</v>
      </c>
      <c r="M800">
        <v>65</v>
      </c>
      <c r="N800">
        <v>72</v>
      </c>
      <c r="O800">
        <v>364</v>
      </c>
      <c r="P800">
        <v>72.8</v>
      </c>
      <c r="Q800" t="s">
        <v>40</v>
      </c>
      <c r="R800" t="s">
        <v>27</v>
      </c>
      <c r="S800">
        <v>3169</v>
      </c>
      <c r="T800" t="s">
        <v>34</v>
      </c>
      <c r="U800" t="str">
        <f t="shared" si="12"/>
        <v>Pass</v>
      </c>
    </row>
    <row r="801" spans="1:21">
      <c r="A801" t="s">
        <v>1655</v>
      </c>
      <c r="B801" t="s">
        <v>819</v>
      </c>
      <c r="C801" t="s">
        <v>22</v>
      </c>
      <c r="D801">
        <v>4</v>
      </c>
      <c r="E801" t="s">
        <v>47</v>
      </c>
      <c r="F801">
        <v>10</v>
      </c>
      <c r="G801" t="s">
        <v>45</v>
      </c>
      <c r="H801" t="s">
        <v>1656</v>
      </c>
      <c r="I801">
        <v>88</v>
      </c>
      <c r="J801">
        <v>51</v>
      </c>
      <c r="K801">
        <v>96</v>
      </c>
      <c r="L801">
        <v>59</v>
      </c>
      <c r="M801">
        <v>43</v>
      </c>
      <c r="N801">
        <v>78</v>
      </c>
      <c r="O801">
        <v>327</v>
      </c>
      <c r="P801">
        <v>65.400000000000006</v>
      </c>
      <c r="Q801" t="s">
        <v>26</v>
      </c>
      <c r="R801" t="s">
        <v>41</v>
      </c>
      <c r="S801">
        <v>2211</v>
      </c>
      <c r="T801" t="s">
        <v>34</v>
      </c>
      <c r="U801" t="str">
        <f t="shared" si="12"/>
        <v>Pass</v>
      </c>
    </row>
    <row r="802" spans="1:21">
      <c r="A802" t="s">
        <v>1657</v>
      </c>
      <c r="B802" t="s">
        <v>308</v>
      </c>
      <c r="C802" t="s">
        <v>22</v>
      </c>
      <c r="D802">
        <v>10</v>
      </c>
      <c r="E802" t="s">
        <v>26</v>
      </c>
      <c r="F802">
        <v>16</v>
      </c>
      <c r="G802" t="s">
        <v>24</v>
      </c>
      <c r="H802" t="s">
        <v>1305</v>
      </c>
      <c r="I802">
        <v>73</v>
      </c>
      <c r="J802">
        <v>50</v>
      </c>
      <c r="K802">
        <v>87</v>
      </c>
      <c r="L802">
        <v>98</v>
      </c>
      <c r="M802">
        <v>64</v>
      </c>
      <c r="N802">
        <v>72</v>
      </c>
      <c r="O802">
        <v>371</v>
      </c>
      <c r="P802">
        <v>74.2</v>
      </c>
      <c r="Q802" t="s">
        <v>40</v>
      </c>
      <c r="R802" t="s">
        <v>41</v>
      </c>
      <c r="S802">
        <v>2275</v>
      </c>
      <c r="T802" t="s">
        <v>42</v>
      </c>
      <c r="U802" t="str">
        <f t="shared" si="12"/>
        <v>Pass</v>
      </c>
    </row>
    <row r="803" spans="1:21">
      <c r="A803" t="s">
        <v>1658</v>
      </c>
      <c r="B803" t="s">
        <v>326</v>
      </c>
      <c r="C803" t="s">
        <v>37</v>
      </c>
      <c r="D803">
        <v>7</v>
      </c>
      <c r="E803" t="s">
        <v>26</v>
      </c>
      <c r="F803">
        <v>12</v>
      </c>
      <c r="G803" t="s">
        <v>58</v>
      </c>
      <c r="H803" t="s">
        <v>1095</v>
      </c>
      <c r="I803">
        <v>71</v>
      </c>
      <c r="J803">
        <v>78</v>
      </c>
      <c r="K803">
        <v>77</v>
      </c>
      <c r="L803">
        <v>91</v>
      </c>
      <c r="M803">
        <v>84</v>
      </c>
      <c r="N803">
        <v>87</v>
      </c>
      <c r="O803">
        <v>417</v>
      </c>
      <c r="P803">
        <v>83.4</v>
      </c>
      <c r="Q803" t="s">
        <v>47</v>
      </c>
      <c r="R803" t="s">
        <v>27</v>
      </c>
      <c r="S803">
        <v>3150</v>
      </c>
      <c r="T803" t="s">
        <v>28</v>
      </c>
      <c r="U803" t="str">
        <f t="shared" si="12"/>
        <v>Pass</v>
      </c>
    </row>
    <row r="804" spans="1:21">
      <c r="A804" t="s">
        <v>1659</v>
      </c>
      <c r="B804" t="s">
        <v>389</v>
      </c>
      <c r="C804" t="s">
        <v>37</v>
      </c>
      <c r="D804">
        <v>7</v>
      </c>
      <c r="E804" t="s">
        <v>47</v>
      </c>
      <c r="F804">
        <v>12</v>
      </c>
      <c r="G804" t="s">
        <v>24</v>
      </c>
      <c r="H804" t="s">
        <v>764</v>
      </c>
      <c r="I804">
        <v>66</v>
      </c>
      <c r="J804">
        <v>72</v>
      </c>
      <c r="K804">
        <v>75</v>
      </c>
      <c r="L804">
        <v>80</v>
      </c>
      <c r="M804">
        <v>65</v>
      </c>
      <c r="N804">
        <v>86</v>
      </c>
      <c r="O804">
        <v>378</v>
      </c>
      <c r="P804">
        <v>75.599999999999994</v>
      </c>
      <c r="Q804" t="s">
        <v>40</v>
      </c>
      <c r="R804" t="s">
        <v>27</v>
      </c>
      <c r="S804">
        <v>2519</v>
      </c>
      <c r="T804" t="s">
        <v>28</v>
      </c>
      <c r="U804" t="str">
        <f t="shared" si="12"/>
        <v>Pass</v>
      </c>
    </row>
    <row r="805" spans="1:21">
      <c r="A805" t="s">
        <v>1660</v>
      </c>
      <c r="B805" t="s">
        <v>602</v>
      </c>
      <c r="C805" t="s">
        <v>37</v>
      </c>
      <c r="D805">
        <v>11</v>
      </c>
      <c r="E805" t="s">
        <v>47</v>
      </c>
      <c r="F805">
        <v>17</v>
      </c>
      <c r="G805" t="s">
        <v>54</v>
      </c>
      <c r="H805" t="s">
        <v>1661</v>
      </c>
      <c r="I805">
        <v>95</v>
      </c>
      <c r="J805">
        <v>68</v>
      </c>
      <c r="K805">
        <v>63</v>
      </c>
      <c r="L805">
        <v>49</v>
      </c>
      <c r="M805">
        <v>70</v>
      </c>
      <c r="N805">
        <v>53</v>
      </c>
      <c r="O805">
        <v>303</v>
      </c>
      <c r="P805">
        <v>60.6</v>
      </c>
      <c r="Q805" t="s">
        <v>26</v>
      </c>
      <c r="R805" t="s">
        <v>41</v>
      </c>
      <c r="S805">
        <v>4974</v>
      </c>
      <c r="T805" t="s">
        <v>34</v>
      </c>
      <c r="U805" t="str">
        <f t="shared" si="12"/>
        <v>Pass</v>
      </c>
    </row>
    <row r="806" spans="1:21">
      <c r="A806" t="s">
        <v>1662</v>
      </c>
      <c r="B806" t="s">
        <v>36</v>
      </c>
      <c r="C806" t="s">
        <v>37</v>
      </c>
      <c r="D806">
        <v>10</v>
      </c>
      <c r="E806" t="s">
        <v>26</v>
      </c>
      <c r="F806">
        <v>14</v>
      </c>
      <c r="G806" t="s">
        <v>54</v>
      </c>
      <c r="H806" t="s">
        <v>141</v>
      </c>
      <c r="I806">
        <v>96</v>
      </c>
      <c r="J806">
        <v>71</v>
      </c>
      <c r="K806">
        <v>91</v>
      </c>
      <c r="L806">
        <v>98</v>
      </c>
      <c r="M806">
        <v>40</v>
      </c>
      <c r="N806">
        <v>85</v>
      </c>
      <c r="O806">
        <v>385</v>
      </c>
      <c r="P806">
        <v>77</v>
      </c>
      <c r="Q806" t="s">
        <v>40</v>
      </c>
      <c r="R806" t="s">
        <v>27</v>
      </c>
      <c r="S806">
        <v>2826</v>
      </c>
      <c r="T806" t="s">
        <v>42</v>
      </c>
      <c r="U806" t="str">
        <f t="shared" si="12"/>
        <v>Pass</v>
      </c>
    </row>
    <row r="807" spans="1:21">
      <c r="A807" t="s">
        <v>1663</v>
      </c>
      <c r="B807" t="s">
        <v>879</v>
      </c>
      <c r="C807" t="s">
        <v>22</v>
      </c>
      <c r="D807">
        <v>7</v>
      </c>
      <c r="E807" t="s">
        <v>23</v>
      </c>
      <c r="F807">
        <v>12</v>
      </c>
      <c r="G807" t="s">
        <v>32</v>
      </c>
      <c r="H807" t="s">
        <v>526</v>
      </c>
      <c r="I807">
        <v>77</v>
      </c>
      <c r="J807">
        <v>42</v>
      </c>
      <c r="K807">
        <v>54</v>
      </c>
      <c r="L807">
        <v>88</v>
      </c>
      <c r="M807">
        <v>78</v>
      </c>
      <c r="N807">
        <v>53</v>
      </c>
      <c r="O807">
        <v>315</v>
      </c>
      <c r="P807">
        <v>63</v>
      </c>
      <c r="Q807" t="s">
        <v>26</v>
      </c>
      <c r="R807" t="s">
        <v>27</v>
      </c>
      <c r="S807">
        <v>3806</v>
      </c>
      <c r="T807" t="s">
        <v>48</v>
      </c>
      <c r="U807" t="str">
        <f t="shared" si="12"/>
        <v>Pass</v>
      </c>
    </row>
    <row r="808" spans="1:21">
      <c r="A808" t="s">
        <v>1664</v>
      </c>
      <c r="B808" t="s">
        <v>319</v>
      </c>
      <c r="C808" t="s">
        <v>22</v>
      </c>
      <c r="D808">
        <v>12</v>
      </c>
      <c r="E808" t="s">
        <v>23</v>
      </c>
      <c r="F808">
        <v>16</v>
      </c>
      <c r="G808" t="s">
        <v>38</v>
      </c>
      <c r="H808" t="s">
        <v>1665</v>
      </c>
      <c r="I808">
        <v>87</v>
      </c>
      <c r="J808">
        <v>91</v>
      </c>
      <c r="K808">
        <v>62</v>
      </c>
      <c r="L808">
        <v>80</v>
      </c>
      <c r="M808">
        <v>69</v>
      </c>
      <c r="N808">
        <v>77</v>
      </c>
      <c r="O808">
        <v>379</v>
      </c>
      <c r="P808">
        <v>75.8</v>
      </c>
      <c r="Q808" t="s">
        <v>40</v>
      </c>
      <c r="R808" t="s">
        <v>41</v>
      </c>
      <c r="S808">
        <v>4675</v>
      </c>
      <c r="T808" t="s">
        <v>66</v>
      </c>
      <c r="U808" t="str">
        <f t="shared" si="12"/>
        <v>Pass</v>
      </c>
    </row>
    <row r="809" spans="1:21">
      <c r="A809" t="s">
        <v>1666</v>
      </c>
      <c r="B809" t="s">
        <v>708</v>
      </c>
      <c r="C809" t="s">
        <v>22</v>
      </c>
      <c r="D809">
        <v>11</v>
      </c>
      <c r="E809" t="s">
        <v>31</v>
      </c>
      <c r="F809">
        <v>17</v>
      </c>
      <c r="G809" t="s">
        <v>54</v>
      </c>
      <c r="H809" t="s">
        <v>1667</v>
      </c>
      <c r="I809">
        <v>66</v>
      </c>
      <c r="J809">
        <v>63</v>
      </c>
      <c r="K809">
        <v>70</v>
      </c>
      <c r="L809">
        <v>52</v>
      </c>
      <c r="M809">
        <v>86</v>
      </c>
      <c r="N809">
        <v>93</v>
      </c>
      <c r="O809">
        <v>364</v>
      </c>
      <c r="P809">
        <v>72.8</v>
      </c>
      <c r="Q809" t="s">
        <v>40</v>
      </c>
      <c r="R809" t="s">
        <v>41</v>
      </c>
      <c r="S809">
        <v>1569</v>
      </c>
      <c r="T809" t="s">
        <v>66</v>
      </c>
      <c r="U809" t="str">
        <f t="shared" si="12"/>
        <v>Pass</v>
      </c>
    </row>
    <row r="810" spans="1:21">
      <c r="A810" t="s">
        <v>1668</v>
      </c>
      <c r="B810" t="s">
        <v>30</v>
      </c>
      <c r="C810" t="s">
        <v>22</v>
      </c>
      <c r="D810">
        <v>8</v>
      </c>
      <c r="E810" t="s">
        <v>31</v>
      </c>
      <c r="F810">
        <v>14</v>
      </c>
      <c r="G810" t="s">
        <v>45</v>
      </c>
      <c r="H810" t="s">
        <v>1113</v>
      </c>
      <c r="I810">
        <v>79</v>
      </c>
      <c r="J810">
        <v>72</v>
      </c>
      <c r="K810">
        <v>63</v>
      </c>
      <c r="L810">
        <v>45</v>
      </c>
      <c r="M810">
        <v>82</v>
      </c>
      <c r="N810">
        <v>70</v>
      </c>
      <c r="O810">
        <v>332</v>
      </c>
      <c r="P810">
        <v>66.400000000000006</v>
      </c>
      <c r="Q810" t="s">
        <v>26</v>
      </c>
      <c r="R810" t="s">
        <v>41</v>
      </c>
      <c r="S810">
        <v>2431</v>
      </c>
      <c r="T810" t="s">
        <v>42</v>
      </c>
      <c r="U810" t="str">
        <f t="shared" si="12"/>
        <v>Pass</v>
      </c>
    </row>
    <row r="811" spans="1:21">
      <c r="A811" t="s">
        <v>1669</v>
      </c>
      <c r="B811" t="s">
        <v>982</v>
      </c>
      <c r="C811" t="s">
        <v>37</v>
      </c>
      <c r="D811">
        <v>9</v>
      </c>
      <c r="E811" t="s">
        <v>31</v>
      </c>
      <c r="F811">
        <v>15</v>
      </c>
      <c r="G811" t="s">
        <v>58</v>
      </c>
      <c r="H811" t="s">
        <v>1656</v>
      </c>
      <c r="I811">
        <v>83</v>
      </c>
      <c r="J811">
        <v>84</v>
      </c>
      <c r="K811">
        <v>40</v>
      </c>
      <c r="L811">
        <v>42</v>
      </c>
      <c r="M811">
        <v>93</v>
      </c>
      <c r="N811">
        <v>98</v>
      </c>
      <c r="O811">
        <v>357</v>
      </c>
      <c r="P811">
        <v>71.400000000000006</v>
      </c>
      <c r="Q811" t="s">
        <v>40</v>
      </c>
      <c r="R811" t="s">
        <v>41</v>
      </c>
      <c r="S811">
        <v>2172</v>
      </c>
      <c r="T811" t="s">
        <v>66</v>
      </c>
      <c r="U811" t="str">
        <f t="shared" si="12"/>
        <v>Pass</v>
      </c>
    </row>
    <row r="812" spans="1:21">
      <c r="A812" t="s">
        <v>1670</v>
      </c>
      <c r="B812" t="s">
        <v>562</v>
      </c>
      <c r="C812" t="s">
        <v>22</v>
      </c>
      <c r="D812">
        <v>9</v>
      </c>
      <c r="E812" t="s">
        <v>26</v>
      </c>
      <c r="F812">
        <v>14</v>
      </c>
      <c r="G812" t="s">
        <v>45</v>
      </c>
      <c r="H812" t="s">
        <v>1671</v>
      </c>
      <c r="I812">
        <v>89</v>
      </c>
      <c r="J812">
        <v>36</v>
      </c>
      <c r="K812">
        <v>35</v>
      </c>
      <c r="L812">
        <v>44</v>
      </c>
      <c r="M812">
        <v>66</v>
      </c>
      <c r="N812">
        <v>90</v>
      </c>
      <c r="O812">
        <v>271</v>
      </c>
      <c r="P812">
        <v>54.2</v>
      </c>
      <c r="Q812" t="s">
        <v>31</v>
      </c>
      <c r="R812" t="s">
        <v>27</v>
      </c>
      <c r="S812">
        <v>2938</v>
      </c>
      <c r="T812" t="s">
        <v>70</v>
      </c>
      <c r="U812" t="str">
        <f t="shared" si="12"/>
        <v>Fail</v>
      </c>
    </row>
    <row r="813" spans="1:21">
      <c r="A813" t="s">
        <v>1672</v>
      </c>
      <c r="B813" t="s">
        <v>36</v>
      </c>
      <c r="C813" t="s">
        <v>37</v>
      </c>
      <c r="D813">
        <v>12</v>
      </c>
      <c r="E813" t="s">
        <v>47</v>
      </c>
      <c r="F813">
        <v>16</v>
      </c>
      <c r="G813" t="s">
        <v>32</v>
      </c>
      <c r="H813" t="s">
        <v>1452</v>
      </c>
      <c r="I813">
        <v>69</v>
      </c>
      <c r="J813">
        <v>46</v>
      </c>
      <c r="K813">
        <v>91</v>
      </c>
      <c r="L813">
        <v>43</v>
      </c>
      <c r="M813">
        <v>55</v>
      </c>
      <c r="N813">
        <v>43</v>
      </c>
      <c r="O813">
        <v>278</v>
      </c>
      <c r="P813">
        <v>55.6</v>
      </c>
      <c r="Q813" t="s">
        <v>31</v>
      </c>
      <c r="R813" t="s">
        <v>27</v>
      </c>
      <c r="S813">
        <v>1847</v>
      </c>
      <c r="T813" t="s">
        <v>66</v>
      </c>
      <c r="U813" t="str">
        <f t="shared" si="12"/>
        <v>Pass</v>
      </c>
    </row>
    <row r="814" spans="1:21">
      <c r="A814" t="s">
        <v>1673</v>
      </c>
      <c r="B814" t="s">
        <v>36</v>
      </c>
      <c r="C814" t="s">
        <v>22</v>
      </c>
      <c r="D814">
        <v>5</v>
      </c>
      <c r="E814" t="s">
        <v>47</v>
      </c>
      <c r="F814">
        <v>11</v>
      </c>
      <c r="G814" t="s">
        <v>54</v>
      </c>
      <c r="H814" t="s">
        <v>1674</v>
      </c>
      <c r="I814">
        <v>100</v>
      </c>
      <c r="J814">
        <v>68</v>
      </c>
      <c r="K814">
        <v>39</v>
      </c>
      <c r="L814">
        <v>35</v>
      </c>
      <c r="M814">
        <v>58</v>
      </c>
      <c r="N814">
        <v>48</v>
      </c>
      <c r="O814">
        <v>248</v>
      </c>
      <c r="P814">
        <v>49.6</v>
      </c>
      <c r="Q814" t="s">
        <v>23</v>
      </c>
      <c r="R814" t="s">
        <v>41</v>
      </c>
      <c r="S814">
        <v>4197</v>
      </c>
      <c r="T814" t="s">
        <v>28</v>
      </c>
      <c r="U814" t="str">
        <f t="shared" si="12"/>
        <v>Fail</v>
      </c>
    </row>
    <row r="815" spans="1:21">
      <c r="A815" t="s">
        <v>1675</v>
      </c>
      <c r="B815" t="s">
        <v>844</v>
      </c>
      <c r="C815" t="s">
        <v>22</v>
      </c>
      <c r="D815">
        <v>4</v>
      </c>
      <c r="E815" t="s">
        <v>31</v>
      </c>
      <c r="F815">
        <v>9</v>
      </c>
      <c r="G815" t="s">
        <v>45</v>
      </c>
      <c r="H815" t="s">
        <v>1676</v>
      </c>
      <c r="I815">
        <v>89</v>
      </c>
      <c r="J815">
        <v>78</v>
      </c>
      <c r="K815">
        <v>88</v>
      </c>
      <c r="L815">
        <v>68</v>
      </c>
      <c r="M815">
        <v>63</v>
      </c>
      <c r="N815">
        <v>86</v>
      </c>
      <c r="O815">
        <v>383</v>
      </c>
      <c r="P815">
        <v>76.599999999999994</v>
      </c>
      <c r="Q815" t="s">
        <v>40</v>
      </c>
      <c r="R815" t="s">
        <v>27</v>
      </c>
      <c r="S815">
        <v>2683</v>
      </c>
      <c r="T815" t="s">
        <v>66</v>
      </c>
      <c r="U815" t="str">
        <f t="shared" si="12"/>
        <v>Pass</v>
      </c>
    </row>
    <row r="816" spans="1:21">
      <c r="A816" t="s">
        <v>1677</v>
      </c>
      <c r="B816" t="s">
        <v>239</v>
      </c>
      <c r="C816" t="s">
        <v>37</v>
      </c>
      <c r="D816">
        <v>1</v>
      </c>
      <c r="E816" t="s">
        <v>31</v>
      </c>
      <c r="F816">
        <v>7</v>
      </c>
      <c r="G816" t="s">
        <v>58</v>
      </c>
      <c r="H816" t="s">
        <v>1678</v>
      </c>
      <c r="I816">
        <v>73</v>
      </c>
      <c r="J816">
        <v>70</v>
      </c>
      <c r="K816">
        <v>62</v>
      </c>
      <c r="L816">
        <v>45</v>
      </c>
      <c r="M816">
        <v>46</v>
      </c>
      <c r="N816">
        <v>79</v>
      </c>
      <c r="O816">
        <v>302</v>
      </c>
      <c r="P816">
        <v>60.4</v>
      </c>
      <c r="Q816" t="s">
        <v>26</v>
      </c>
      <c r="R816" t="s">
        <v>41</v>
      </c>
      <c r="S816">
        <v>1881</v>
      </c>
      <c r="T816" t="s">
        <v>34</v>
      </c>
      <c r="U816" t="str">
        <f t="shared" si="12"/>
        <v>Pass</v>
      </c>
    </row>
    <row r="817" spans="1:21">
      <c r="A817" t="s">
        <v>1679</v>
      </c>
      <c r="B817" t="s">
        <v>359</v>
      </c>
      <c r="C817" t="s">
        <v>37</v>
      </c>
      <c r="D817">
        <v>11</v>
      </c>
      <c r="E817" t="s">
        <v>47</v>
      </c>
      <c r="F817">
        <v>17</v>
      </c>
      <c r="G817" t="s">
        <v>24</v>
      </c>
      <c r="H817" t="s">
        <v>237</v>
      </c>
      <c r="I817">
        <v>67</v>
      </c>
      <c r="J817">
        <v>56</v>
      </c>
      <c r="K817">
        <v>77</v>
      </c>
      <c r="L817">
        <v>73</v>
      </c>
      <c r="M817">
        <v>74</v>
      </c>
      <c r="N817">
        <v>68</v>
      </c>
      <c r="O817">
        <v>348</v>
      </c>
      <c r="P817">
        <v>69.599999999999994</v>
      </c>
      <c r="Q817" t="s">
        <v>26</v>
      </c>
      <c r="R817" t="s">
        <v>41</v>
      </c>
      <c r="S817">
        <v>3529</v>
      </c>
      <c r="T817" t="s">
        <v>34</v>
      </c>
      <c r="U817" t="str">
        <f t="shared" si="12"/>
        <v>Pass</v>
      </c>
    </row>
    <row r="818" spans="1:21">
      <c r="A818" t="s">
        <v>1680</v>
      </c>
      <c r="B818" t="s">
        <v>359</v>
      </c>
      <c r="C818" t="s">
        <v>37</v>
      </c>
      <c r="D818">
        <v>6</v>
      </c>
      <c r="E818" t="s">
        <v>47</v>
      </c>
      <c r="F818">
        <v>10</v>
      </c>
      <c r="G818" t="s">
        <v>38</v>
      </c>
      <c r="H818" t="s">
        <v>427</v>
      </c>
      <c r="I818">
        <v>94</v>
      </c>
      <c r="J818">
        <v>58</v>
      </c>
      <c r="K818">
        <v>79</v>
      </c>
      <c r="L818">
        <v>87</v>
      </c>
      <c r="M818">
        <v>52</v>
      </c>
      <c r="N818">
        <v>44</v>
      </c>
      <c r="O818">
        <v>320</v>
      </c>
      <c r="P818">
        <v>64</v>
      </c>
      <c r="Q818" t="s">
        <v>26</v>
      </c>
      <c r="R818" t="s">
        <v>27</v>
      </c>
      <c r="S818">
        <v>1960</v>
      </c>
      <c r="T818" t="s">
        <v>70</v>
      </c>
      <c r="U818" t="str">
        <f t="shared" si="12"/>
        <v>Pass</v>
      </c>
    </row>
    <row r="819" spans="1:21">
      <c r="A819" t="s">
        <v>1681</v>
      </c>
      <c r="B819" t="s">
        <v>326</v>
      </c>
      <c r="C819" t="s">
        <v>22</v>
      </c>
      <c r="D819">
        <v>3</v>
      </c>
      <c r="E819" t="s">
        <v>31</v>
      </c>
      <c r="F819">
        <v>8</v>
      </c>
      <c r="G819" t="s">
        <v>24</v>
      </c>
      <c r="H819" t="s">
        <v>143</v>
      </c>
      <c r="I819">
        <v>87</v>
      </c>
      <c r="J819">
        <v>61</v>
      </c>
      <c r="K819">
        <v>58</v>
      </c>
      <c r="L819">
        <v>54</v>
      </c>
      <c r="M819">
        <v>89</v>
      </c>
      <c r="N819">
        <v>68</v>
      </c>
      <c r="O819">
        <v>330</v>
      </c>
      <c r="P819">
        <v>66</v>
      </c>
      <c r="Q819" t="s">
        <v>26</v>
      </c>
      <c r="R819" t="s">
        <v>41</v>
      </c>
      <c r="S819">
        <v>2238</v>
      </c>
      <c r="T819" t="s">
        <v>66</v>
      </c>
      <c r="U819" t="str">
        <f t="shared" si="12"/>
        <v>Pass</v>
      </c>
    </row>
    <row r="820" spans="1:21">
      <c r="A820" t="s">
        <v>1682</v>
      </c>
      <c r="B820" t="s">
        <v>110</v>
      </c>
      <c r="C820" t="s">
        <v>22</v>
      </c>
      <c r="D820">
        <v>4</v>
      </c>
      <c r="E820" t="s">
        <v>26</v>
      </c>
      <c r="F820">
        <v>10</v>
      </c>
      <c r="G820" t="s">
        <v>24</v>
      </c>
      <c r="H820" t="s">
        <v>753</v>
      </c>
      <c r="I820">
        <v>61</v>
      </c>
      <c r="J820">
        <v>52</v>
      </c>
      <c r="K820">
        <v>45</v>
      </c>
      <c r="L820">
        <v>78</v>
      </c>
      <c r="M820">
        <v>43</v>
      </c>
      <c r="N820">
        <v>71</v>
      </c>
      <c r="O820">
        <v>289</v>
      </c>
      <c r="P820">
        <v>57.8</v>
      </c>
      <c r="Q820" t="s">
        <v>31</v>
      </c>
      <c r="R820" t="s">
        <v>27</v>
      </c>
      <c r="S820">
        <v>2153</v>
      </c>
      <c r="T820" t="s">
        <v>66</v>
      </c>
      <c r="U820" t="str">
        <f t="shared" si="12"/>
        <v>Pass</v>
      </c>
    </row>
    <row r="821" spans="1:21">
      <c r="A821" t="s">
        <v>1683</v>
      </c>
      <c r="B821" t="s">
        <v>350</v>
      </c>
      <c r="C821" t="s">
        <v>22</v>
      </c>
      <c r="D821">
        <v>12</v>
      </c>
      <c r="E821" t="s">
        <v>31</v>
      </c>
      <c r="F821">
        <v>17</v>
      </c>
      <c r="G821" t="s">
        <v>38</v>
      </c>
      <c r="H821" t="s">
        <v>240</v>
      </c>
      <c r="I821">
        <v>96</v>
      </c>
      <c r="J821">
        <v>42</v>
      </c>
      <c r="K821">
        <v>98</v>
      </c>
      <c r="L821">
        <v>89</v>
      </c>
      <c r="M821">
        <v>46</v>
      </c>
      <c r="N821">
        <v>43</v>
      </c>
      <c r="O821">
        <v>318</v>
      </c>
      <c r="P821">
        <v>63.6</v>
      </c>
      <c r="Q821" t="s">
        <v>26</v>
      </c>
      <c r="R821" t="s">
        <v>27</v>
      </c>
      <c r="S821">
        <v>1821</v>
      </c>
      <c r="T821" t="s">
        <v>34</v>
      </c>
      <c r="U821" t="str">
        <f t="shared" si="12"/>
        <v>Pass</v>
      </c>
    </row>
    <row r="822" spans="1:21">
      <c r="A822" t="s">
        <v>1684</v>
      </c>
      <c r="B822" t="s">
        <v>247</v>
      </c>
      <c r="C822" t="s">
        <v>22</v>
      </c>
      <c r="D822">
        <v>7</v>
      </c>
      <c r="E822" t="s">
        <v>47</v>
      </c>
      <c r="F822">
        <v>11</v>
      </c>
      <c r="G822" t="s">
        <v>58</v>
      </c>
      <c r="H822" t="s">
        <v>1397</v>
      </c>
      <c r="I822">
        <v>95</v>
      </c>
      <c r="J822">
        <v>50</v>
      </c>
      <c r="K822">
        <v>40</v>
      </c>
      <c r="L822">
        <v>35</v>
      </c>
      <c r="M822">
        <v>88</v>
      </c>
      <c r="N822">
        <v>100</v>
      </c>
      <c r="O822">
        <v>313</v>
      </c>
      <c r="P822">
        <v>62.6</v>
      </c>
      <c r="Q822" t="s">
        <v>26</v>
      </c>
      <c r="R822" t="s">
        <v>27</v>
      </c>
      <c r="S822">
        <v>4627</v>
      </c>
      <c r="T822" t="s">
        <v>28</v>
      </c>
      <c r="U822" t="str">
        <f t="shared" si="12"/>
        <v>Pass</v>
      </c>
    </row>
    <row r="823" spans="1:21">
      <c r="A823" t="s">
        <v>1685</v>
      </c>
      <c r="B823" t="s">
        <v>1417</v>
      </c>
      <c r="C823" t="s">
        <v>37</v>
      </c>
      <c r="D823">
        <v>9</v>
      </c>
      <c r="E823" t="s">
        <v>31</v>
      </c>
      <c r="F823">
        <v>15</v>
      </c>
      <c r="G823" t="s">
        <v>64</v>
      </c>
      <c r="H823" t="s">
        <v>1686</v>
      </c>
      <c r="I823">
        <v>99</v>
      </c>
      <c r="J823">
        <v>61</v>
      </c>
      <c r="K823">
        <v>71</v>
      </c>
      <c r="L823">
        <v>54</v>
      </c>
      <c r="M823">
        <v>78</v>
      </c>
      <c r="N823">
        <v>55</v>
      </c>
      <c r="O823">
        <v>319</v>
      </c>
      <c r="P823">
        <v>63.8</v>
      </c>
      <c r="Q823" t="s">
        <v>26</v>
      </c>
      <c r="R823" t="s">
        <v>27</v>
      </c>
      <c r="S823">
        <v>1821</v>
      </c>
      <c r="T823" t="s">
        <v>66</v>
      </c>
      <c r="U823" t="str">
        <f t="shared" si="12"/>
        <v>Pass</v>
      </c>
    </row>
    <row r="824" spans="1:21">
      <c r="A824" t="s">
        <v>1687</v>
      </c>
      <c r="B824" t="s">
        <v>199</v>
      </c>
      <c r="C824" t="s">
        <v>22</v>
      </c>
      <c r="D824">
        <v>6</v>
      </c>
      <c r="E824" t="s">
        <v>23</v>
      </c>
      <c r="F824">
        <v>11</v>
      </c>
      <c r="G824" t="s">
        <v>64</v>
      </c>
      <c r="H824" t="s">
        <v>1688</v>
      </c>
      <c r="I824">
        <v>75</v>
      </c>
      <c r="J824">
        <v>64</v>
      </c>
      <c r="K824">
        <v>83</v>
      </c>
      <c r="L824">
        <v>67</v>
      </c>
      <c r="M824">
        <v>47</v>
      </c>
      <c r="N824">
        <v>81</v>
      </c>
      <c r="O824">
        <v>342</v>
      </c>
      <c r="P824">
        <v>68.400000000000006</v>
      </c>
      <c r="Q824" t="s">
        <v>26</v>
      </c>
      <c r="R824" t="s">
        <v>27</v>
      </c>
      <c r="S824">
        <v>2819</v>
      </c>
      <c r="T824" t="s">
        <v>42</v>
      </c>
      <c r="U824" t="str">
        <f t="shared" si="12"/>
        <v>Pass</v>
      </c>
    </row>
    <row r="825" spans="1:21">
      <c r="A825" t="s">
        <v>1689</v>
      </c>
      <c r="B825" t="s">
        <v>350</v>
      </c>
      <c r="C825" t="s">
        <v>37</v>
      </c>
      <c r="D825">
        <v>11</v>
      </c>
      <c r="E825" t="s">
        <v>23</v>
      </c>
      <c r="F825">
        <v>16</v>
      </c>
      <c r="G825" t="s">
        <v>32</v>
      </c>
      <c r="H825" t="s">
        <v>1690</v>
      </c>
      <c r="I825">
        <v>72</v>
      </c>
      <c r="J825">
        <v>85</v>
      </c>
      <c r="K825">
        <v>94</v>
      </c>
      <c r="L825">
        <v>60</v>
      </c>
      <c r="M825">
        <v>43</v>
      </c>
      <c r="N825">
        <v>92</v>
      </c>
      <c r="O825">
        <v>374</v>
      </c>
      <c r="P825">
        <v>74.8</v>
      </c>
      <c r="Q825" t="s">
        <v>40</v>
      </c>
      <c r="R825" t="s">
        <v>41</v>
      </c>
      <c r="S825">
        <v>3608</v>
      </c>
      <c r="T825" t="s">
        <v>70</v>
      </c>
      <c r="U825" t="str">
        <f t="shared" si="12"/>
        <v>Pass</v>
      </c>
    </row>
    <row r="826" spans="1:21">
      <c r="A826" t="s">
        <v>1691</v>
      </c>
      <c r="B826" t="s">
        <v>187</v>
      </c>
      <c r="C826" t="s">
        <v>37</v>
      </c>
      <c r="D826">
        <v>9</v>
      </c>
      <c r="E826" t="s">
        <v>23</v>
      </c>
      <c r="F826">
        <v>14</v>
      </c>
      <c r="G826" t="s">
        <v>24</v>
      </c>
      <c r="H826" t="s">
        <v>1205</v>
      </c>
      <c r="I826">
        <v>99</v>
      </c>
      <c r="J826">
        <v>36</v>
      </c>
      <c r="K826">
        <v>96</v>
      </c>
      <c r="L826">
        <v>51</v>
      </c>
      <c r="M826">
        <v>44</v>
      </c>
      <c r="N826">
        <v>38</v>
      </c>
      <c r="O826">
        <v>265</v>
      </c>
      <c r="P826">
        <v>53</v>
      </c>
      <c r="Q826" t="s">
        <v>31</v>
      </c>
      <c r="R826" t="s">
        <v>27</v>
      </c>
      <c r="S826">
        <v>2208</v>
      </c>
      <c r="T826" t="s">
        <v>28</v>
      </c>
      <c r="U826" t="str">
        <f t="shared" si="12"/>
        <v>Fail</v>
      </c>
    </row>
    <row r="827" spans="1:21">
      <c r="A827" t="s">
        <v>1692</v>
      </c>
      <c r="B827" t="s">
        <v>295</v>
      </c>
      <c r="C827" t="s">
        <v>37</v>
      </c>
      <c r="D827">
        <v>4</v>
      </c>
      <c r="E827" t="s">
        <v>26</v>
      </c>
      <c r="F827">
        <v>8</v>
      </c>
      <c r="G827" t="s">
        <v>45</v>
      </c>
      <c r="H827" t="s">
        <v>1693</v>
      </c>
      <c r="I827">
        <v>78</v>
      </c>
      <c r="J827">
        <v>74</v>
      </c>
      <c r="K827">
        <v>86</v>
      </c>
      <c r="L827">
        <v>92</v>
      </c>
      <c r="M827">
        <v>42</v>
      </c>
      <c r="N827">
        <v>81</v>
      </c>
      <c r="O827">
        <v>375</v>
      </c>
      <c r="P827">
        <v>75</v>
      </c>
      <c r="Q827" t="s">
        <v>40</v>
      </c>
      <c r="R827" t="s">
        <v>41</v>
      </c>
      <c r="S827">
        <v>3642</v>
      </c>
      <c r="T827" t="s">
        <v>48</v>
      </c>
      <c r="U827" t="str">
        <f t="shared" si="12"/>
        <v>Pass</v>
      </c>
    </row>
    <row r="828" spans="1:21">
      <c r="A828" t="s">
        <v>1694</v>
      </c>
      <c r="B828" t="s">
        <v>247</v>
      </c>
      <c r="C828" t="s">
        <v>37</v>
      </c>
      <c r="D828">
        <v>3</v>
      </c>
      <c r="E828" t="s">
        <v>23</v>
      </c>
      <c r="F828">
        <v>9</v>
      </c>
      <c r="G828" t="s">
        <v>64</v>
      </c>
      <c r="H828" t="s">
        <v>1558</v>
      </c>
      <c r="I828">
        <v>98</v>
      </c>
      <c r="J828">
        <v>43</v>
      </c>
      <c r="K828">
        <v>64</v>
      </c>
      <c r="L828">
        <v>62</v>
      </c>
      <c r="M828">
        <v>58</v>
      </c>
      <c r="N828">
        <v>56</v>
      </c>
      <c r="O828">
        <v>283</v>
      </c>
      <c r="P828">
        <v>56.6</v>
      </c>
      <c r="Q828" t="s">
        <v>31</v>
      </c>
      <c r="R828" t="s">
        <v>27</v>
      </c>
      <c r="S828">
        <v>2747</v>
      </c>
      <c r="T828" t="s">
        <v>34</v>
      </c>
      <c r="U828" t="str">
        <f t="shared" si="12"/>
        <v>Pass</v>
      </c>
    </row>
    <row r="829" spans="1:21">
      <c r="A829" t="s">
        <v>1695</v>
      </c>
      <c r="B829" t="s">
        <v>253</v>
      </c>
      <c r="C829" t="s">
        <v>22</v>
      </c>
      <c r="D829">
        <v>6</v>
      </c>
      <c r="E829" t="s">
        <v>31</v>
      </c>
      <c r="F829">
        <v>12</v>
      </c>
      <c r="G829" t="s">
        <v>38</v>
      </c>
      <c r="H829" t="s">
        <v>91</v>
      </c>
      <c r="I829">
        <v>72</v>
      </c>
      <c r="J829">
        <v>64</v>
      </c>
      <c r="K829">
        <v>87</v>
      </c>
      <c r="L829">
        <v>40</v>
      </c>
      <c r="M829">
        <v>35</v>
      </c>
      <c r="N829">
        <v>68</v>
      </c>
      <c r="O829">
        <v>294</v>
      </c>
      <c r="P829">
        <v>58.8</v>
      </c>
      <c r="Q829" t="s">
        <v>31</v>
      </c>
      <c r="R829" t="s">
        <v>27</v>
      </c>
      <c r="S829">
        <v>1650</v>
      </c>
      <c r="T829" t="s">
        <v>34</v>
      </c>
      <c r="U829" t="str">
        <f t="shared" si="12"/>
        <v>Pass</v>
      </c>
    </row>
    <row r="830" spans="1:21">
      <c r="A830" t="s">
        <v>1696</v>
      </c>
      <c r="B830" t="s">
        <v>305</v>
      </c>
      <c r="C830" t="s">
        <v>22</v>
      </c>
      <c r="D830">
        <v>11</v>
      </c>
      <c r="E830" t="s">
        <v>26</v>
      </c>
      <c r="F830">
        <v>15</v>
      </c>
      <c r="G830" t="s">
        <v>32</v>
      </c>
      <c r="H830" t="s">
        <v>1697</v>
      </c>
      <c r="I830">
        <v>62</v>
      </c>
      <c r="J830">
        <v>84</v>
      </c>
      <c r="K830">
        <v>71</v>
      </c>
      <c r="L830">
        <v>87</v>
      </c>
      <c r="M830">
        <v>54</v>
      </c>
      <c r="N830">
        <v>85</v>
      </c>
      <c r="O830">
        <v>381</v>
      </c>
      <c r="P830">
        <v>76.2</v>
      </c>
      <c r="Q830" t="s">
        <v>40</v>
      </c>
      <c r="R830" t="s">
        <v>27</v>
      </c>
      <c r="S830">
        <v>3867</v>
      </c>
      <c r="T830" t="s">
        <v>48</v>
      </c>
      <c r="U830" t="str">
        <f t="shared" si="12"/>
        <v>Pass</v>
      </c>
    </row>
    <row r="831" spans="1:21">
      <c r="A831" t="s">
        <v>1698</v>
      </c>
      <c r="B831" t="s">
        <v>93</v>
      </c>
      <c r="C831" t="s">
        <v>22</v>
      </c>
      <c r="D831">
        <v>8</v>
      </c>
      <c r="E831" t="s">
        <v>47</v>
      </c>
      <c r="F831">
        <v>12</v>
      </c>
      <c r="G831" t="s">
        <v>24</v>
      </c>
      <c r="H831" t="s">
        <v>1699</v>
      </c>
      <c r="I831">
        <v>75</v>
      </c>
      <c r="J831">
        <v>61</v>
      </c>
      <c r="K831">
        <v>88</v>
      </c>
      <c r="L831">
        <v>93</v>
      </c>
      <c r="M831">
        <v>44</v>
      </c>
      <c r="N831">
        <v>37</v>
      </c>
      <c r="O831">
        <v>323</v>
      </c>
      <c r="P831">
        <v>64.599999999999994</v>
      </c>
      <c r="Q831" t="s">
        <v>26</v>
      </c>
      <c r="R831" t="s">
        <v>27</v>
      </c>
      <c r="S831">
        <v>4747</v>
      </c>
      <c r="T831" t="s">
        <v>28</v>
      </c>
      <c r="U831" t="str">
        <f t="shared" si="12"/>
        <v>Pass</v>
      </c>
    </row>
    <row r="832" spans="1:21">
      <c r="A832" t="s">
        <v>1700</v>
      </c>
      <c r="B832" t="s">
        <v>900</v>
      </c>
      <c r="C832" t="s">
        <v>37</v>
      </c>
      <c r="D832">
        <v>9</v>
      </c>
      <c r="E832" t="s">
        <v>23</v>
      </c>
      <c r="F832">
        <v>13</v>
      </c>
      <c r="G832" t="s">
        <v>54</v>
      </c>
      <c r="H832" t="s">
        <v>1701</v>
      </c>
      <c r="I832">
        <v>60</v>
      </c>
      <c r="J832">
        <v>78</v>
      </c>
      <c r="K832">
        <v>95</v>
      </c>
      <c r="L832">
        <v>98</v>
      </c>
      <c r="M832">
        <v>60</v>
      </c>
      <c r="N832">
        <v>96</v>
      </c>
      <c r="O832">
        <v>427</v>
      </c>
      <c r="P832">
        <v>85.4</v>
      </c>
      <c r="Q832" t="s">
        <v>47</v>
      </c>
      <c r="R832" t="s">
        <v>41</v>
      </c>
      <c r="S832">
        <v>1762</v>
      </c>
      <c r="T832" t="s">
        <v>28</v>
      </c>
      <c r="U832" t="str">
        <f t="shared" si="12"/>
        <v>Pass</v>
      </c>
    </row>
    <row r="833" spans="1:21">
      <c r="A833" t="s">
        <v>1702</v>
      </c>
      <c r="B833" t="s">
        <v>461</v>
      </c>
      <c r="C833" t="s">
        <v>37</v>
      </c>
      <c r="D833">
        <v>6</v>
      </c>
      <c r="E833" t="s">
        <v>31</v>
      </c>
      <c r="F833">
        <v>10</v>
      </c>
      <c r="G833" t="s">
        <v>24</v>
      </c>
      <c r="H833" t="s">
        <v>1703</v>
      </c>
      <c r="I833">
        <v>83</v>
      </c>
      <c r="J833">
        <v>45</v>
      </c>
      <c r="K833">
        <v>83</v>
      </c>
      <c r="L833">
        <v>83</v>
      </c>
      <c r="M833">
        <v>76</v>
      </c>
      <c r="N833">
        <v>57</v>
      </c>
      <c r="O833">
        <v>344</v>
      </c>
      <c r="P833">
        <v>68.8</v>
      </c>
      <c r="Q833" t="s">
        <v>26</v>
      </c>
      <c r="R833" t="s">
        <v>41</v>
      </c>
      <c r="S833">
        <v>3457</v>
      </c>
      <c r="T833" t="s">
        <v>48</v>
      </c>
      <c r="U833" t="str">
        <f t="shared" si="12"/>
        <v>Pass</v>
      </c>
    </row>
    <row r="834" spans="1:21">
      <c r="A834" t="s">
        <v>1704</v>
      </c>
      <c r="B834" t="s">
        <v>280</v>
      </c>
      <c r="C834" t="s">
        <v>37</v>
      </c>
      <c r="D834">
        <v>4</v>
      </c>
      <c r="E834" t="s">
        <v>31</v>
      </c>
      <c r="F834">
        <v>10</v>
      </c>
      <c r="G834" t="s">
        <v>32</v>
      </c>
      <c r="H834" t="s">
        <v>875</v>
      </c>
      <c r="I834">
        <v>100</v>
      </c>
      <c r="J834">
        <v>55</v>
      </c>
      <c r="K834">
        <v>59</v>
      </c>
      <c r="L834">
        <v>36</v>
      </c>
      <c r="M834">
        <v>94</v>
      </c>
      <c r="N834">
        <v>56</v>
      </c>
      <c r="O834">
        <v>300</v>
      </c>
      <c r="P834">
        <v>60</v>
      </c>
      <c r="Q834" t="s">
        <v>26</v>
      </c>
      <c r="R834" t="s">
        <v>41</v>
      </c>
      <c r="S834">
        <v>3771</v>
      </c>
      <c r="T834" t="s">
        <v>28</v>
      </c>
      <c r="U834" t="str">
        <f t="shared" si="12"/>
        <v>Pass</v>
      </c>
    </row>
    <row r="835" spans="1:21">
      <c r="A835" t="s">
        <v>1705</v>
      </c>
      <c r="B835" t="s">
        <v>280</v>
      </c>
      <c r="C835" t="s">
        <v>22</v>
      </c>
      <c r="D835">
        <v>8</v>
      </c>
      <c r="E835" t="s">
        <v>47</v>
      </c>
      <c r="F835">
        <v>14</v>
      </c>
      <c r="G835" t="s">
        <v>32</v>
      </c>
      <c r="H835" t="s">
        <v>1706</v>
      </c>
      <c r="I835">
        <v>78</v>
      </c>
      <c r="J835">
        <v>100</v>
      </c>
      <c r="K835">
        <v>87</v>
      </c>
      <c r="L835">
        <v>37</v>
      </c>
      <c r="M835">
        <v>94</v>
      </c>
      <c r="N835">
        <v>67</v>
      </c>
      <c r="O835">
        <v>385</v>
      </c>
      <c r="P835">
        <v>77</v>
      </c>
      <c r="Q835" t="s">
        <v>40</v>
      </c>
      <c r="R835" t="s">
        <v>41</v>
      </c>
      <c r="S835">
        <v>3349</v>
      </c>
      <c r="T835" t="s">
        <v>28</v>
      </c>
      <c r="U835" t="str">
        <f t="shared" ref="U835:U898" si="13">IF(P835&gt;55,"Pass","Fail")</f>
        <v>Pass</v>
      </c>
    </row>
    <row r="836" spans="1:21">
      <c r="A836" t="s">
        <v>1707</v>
      </c>
      <c r="B836" t="s">
        <v>61</v>
      </c>
      <c r="C836" t="s">
        <v>22</v>
      </c>
      <c r="D836">
        <v>3</v>
      </c>
      <c r="E836" t="s">
        <v>31</v>
      </c>
      <c r="F836">
        <v>8</v>
      </c>
      <c r="G836" t="s">
        <v>64</v>
      </c>
      <c r="H836" t="s">
        <v>1708</v>
      </c>
      <c r="I836">
        <v>77</v>
      </c>
      <c r="J836">
        <v>59</v>
      </c>
      <c r="K836">
        <v>60</v>
      </c>
      <c r="L836">
        <v>44</v>
      </c>
      <c r="M836">
        <v>69</v>
      </c>
      <c r="N836">
        <v>95</v>
      </c>
      <c r="O836">
        <v>327</v>
      </c>
      <c r="P836">
        <v>65.400000000000006</v>
      </c>
      <c r="Q836" t="s">
        <v>26</v>
      </c>
      <c r="R836" t="s">
        <v>27</v>
      </c>
      <c r="S836">
        <v>4515</v>
      </c>
      <c r="T836" t="s">
        <v>66</v>
      </c>
      <c r="U836" t="str">
        <f t="shared" si="13"/>
        <v>Pass</v>
      </c>
    </row>
    <row r="837" spans="1:21">
      <c r="A837" t="s">
        <v>1709</v>
      </c>
      <c r="B837" t="s">
        <v>884</v>
      </c>
      <c r="C837" t="s">
        <v>22</v>
      </c>
      <c r="D837">
        <v>7</v>
      </c>
      <c r="E837" t="s">
        <v>31</v>
      </c>
      <c r="F837">
        <v>13</v>
      </c>
      <c r="G837" t="s">
        <v>64</v>
      </c>
      <c r="H837" t="s">
        <v>1710</v>
      </c>
      <c r="I837">
        <v>66</v>
      </c>
      <c r="J837">
        <v>65</v>
      </c>
      <c r="K837">
        <v>49</v>
      </c>
      <c r="L837">
        <v>51</v>
      </c>
      <c r="M837">
        <v>50</v>
      </c>
      <c r="N837">
        <v>59</v>
      </c>
      <c r="O837">
        <v>274</v>
      </c>
      <c r="P837">
        <v>54.8</v>
      </c>
      <c r="Q837" t="s">
        <v>31</v>
      </c>
      <c r="R837" t="s">
        <v>41</v>
      </c>
      <c r="S837">
        <v>2138</v>
      </c>
      <c r="T837" t="s">
        <v>48</v>
      </c>
      <c r="U837" t="str">
        <f t="shared" si="13"/>
        <v>Fail</v>
      </c>
    </row>
    <row r="838" spans="1:21">
      <c r="A838" t="s">
        <v>1711</v>
      </c>
      <c r="B838" t="s">
        <v>61</v>
      </c>
      <c r="C838" t="s">
        <v>22</v>
      </c>
      <c r="D838">
        <v>12</v>
      </c>
      <c r="E838" t="s">
        <v>23</v>
      </c>
      <c r="F838">
        <v>16</v>
      </c>
      <c r="G838" t="s">
        <v>45</v>
      </c>
      <c r="H838" t="s">
        <v>523</v>
      </c>
      <c r="I838">
        <v>88</v>
      </c>
      <c r="J838">
        <v>83</v>
      </c>
      <c r="K838">
        <v>39</v>
      </c>
      <c r="L838">
        <v>94</v>
      </c>
      <c r="M838">
        <v>39</v>
      </c>
      <c r="N838">
        <v>35</v>
      </c>
      <c r="O838">
        <v>290</v>
      </c>
      <c r="P838">
        <v>58</v>
      </c>
      <c r="Q838" t="s">
        <v>31</v>
      </c>
      <c r="R838" t="s">
        <v>27</v>
      </c>
      <c r="S838">
        <v>2071</v>
      </c>
      <c r="T838" t="s">
        <v>48</v>
      </c>
      <c r="U838" t="str">
        <f t="shared" si="13"/>
        <v>Pass</v>
      </c>
    </row>
    <row r="839" spans="1:21">
      <c r="A839" t="s">
        <v>1712</v>
      </c>
      <c r="B839" t="s">
        <v>178</v>
      </c>
      <c r="C839" t="s">
        <v>37</v>
      </c>
      <c r="D839">
        <v>3</v>
      </c>
      <c r="E839" t="s">
        <v>23</v>
      </c>
      <c r="F839">
        <v>8</v>
      </c>
      <c r="G839" t="s">
        <v>58</v>
      </c>
      <c r="H839" t="s">
        <v>1713</v>
      </c>
      <c r="I839">
        <v>61</v>
      </c>
      <c r="J839">
        <v>45</v>
      </c>
      <c r="K839">
        <v>57</v>
      </c>
      <c r="L839">
        <v>42</v>
      </c>
      <c r="M839">
        <v>35</v>
      </c>
      <c r="N839">
        <v>95</v>
      </c>
      <c r="O839">
        <v>274</v>
      </c>
      <c r="P839">
        <v>54.8</v>
      </c>
      <c r="Q839" t="s">
        <v>31</v>
      </c>
      <c r="R839" t="s">
        <v>41</v>
      </c>
      <c r="S839">
        <v>2158</v>
      </c>
      <c r="T839" t="s">
        <v>70</v>
      </c>
      <c r="U839" t="str">
        <f t="shared" si="13"/>
        <v>Fail</v>
      </c>
    </row>
    <row r="840" spans="1:21">
      <c r="A840" t="s">
        <v>1714</v>
      </c>
      <c r="B840" t="s">
        <v>582</v>
      </c>
      <c r="C840" t="s">
        <v>22</v>
      </c>
      <c r="D840">
        <v>10</v>
      </c>
      <c r="E840" t="s">
        <v>47</v>
      </c>
      <c r="F840">
        <v>16</v>
      </c>
      <c r="G840" t="s">
        <v>24</v>
      </c>
      <c r="H840" t="s">
        <v>1715</v>
      </c>
      <c r="I840">
        <v>71</v>
      </c>
      <c r="J840">
        <v>82</v>
      </c>
      <c r="K840">
        <v>84</v>
      </c>
      <c r="L840">
        <v>49</v>
      </c>
      <c r="M840">
        <v>98</v>
      </c>
      <c r="N840">
        <v>79</v>
      </c>
      <c r="O840">
        <v>392</v>
      </c>
      <c r="P840">
        <v>78.400000000000006</v>
      </c>
      <c r="Q840" t="s">
        <v>40</v>
      </c>
      <c r="R840" t="s">
        <v>41</v>
      </c>
      <c r="S840">
        <v>3451</v>
      </c>
      <c r="T840" t="s">
        <v>42</v>
      </c>
      <c r="U840" t="str">
        <f t="shared" si="13"/>
        <v>Pass</v>
      </c>
    </row>
    <row r="841" spans="1:21">
      <c r="A841" t="s">
        <v>1716</v>
      </c>
      <c r="B841" t="s">
        <v>326</v>
      </c>
      <c r="C841" t="s">
        <v>22</v>
      </c>
      <c r="D841">
        <v>7</v>
      </c>
      <c r="E841" t="s">
        <v>31</v>
      </c>
      <c r="F841">
        <v>13</v>
      </c>
      <c r="G841" t="s">
        <v>45</v>
      </c>
      <c r="H841" t="s">
        <v>1717</v>
      </c>
      <c r="I841">
        <v>74</v>
      </c>
      <c r="J841">
        <v>43</v>
      </c>
      <c r="K841">
        <v>79</v>
      </c>
      <c r="L841">
        <v>64</v>
      </c>
      <c r="M841">
        <v>37</v>
      </c>
      <c r="N841">
        <v>64</v>
      </c>
      <c r="O841">
        <v>287</v>
      </c>
      <c r="P841">
        <v>57.4</v>
      </c>
      <c r="Q841" t="s">
        <v>31</v>
      </c>
      <c r="R841" t="s">
        <v>41</v>
      </c>
      <c r="S841">
        <v>2152</v>
      </c>
      <c r="T841" t="s">
        <v>66</v>
      </c>
      <c r="U841" t="str">
        <f t="shared" si="13"/>
        <v>Pass</v>
      </c>
    </row>
    <row r="842" spans="1:21">
      <c r="A842" t="s">
        <v>1718</v>
      </c>
      <c r="B842" t="s">
        <v>508</v>
      </c>
      <c r="C842" t="s">
        <v>22</v>
      </c>
      <c r="D842">
        <v>9</v>
      </c>
      <c r="E842" t="s">
        <v>47</v>
      </c>
      <c r="F842">
        <v>13</v>
      </c>
      <c r="G842" t="s">
        <v>54</v>
      </c>
      <c r="H842" t="s">
        <v>943</v>
      </c>
      <c r="I842">
        <v>89</v>
      </c>
      <c r="J842">
        <v>52</v>
      </c>
      <c r="K842">
        <v>47</v>
      </c>
      <c r="L842">
        <v>35</v>
      </c>
      <c r="M842">
        <v>44</v>
      </c>
      <c r="N842">
        <v>57</v>
      </c>
      <c r="O842">
        <v>235</v>
      </c>
      <c r="P842">
        <v>47</v>
      </c>
      <c r="Q842" t="s">
        <v>23</v>
      </c>
      <c r="R842" t="s">
        <v>27</v>
      </c>
      <c r="S842">
        <v>2160</v>
      </c>
      <c r="T842" t="s">
        <v>42</v>
      </c>
      <c r="U842" t="str">
        <f t="shared" si="13"/>
        <v>Fail</v>
      </c>
    </row>
    <row r="843" spans="1:21">
      <c r="A843" t="s">
        <v>1719</v>
      </c>
      <c r="B843" t="s">
        <v>461</v>
      </c>
      <c r="C843" t="s">
        <v>37</v>
      </c>
      <c r="D843">
        <v>10</v>
      </c>
      <c r="E843" t="s">
        <v>47</v>
      </c>
      <c r="F843">
        <v>14</v>
      </c>
      <c r="G843" t="s">
        <v>45</v>
      </c>
      <c r="H843" t="s">
        <v>1720</v>
      </c>
      <c r="I843">
        <v>94</v>
      </c>
      <c r="J843">
        <v>69</v>
      </c>
      <c r="K843">
        <v>44</v>
      </c>
      <c r="L843">
        <v>61</v>
      </c>
      <c r="M843">
        <v>81</v>
      </c>
      <c r="N843">
        <v>95</v>
      </c>
      <c r="O843">
        <v>350</v>
      </c>
      <c r="P843">
        <v>70</v>
      </c>
      <c r="Q843" t="s">
        <v>40</v>
      </c>
      <c r="R843" t="s">
        <v>27</v>
      </c>
      <c r="S843">
        <v>2734</v>
      </c>
      <c r="T843" t="s">
        <v>66</v>
      </c>
      <c r="U843" t="str">
        <f t="shared" si="13"/>
        <v>Pass</v>
      </c>
    </row>
    <row r="844" spans="1:21">
      <c r="A844" t="s">
        <v>1721</v>
      </c>
      <c r="B844" t="s">
        <v>594</v>
      </c>
      <c r="C844" t="s">
        <v>37</v>
      </c>
      <c r="D844">
        <v>5</v>
      </c>
      <c r="E844" t="s">
        <v>47</v>
      </c>
      <c r="F844">
        <v>11</v>
      </c>
      <c r="G844" t="s">
        <v>38</v>
      </c>
      <c r="H844" t="s">
        <v>259</v>
      </c>
      <c r="I844">
        <v>73</v>
      </c>
      <c r="J844">
        <v>36</v>
      </c>
      <c r="K844">
        <v>52</v>
      </c>
      <c r="L844">
        <v>67</v>
      </c>
      <c r="M844">
        <v>50</v>
      </c>
      <c r="N844">
        <v>74</v>
      </c>
      <c r="O844">
        <v>279</v>
      </c>
      <c r="P844">
        <v>55.8</v>
      </c>
      <c r="Q844" t="s">
        <v>31</v>
      </c>
      <c r="R844" t="s">
        <v>41</v>
      </c>
      <c r="S844">
        <v>2333</v>
      </c>
      <c r="T844" t="s">
        <v>70</v>
      </c>
      <c r="U844" t="str">
        <f t="shared" si="13"/>
        <v>Pass</v>
      </c>
    </row>
    <row r="845" spans="1:21">
      <c r="A845" t="s">
        <v>1722</v>
      </c>
      <c r="B845" t="s">
        <v>1417</v>
      </c>
      <c r="C845" t="s">
        <v>22</v>
      </c>
      <c r="D845">
        <v>11</v>
      </c>
      <c r="E845" t="s">
        <v>23</v>
      </c>
      <c r="F845">
        <v>17</v>
      </c>
      <c r="G845" t="s">
        <v>58</v>
      </c>
      <c r="H845" t="s">
        <v>1723</v>
      </c>
      <c r="I845">
        <v>77</v>
      </c>
      <c r="J845">
        <v>47</v>
      </c>
      <c r="K845">
        <v>52</v>
      </c>
      <c r="L845">
        <v>73</v>
      </c>
      <c r="M845">
        <v>69</v>
      </c>
      <c r="N845">
        <v>91</v>
      </c>
      <c r="O845">
        <v>332</v>
      </c>
      <c r="P845">
        <v>66.400000000000006</v>
      </c>
      <c r="Q845" t="s">
        <v>26</v>
      </c>
      <c r="R845" t="s">
        <v>27</v>
      </c>
      <c r="S845">
        <v>4805</v>
      </c>
      <c r="T845" t="s">
        <v>28</v>
      </c>
      <c r="U845" t="str">
        <f t="shared" si="13"/>
        <v>Pass</v>
      </c>
    </row>
    <row r="846" spans="1:21">
      <c r="A846" t="s">
        <v>1724</v>
      </c>
      <c r="B846" t="s">
        <v>748</v>
      </c>
      <c r="C846" t="s">
        <v>22</v>
      </c>
      <c r="D846">
        <v>8</v>
      </c>
      <c r="E846" t="s">
        <v>31</v>
      </c>
      <c r="F846">
        <v>13</v>
      </c>
      <c r="G846" t="s">
        <v>54</v>
      </c>
      <c r="H846" t="s">
        <v>762</v>
      </c>
      <c r="I846">
        <v>99</v>
      </c>
      <c r="J846">
        <v>36</v>
      </c>
      <c r="K846">
        <v>52</v>
      </c>
      <c r="L846">
        <v>46</v>
      </c>
      <c r="M846">
        <v>71</v>
      </c>
      <c r="N846">
        <v>65</v>
      </c>
      <c r="O846">
        <v>270</v>
      </c>
      <c r="P846">
        <v>54</v>
      </c>
      <c r="Q846" t="s">
        <v>31</v>
      </c>
      <c r="R846" t="s">
        <v>41</v>
      </c>
      <c r="S846">
        <v>1524</v>
      </c>
      <c r="T846" t="s">
        <v>28</v>
      </c>
      <c r="U846" t="str">
        <f t="shared" si="13"/>
        <v>Fail</v>
      </c>
    </row>
    <row r="847" spans="1:21">
      <c r="A847" t="s">
        <v>1725</v>
      </c>
      <c r="B847" t="s">
        <v>329</v>
      </c>
      <c r="C847" t="s">
        <v>37</v>
      </c>
      <c r="D847">
        <v>1</v>
      </c>
      <c r="E847" t="s">
        <v>31</v>
      </c>
      <c r="F847">
        <v>6</v>
      </c>
      <c r="G847" t="s">
        <v>24</v>
      </c>
      <c r="H847" t="s">
        <v>1726</v>
      </c>
      <c r="I847">
        <v>80</v>
      </c>
      <c r="J847">
        <v>60</v>
      </c>
      <c r="K847">
        <v>80</v>
      </c>
      <c r="L847">
        <v>35</v>
      </c>
      <c r="M847">
        <v>79</v>
      </c>
      <c r="N847">
        <v>91</v>
      </c>
      <c r="O847">
        <v>345</v>
      </c>
      <c r="P847">
        <v>69</v>
      </c>
      <c r="Q847" t="s">
        <v>26</v>
      </c>
      <c r="R847" t="s">
        <v>41</v>
      </c>
      <c r="S847">
        <v>3267</v>
      </c>
      <c r="T847" t="s">
        <v>28</v>
      </c>
      <c r="U847" t="str">
        <f t="shared" si="13"/>
        <v>Pass</v>
      </c>
    </row>
    <row r="848" spans="1:21">
      <c r="A848" t="s">
        <v>1727</v>
      </c>
      <c r="B848" t="s">
        <v>798</v>
      </c>
      <c r="C848" t="s">
        <v>22</v>
      </c>
      <c r="D848">
        <v>12</v>
      </c>
      <c r="E848" t="s">
        <v>47</v>
      </c>
      <c r="F848">
        <v>16</v>
      </c>
      <c r="G848" t="s">
        <v>64</v>
      </c>
      <c r="H848" t="s">
        <v>1728</v>
      </c>
      <c r="I848">
        <v>77</v>
      </c>
      <c r="J848">
        <v>87</v>
      </c>
      <c r="K848">
        <v>65</v>
      </c>
      <c r="L848">
        <v>49</v>
      </c>
      <c r="M848">
        <v>56</v>
      </c>
      <c r="N848">
        <v>45</v>
      </c>
      <c r="O848">
        <v>302</v>
      </c>
      <c r="P848">
        <v>60.4</v>
      </c>
      <c r="Q848" t="s">
        <v>26</v>
      </c>
      <c r="R848" t="s">
        <v>41</v>
      </c>
      <c r="S848">
        <v>3424</v>
      </c>
      <c r="T848" t="s">
        <v>66</v>
      </c>
      <c r="U848" t="str">
        <f t="shared" si="13"/>
        <v>Pass</v>
      </c>
    </row>
    <row r="849" spans="1:21">
      <c r="A849" t="s">
        <v>1729</v>
      </c>
      <c r="B849" t="s">
        <v>900</v>
      </c>
      <c r="C849" t="s">
        <v>22</v>
      </c>
      <c r="D849">
        <v>8</v>
      </c>
      <c r="E849" t="s">
        <v>31</v>
      </c>
      <c r="F849">
        <v>12</v>
      </c>
      <c r="G849" t="s">
        <v>64</v>
      </c>
      <c r="H849" t="s">
        <v>1730</v>
      </c>
      <c r="I849">
        <v>71</v>
      </c>
      <c r="J849">
        <v>38</v>
      </c>
      <c r="K849">
        <v>85</v>
      </c>
      <c r="L849">
        <v>60</v>
      </c>
      <c r="M849">
        <v>88</v>
      </c>
      <c r="N849">
        <v>53</v>
      </c>
      <c r="O849">
        <v>324</v>
      </c>
      <c r="P849">
        <v>64.8</v>
      </c>
      <c r="Q849" t="s">
        <v>26</v>
      </c>
      <c r="R849" t="s">
        <v>41</v>
      </c>
      <c r="S849">
        <v>4250</v>
      </c>
      <c r="T849" t="s">
        <v>48</v>
      </c>
      <c r="U849" t="str">
        <f t="shared" si="13"/>
        <v>Pass</v>
      </c>
    </row>
    <row r="850" spans="1:21">
      <c r="A850" t="s">
        <v>1731</v>
      </c>
      <c r="B850" t="s">
        <v>1644</v>
      </c>
      <c r="C850" t="s">
        <v>37</v>
      </c>
      <c r="D850">
        <v>11</v>
      </c>
      <c r="E850" t="s">
        <v>31</v>
      </c>
      <c r="F850">
        <v>17</v>
      </c>
      <c r="G850" t="s">
        <v>45</v>
      </c>
      <c r="H850" t="s">
        <v>259</v>
      </c>
      <c r="I850">
        <v>93</v>
      </c>
      <c r="J850">
        <v>84</v>
      </c>
      <c r="K850">
        <v>50</v>
      </c>
      <c r="L850">
        <v>55</v>
      </c>
      <c r="M850">
        <v>68</v>
      </c>
      <c r="N850">
        <v>88</v>
      </c>
      <c r="O850">
        <v>345</v>
      </c>
      <c r="P850">
        <v>69</v>
      </c>
      <c r="Q850" t="s">
        <v>26</v>
      </c>
      <c r="R850" t="s">
        <v>41</v>
      </c>
      <c r="S850">
        <v>2447</v>
      </c>
      <c r="T850" t="s">
        <v>42</v>
      </c>
      <c r="U850" t="str">
        <f t="shared" si="13"/>
        <v>Pass</v>
      </c>
    </row>
    <row r="851" spans="1:21">
      <c r="A851" t="s">
        <v>1732</v>
      </c>
      <c r="B851" t="s">
        <v>426</v>
      </c>
      <c r="C851" t="s">
        <v>37</v>
      </c>
      <c r="D851">
        <v>1</v>
      </c>
      <c r="E851" t="s">
        <v>26</v>
      </c>
      <c r="F851">
        <v>6</v>
      </c>
      <c r="G851" t="s">
        <v>58</v>
      </c>
      <c r="H851" t="s">
        <v>1733</v>
      </c>
      <c r="I851">
        <v>92</v>
      </c>
      <c r="J851">
        <v>49</v>
      </c>
      <c r="K851">
        <v>97</v>
      </c>
      <c r="L851">
        <v>88</v>
      </c>
      <c r="M851">
        <v>93</v>
      </c>
      <c r="N851">
        <v>37</v>
      </c>
      <c r="O851">
        <v>364</v>
      </c>
      <c r="P851">
        <v>72.8</v>
      </c>
      <c r="Q851" t="s">
        <v>40</v>
      </c>
      <c r="R851" t="s">
        <v>27</v>
      </c>
      <c r="S851">
        <v>4158</v>
      </c>
      <c r="T851" t="s">
        <v>34</v>
      </c>
      <c r="U851" t="str">
        <f t="shared" si="13"/>
        <v>Pass</v>
      </c>
    </row>
    <row r="852" spans="1:21">
      <c r="A852" t="s">
        <v>1734</v>
      </c>
      <c r="B852" t="s">
        <v>386</v>
      </c>
      <c r="C852" t="s">
        <v>22</v>
      </c>
      <c r="D852">
        <v>10</v>
      </c>
      <c r="E852" t="s">
        <v>26</v>
      </c>
      <c r="F852">
        <v>16</v>
      </c>
      <c r="G852" t="s">
        <v>38</v>
      </c>
      <c r="H852" t="s">
        <v>435</v>
      </c>
      <c r="I852">
        <v>96</v>
      </c>
      <c r="J852">
        <v>54</v>
      </c>
      <c r="K852">
        <v>73</v>
      </c>
      <c r="L852">
        <v>79</v>
      </c>
      <c r="M852">
        <v>41</v>
      </c>
      <c r="N852">
        <v>75</v>
      </c>
      <c r="O852">
        <v>322</v>
      </c>
      <c r="P852">
        <v>64.400000000000006</v>
      </c>
      <c r="Q852" t="s">
        <v>26</v>
      </c>
      <c r="R852" t="s">
        <v>27</v>
      </c>
      <c r="S852">
        <v>2401</v>
      </c>
      <c r="T852" t="s">
        <v>42</v>
      </c>
      <c r="U852" t="str">
        <f t="shared" si="13"/>
        <v>Pass</v>
      </c>
    </row>
    <row r="853" spans="1:21">
      <c r="A853" t="s">
        <v>1735</v>
      </c>
      <c r="B853" t="s">
        <v>93</v>
      </c>
      <c r="C853" t="s">
        <v>22</v>
      </c>
      <c r="D853">
        <v>12</v>
      </c>
      <c r="E853" t="s">
        <v>26</v>
      </c>
      <c r="F853">
        <v>18</v>
      </c>
      <c r="G853" t="s">
        <v>24</v>
      </c>
      <c r="H853" t="s">
        <v>1736</v>
      </c>
      <c r="I853">
        <v>73</v>
      </c>
      <c r="J853">
        <v>95</v>
      </c>
      <c r="K853">
        <v>54</v>
      </c>
      <c r="L853">
        <v>55</v>
      </c>
      <c r="M853">
        <v>78</v>
      </c>
      <c r="N853">
        <v>44</v>
      </c>
      <c r="O853">
        <v>326</v>
      </c>
      <c r="P853">
        <v>65.2</v>
      </c>
      <c r="Q853" t="s">
        <v>26</v>
      </c>
      <c r="R853" t="s">
        <v>27</v>
      </c>
      <c r="S853">
        <v>4611</v>
      </c>
      <c r="T853" t="s">
        <v>34</v>
      </c>
      <c r="U853" t="str">
        <f t="shared" si="13"/>
        <v>Pass</v>
      </c>
    </row>
    <row r="854" spans="1:21">
      <c r="A854" t="s">
        <v>1737</v>
      </c>
      <c r="B854" t="s">
        <v>104</v>
      </c>
      <c r="C854" t="s">
        <v>37</v>
      </c>
      <c r="D854">
        <v>12</v>
      </c>
      <c r="E854" t="s">
        <v>47</v>
      </c>
      <c r="F854">
        <v>18</v>
      </c>
      <c r="G854" t="s">
        <v>45</v>
      </c>
      <c r="H854" t="s">
        <v>1738</v>
      </c>
      <c r="I854">
        <v>66</v>
      </c>
      <c r="J854">
        <v>95</v>
      </c>
      <c r="K854">
        <v>95</v>
      </c>
      <c r="L854">
        <v>71</v>
      </c>
      <c r="M854">
        <v>38</v>
      </c>
      <c r="N854">
        <v>46</v>
      </c>
      <c r="O854">
        <v>345</v>
      </c>
      <c r="P854">
        <v>69</v>
      </c>
      <c r="Q854" t="s">
        <v>26</v>
      </c>
      <c r="R854" t="s">
        <v>27</v>
      </c>
      <c r="S854">
        <v>2709</v>
      </c>
      <c r="T854" t="s">
        <v>48</v>
      </c>
      <c r="U854" t="str">
        <f t="shared" si="13"/>
        <v>Pass</v>
      </c>
    </row>
    <row r="855" spans="1:21">
      <c r="A855" t="s">
        <v>1739</v>
      </c>
      <c r="B855" t="s">
        <v>226</v>
      </c>
      <c r="C855" t="s">
        <v>37</v>
      </c>
      <c r="D855">
        <v>12</v>
      </c>
      <c r="E855" t="s">
        <v>23</v>
      </c>
      <c r="F855">
        <v>17</v>
      </c>
      <c r="G855" t="s">
        <v>45</v>
      </c>
      <c r="H855" t="s">
        <v>1740</v>
      </c>
      <c r="I855">
        <v>61</v>
      </c>
      <c r="J855">
        <v>36</v>
      </c>
      <c r="K855">
        <v>55</v>
      </c>
      <c r="L855">
        <v>76</v>
      </c>
      <c r="M855">
        <v>79</v>
      </c>
      <c r="N855">
        <v>41</v>
      </c>
      <c r="O855">
        <v>287</v>
      </c>
      <c r="P855">
        <v>57.4</v>
      </c>
      <c r="Q855" t="s">
        <v>31</v>
      </c>
      <c r="R855" t="s">
        <v>41</v>
      </c>
      <c r="S855">
        <v>1610</v>
      </c>
      <c r="T855" t="s">
        <v>48</v>
      </c>
      <c r="U855" t="str">
        <f t="shared" si="13"/>
        <v>Pass</v>
      </c>
    </row>
    <row r="856" spans="1:21">
      <c r="A856" t="s">
        <v>1741</v>
      </c>
      <c r="B856" t="s">
        <v>879</v>
      </c>
      <c r="C856" t="s">
        <v>22</v>
      </c>
      <c r="D856">
        <v>8</v>
      </c>
      <c r="E856" t="s">
        <v>31</v>
      </c>
      <c r="F856">
        <v>14</v>
      </c>
      <c r="G856" t="s">
        <v>45</v>
      </c>
      <c r="H856" t="s">
        <v>1604</v>
      </c>
      <c r="I856">
        <v>68</v>
      </c>
      <c r="J856">
        <v>67</v>
      </c>
      <c r="K856">
        <v>42</v>
      </c>
      <c r="L856">
        <v>57</v>
      </c>
      <c r="M856">
        <v>65</v>
      </c>
      <c r="N856">
        <v>95</v>
      </c>
      <c r="O856">
        <v>326</v>
      </c>
      <c r="P856">
        <v>65.2</v>
      </c>
      <c r="Q856" t="s">
        <v>26</v>
      </c>
      <c r="R856" t="s">
        <v>41</v>
      </c>
      <c r="S856">
        <v>2284</v>
      </c>
      <c r="T856" t="s">
        <v>42</v>
      </c>
      <c r="U856" t="str">
        <f t="shared" si="13"/>
        <v>Pass</v>
      </c>
    </row>
    <row r="857" spans="1:21">
      <c r="A857" t="s">
        <v>1742</v>
      </c>
      <c r="B857" t="s">
        <v>154</v>
      </c>
      <c r="C857" t="s">
        <v>22</v>
      </c>
      <c r="D857">
        <v>11</v>
      </c>
      <c r="E857" t="s">
        <v>31</v>
      </c>
      <c r="F857">
        <v>17</v>
      </c>
      <c r="G857" t="s">
        <v>58</v>
      </c>
      <c r="H857" t="s">
        <v>1671</v>
      </c>
      <c r="I857">
        <v>78</v>
      </c>
      <c r="J857">
        <v>54</v>
      </c>
      <c r="K857">
        <v>53</v>
      </c>
      <c r="L857">
        <v>39</v>
      </c>
      <c r="M857">
        <v>63</v>
      </c>
      <c r="N857">
        <v>75</v>
      </c>
      <c r="O857">
        <v>284</v>
      </c>
      <c r="P857">
        <v>56.8</v>
      </c>
      <c r="Q857" t="s">
        <v>31</v>
      </c>
      <c r="R857" t="s">
        <v>41</v>
      </c>
      <c r="S857">
        <v>4805</v>
      </c>
      <c r="T857" t="s">
        <v>66</v>
      </c>
      <c r="U857" t="str">
        <f t="shared" si="13"/>
        <v>Pass</v>
      </c>
    </row>
    <row r="858" spans="1:21">
      <c r="A858" t="s">
        <v>1743</v>
      </c>
      <c r="B858" t="s">
        <v>160</v>
      </c>
      <c r="C858" t="s">
        <v>37</v>
      </c>
      <c r="D858">
        <v>4</v>
      </c>
      <c r="E858" t="s">
        <v>26</v>
      </c>
      <c r="F858">
        <v>10</v>
      </c>
      <c r="G858" t="s">
        <v>54</v>
      </c>
      <c r="H858" t="s">
        <v>91</v>
      </c>
      <c r="I858">
        <v>96</v>
      </c>
      <c r="J858">
        <v>80</v>
      </c>
      <c r="K858">
        <v>92</v>
      </c>
      <c r="L858">
        <v>57</v>
      </c>
      <c r="M858">
        <v>52</v>
      </c>
      <c r="N858">
        <v>62</v>
      </c>
      <c r="O858">
        <v>343</v>
      </c>
      <c r="P858">
        <v>68.599999999999994</v>
      </c>
      <c r="Q858" t="s">
        <v>26</v>
      </c>
      <c r="R858" t="s">
        <v>27</v>
      </c>
      <c r="S858">
        <v>3951</v>
      </c>
      <c r="T858" t="s">
        <v>48</v>
      </c>
      <c r="U858" t="str">
        <f t="shared" si="13"/>
        <v>Pass</v>
      </c>
    </row>
    <row r="859" spans="1:21">
      <c r="A859" t="s">
        <v>1744</v>
      </c>
      <c r="B859" t="s">
        <v>383</v>
      </c>
      <c r="C859" t="s">
        <v>22</v>
      </c>
      <c r="D859">
        <v>11</v>
      </c>
      <c r="E859" t="s">
        <v>26</v>
      </c>
      <c r="F859">
        <v>16</v>
      </c>
      <c r="G859" t="s">
        <v>45</v>
      </c>
      <c r="H859" t="s">
        <v>836</v>
      </c>
      <c r="I859">
        <v>65</v>
      </c>
      <c r="J859">
        <v>96</v>
      </c>
      <c r="K859">
        <v>35</v>
      </c>
      <c r="L859">
        <v>61</v>
      </c>
      <c r="M859">
        <v>75</v>
      </c>
      <c r="N859">
        <v>37</v>
      </c>
      <c r="O859">
        <v>304</v>
      </c>
      <c r="P859">
        <v>60.8</v>
      </c>
      <c r="Q859" t="s">
        <v>26</v>
      </c>
      <c r="R859" t="s">
        <v>41</v>
      </c>
      <c r="S859">
        <v>2839</v>
      </c>
      <c r="T859" t="s">
        <v>48</v>
      </c>
      <c r="U859" t="str">
        <f t="shared" si="13"/>
        <v>Pass</v>
      </c>
    </row>
    <row r="860" spans="1:21">
      <c r="A860" t="s">
        <v>1745</v>
      </c>
      <c r="B860" t="s">
        <v>582</v>
      </c>
      <c r="C860" t="s">
        <v>22</v>
      </c>
      <c r="D860">
        <v>1</v>
      </c>
      <c r="E860" t="s">
        <v>47</v>
      </c>
      <c r="F860">
        <v>6</v>
      </c>
      <c r="G860" t="s">
        <v>58</v>
      </c>
      <c r="H860" t="s">
        <v>1268</v>
      </c>
      <c r="I860">
        <v>99</v>
      </c>
      <c r="J860">
        <v>99</v>
      </c>
      <c r="K860">
        <v>37</v>
      </c>
      <c r="L860">
        <v>63</v>
      </c>
      <c r="M860">
        <v>89</v>
      </c>
      <c r="N860">
        <v>75</v>
      </c>
      <c r="O860">
        <v>363</v>
      </c>
      <c r="P860">
        <v>72.599999999999994</v>
      </c>
      <c r="Q860" t="s">
        <v>40</v>
      </c>
      <c r="R860" t="s">
        <v>41</v>
      </c>
      <c r="S860">
        <v>4454</v>
      </c>
      <c r="T860" t="s">
        <v>42</v>
      </c>
      <c r="U860" t="str">
        <f t="shared" si="13"/>
        <v>Pass</v>
      </c>
    </row>
    <row r="861" spans="1:21">
      <c r="A861" t="s">
        <v>1746</v>
      </c>
      <c r="B861" t="s">
        <v>359</v>
      </c>
      <c r="C861" t="s">
        <v>37</v>
      </c>
      <c r="D861">
        <v>2</v>
      </c>
      <c r="E861" t="s">
        <v>47</v>
      </c>
      <c r="F861">
        <v>6</v>
      </c>
      <c r="G861" t="s">
        <v>58</v>
      </c>
      <c r="H861" t="s">
        <v>1747</v>
      </c>
      <c r="I861">
        <v>70</v>
      </c>
      <c r="J861">
        <v>68</v>
      </c>
      <c r="K861">
        <v>91</v>
      </c>
      <c r="L861">
        <v>47</v>
      </c>
      <c r="M861">
        <v>62</v>
      </c>
      <c r="N861">
        <v>54</v>
      </c>
      <c r="O861">
        <v>322</v>
      </c>
      <c r="P861">
        <v>64.400000000000006</v>
      </c>
      <c r="Q861" t="s">
        <v>26</v>
      </c>
      <c r="R861" t="s">
        <v>41</v>
      </c>
      <c r="S861">
        <v>2564</v>
      </c>
      <c r="T861" t="s">
        <v>70</v>
      </c>
      <c r="U861" t="str">
        <f t="shared" si="13"/>
        <v>Pass</v>
      </c>
    </row>
    <row r="862" spans="1:21">
      <c r="A862" t="s">
        <v>1748</v>
      </c>
      <c r="B862" t="s">
        <v>602</v>
      </c>
      <c r="C862" t="s">
        <v>22</v>
      </c>
      <c r="D862">
        <v>9</v>
      </c>
      <c r="E862" t="s">
        <v>23</v>
      </c>
      <c r="F862">
        <v>15</v>
      </c>
      <c r="G862" t="s">
        <v>45</v>
      </c>
      <c r="H862" t="s">
        <v>1629</v>
      </c>
      <c r="I862">
        <v>63</v>
      </c>
      <c r="J862">
        <v>68</v>
      </c>
      <c r="K862">
        <v>44</v>
      </c>
      <c r="L862">
        <v>100</v>
      </c>
      <c r="M862">
        <v>81</v>
      </c>
      <c r="N862">
        <v>57</v>
      </c>
      <c r="O862">
        <v>350</v>
      </c>
      <c r="P862">
        <v>70</v>
      </c>
      <c r="Q862" t="s">
        <v>40</v>
      </c>
      <c r="R862" t="s">
        <v>27</v>
      </c>
      <c r="S862">
        <v>3718</v>
      </c>
      <c r="T862" t="s">
        <v>66</v>
      </c>
      <c r="U862" t="str">
        <f t="shared" si="13"/>
        <v>Pass</v>
      </c>
    </row>
    <row r="863" spans="1:21">
      <c r="A863" t="s">
        <v>1749</v>
      </c>
      <c r="B863" t="s">
        <v>335</v>
      </c>
      <c r="C863" t="s">
        <v>37</v>
      </c>
      <c r="D863">
        <v>8</v>
      </c>
      <c r="E863" t="s">
        <v>23</v>
      </c>
      <c r="F863">
        <v>12</v>
      </c>
      <c r="G863" t="s">
        <v>58</v>
      </c>
      <c r="H863" t="s">
        <v>446</v>
      </c>
      <c r="I863">
        <v>98</v>
      </c>
      <c r="J863">
        <v>59</v>
      </c>
      <c r="K863">
        <v>45</v>
      </c>
      <c r="L863">
        <v>81</v>
      </c>
      <c r="M863">
        <v>42</v>
      </c>
      <c r="N863">
        <v>47</v>
      </c>
      <c r="O863">
        <v>274</v>
      </c>
      <c r="P863">
        <v>54.8</v>
      </c>
      <c r="Q863" t="s">
        <v>31</v>
      </c>
      <c r="R863" t="s">
        <v>41</v>
      </c>
      <c r="S863">
        <v>4670</v>
      </c>
      <c r="T863" t="s">
        <v>42</v>
      </c>
      <c r="U863" t="str">
        <f t="shared" si="13"/>
        <v>Fail</v>
      </c>
    </row>
    <row r="864" spans="1:21">
      <c r="A864" t="s">
        <v>1750</v>
      </c>
      <c r="B864" t="s">
        <v>913</v>
      </c>
      <c r="C864" t="s">
        <v>37</v>
      </c>
      <c r="D864">
        <v>8</v>
      </c>
      <c r="E864" t="s">
        <v>47</v>
      </c>
      <c r="F864">
        <v>13</v>
      </c>
      <c r="G864" t="s">
        <v>54</v>
      </c>
      <c r="H864" t="s">
        <v>1751</v>
      </c>
      <c r="I864">
        <v>79</v>
      </c>
      <c r="J864">
        <v>97</v>
      </c>
      <c r="K864">
        <v>63</v>
      </c>
      <c r="L864">
        <v>82</v>
      </c>
      <c r="M864">
        <v>77</v>
      </c>
      <c r="N864">
        <v>89</v>
      </c>
      <c r="O864">
        <v>408</v>
      </c>
      <c r="P864">
        <v>81.599999999999994</v>
      </c>
      <c r="Q864" t="s">
        <v>47</v>
      </c>
      <c r="R864" t="s">
        <v>41</v>
      </c>
      <c r="S864">
        <v>2713</v>
      </c>
      <c r="T864" t="s">
        <v>66</v>
      </c>
      <c r="U864" t="str">
        <f t="shared" si="13"/>
        <v>Pass</v>
      </c>
    </row>
    <row r="865" spans="1:21">
      <c r="A865" t="s">
        <v>1752</v>
      </c>
      <c r="B865" t="s">
        <v>375</v>
      </c>
      <c r="C865" t="s">
        <v>37</v>
      </c>
      <c r="D865">
        <v>10</v>
      </c>
      <c r="E865" t="s">
        <v>23</v>
      </c>
      <c r="F865">
        <v>15</v>
      </c>
      <c r="G865" t="s">
        <v>38</v>
      </c>
      <c r="H865" t="s">
        <v>1525</v>
      </c>
      <c r="I865">
        <v>84</v>
      </c>
      <c r="J865">
        <v>94</v>
      </c>
      <c r="K865">
        <v>36</v>
      </c>
      <c r="L865">
        <v>71</v>
      </c>
      <c r="M865">
        <v>75</v>
      </c>
      <c r="N865">
        <v>72</v>
      </c>
      <c r="O865">
        <v>348</v>
      </c>
      <c r="P865">
        <v>69.599999999999994</v>
      </c>
      <c r="Q865" t="s">
        <v>26</v>
      </c>
      <c r="R865" t="s">
        <v>27</v>
      </c>
      <c r="S865">
        <v>1573</v>
      </c>
      <c r="T865" t="s">
        <v>48</v>
      </c>
      <c r="U865" t="str">
        <f t="shared" si="13"/>
        <v>Pass</v>
      </c>
    </row>
    <row r="866" spans="1:21">
      <c r="A866" t="s">
        <v>1753</v>
      </c>
      <c r="B866" t="s">
        <v>104</v>
      </c>
      <c r="C866" t="s">
        <v>22</v>
      </c>
      <c r="D866">
        <v>7</v>
      </c>
      <c r="E866" t="s">
        <v>47</v>
      </c>
      <c r="F866">
        <v>13</v>
      </c>
      <c r="G866" t="s">
        <v>45</v>
      </c>
      <c r="H866" t="s">
        <v>764</v>
      </c>
      <c r="I866">
        <v>83</v>
      </c>
      <c r="J866">
        <v>77</v>
      </c>
      <c r="K866">
        <v>95</v>
      </c>
      <c r="L866">
        <v>48</v>
      </c>
      <c r="M866">
        <v>58</v>
      </c>
      <c r="N866">
        <v>78</v>
      </c>
      <c r="O866">
        <v>356</v>
      </c>
      <c r="P866">
        <v>71.2</v>
      </c>
      <c r="Q866" t="s">
        <v>40</v>
      </c>
      <c r="R866" t="s">
        <v>41</v>
      </c>
      <c r="S866">
        <v>2807</v>
      </c>
      <c r="T866" t="s">
        <v>28</v>
      </c>
      <c r="U866" t="str">
        <f t="shared" si="13"/>
        <v>Pass</v>
      </c>
    </row>
    <row r="867" spans="1:21">
      <c r="A867" t="s">
        <v>1754</v>
      </c>
      <c r="B867" t="s">
        <v>126</v>
      </c>
      <c r="C867" t="s">
        <v>37</v>
      </c>
      <c r="D867">
        <v>9</v>
      </c>
      <c r="E867" t="s">
        <v>26</v>
      </c>
      <c r="F867">
        <v>13</v>
      </c>
      <c r="G867" t="s">
        <v>24</v>
      </c>
      <c r="H867" t="s">
        <v>1755</v>
      </c>
      <c r="I867">
        <v>76</v>
      </c>
      <c r="J867">
        <v>82</v>
      </c>
      <c r="K867">
        <v>87</v>
      </c>
      <c r="L867">
        <v>61</v>
      </c>
      <c r="M867">
        <v>40</v>
      </c>
      <c r="N867">
        <v>92</v>
      </c>
      <c r="O867">
        <v>362</v>
      </c>
      <c r="P867">
        <v>72.400000000000006</v>
      </c>
      <c r="Q867" t="s">
        <v>40</v>
      </c>
      <c r="R867" t="s">
        <v>41</v>
      </c>
      <c r="S867">
        <v>2465</v>
      </c>
      <c r="T867" t="s">
        <v>28</v>
      </c>
      <c r="U867" t="str">
        <f t="shared" si="13"/>
        <v>Pass</v>
      </c>
    </row>
    <row r="868" spans="1:21">
      <c r="A868" t="s">
        <v>1756</v>
      </c>
      <c r="B868" t="s">
        <v>461</v>
      </c>
      <c r="C868" t="s">
        <v>22</v>
      </c>
      <c r="D868">
        <v>9</v>
      </c>
      <c r="E868" t="s">
        <v>23</v>
      </c>
      <c r="F868">
        <v>13</v>
      </c>
      <c r="G868" t="s">
        <v>54</v>
      </c>
      <c r="H868" t="s">
        <v>1757</v>
      </c>
      <c r="I868">
        <v>90</v>
      </c>
      <c r="J868">
        <v>58</v>
      </c>
      <c r="K868">
        <v>97</v>
      </c>
      <c r="L868">
        <v>36</v>
      </c>
      <c r="M868">
        <v>37</v>
      </c>
      <c r="N868">
        <v>88</v>
      </c>
      <c r="O868">
        <v>316</v>
      </c>
      <c r="P868">
        <v>63.2</v>
      </c>
      <c r="Q868" t="s">
        <v>26</v>
      </c>
      <c r="R868" t="s">
        <v>27</v>
      </c>
      <c r="S868">
        <v>1570</v>
      </c>
      <c r="T868" t="s">
        <v>42</v>
      </c>
      <c r="U868" t="str">
        <f t="shared" si="13"/>
        <v>Pass</v>
      </c>
    </row>
    <row r="869" spans="1:21">
      <c r="A869" t="s">
        <v>1758</v>
      </c>
      <c r="B869" t="s">
        <v>211</v>
      </c>
      <c r="C869" t="s">
        <v>22</v>
      </c>
      <c r="D869">
        <v>5</v>
      </c>
      <c r="E869" t="s">
        <v>47</v>
      </c>
      <c r="F869">
        <v>11</v>
      </c>
      <c r="G869" t="s">
        <v>38</v>
      </c>
      <c r="H869" t="s">
        <v>245</v>
      </c>
      <c r="I869">
        <v>62</v>
      </c>
      <c r="J869">
        <v>42</v>
      </c>
      <c r="K869">
        <v>55</v>
      </c>
      <c r="L869">
        <v>46</v>
      </c>
      <c r="M869">
        <v>93</v>
      </c>
      <c r="N869">
        <v>36</v>
      </c>
      <c r="O869">
        <v>272</v>
      </c>
      <c r="P869">
        <v>54.4</v>
      </c>
      <c r="Q869" t="s">
        <v>31</v>
      </c>
      <c r="R869" t="s">
        <v>27</v>
      </c>
      <c r="S869">
        <v>2725</v>
      </c>
      <c r="T869" t="s">
        <v>34</v>
      </c>
      <c r="U869" t="str">
        <f t="shared" si="13"/>
        <v>Fail</v>
      </c>
    </row>
    <row r="870" spans="1:21">
      <c r="A870" t="s">
        <v>1759</v>
      </c>
      <c r="B870" t="s">
        <v>416</v>
      </c>
      <c r="C870" t="s">
        <v>37</v>
      </c>
      <c r="D870">
        <v>12</v>
      </c>
      <c r="E870" t="s">
        <v>47</v>
      </c>
      <c r="F870">
        <v>16</v>
      </c>
      <c r="G870" t="s">
        <v>64</v>
      </c>
      <c r="H870" t="s">
        <v>1760</v>
      </c>
      <c r="I870">
        <v>74</v>
      </c>
      <c r="J870">
        <v>43</v>
      </c>
      <c r="K870">
        <v>81</v>
      </c>
      <c r="L870">
        <v>94</v>
      </c>
      <c r="M870">
        <v>48</v>
      </c>
      <c r="N870">
        <v>77</v>
      </c>
      <c r="O870">
        <v>343</v>
      </c>
      <c r="P870">
        <v>68.599999999999994</v>
      </c>
      <c r="Q870" t="s">
        <v>26</v>
      </c>
      <c r="R870" t="s">
        <v>41</v>
      </c>
      <c r="S870">
        <v>3076</v>
      </c>
      <c r="T870" t="s">
        <v>48</v>
      </c>
      <c r="U870" t="str">
        <f t="shared" si="13"/>
        <v>Pass</v>
      </c>
    </row>
    <row r="871" spans="1:21">
      <c r="A871" t="s">
        <v>1761</v>
      </c>
      <c r="B871" t="s">
        <v>75</v>
      </c>
      <c r="C871" t="s">
        <v>22</v>
      </c>
      <c r="D871">
        <v>3</v>
      </c>
      <c r="E871" t="s">
        <v>23</v>
      </c>
      <c r="F871">
        <v>7</v>
      </c>
      <c r="G871" t="s">
        <v>32</v>
      </c>
      <c r="H871" t="s">
        <v>1762</v>
      </c>
      <c r="I871">
        <v>93</v>
      </c>
      <c r="J871">
        <v>58</v>
      </c>
      <c r="K871">
        <v>93</v>
      </c>
      <c r="L871">
        <v>43</v>
      </c>
      <c r="M871">
        <v>59</v>
      </c>
      <c r="N871">
        <v>59</v>
      </c>
      <c r="O871">
        <v>312</v>
      </c>
      <c r="P871">
        <v>62.4</v>
      </c>
      <c r="Q871" t="s">
        <v>26</v>
      </c>
      <c r="R871" t="s">
        <v>27</v>
      </c>
      <c r="S871">
        <v>3793</v>
      </c>
      <c r="T871" t="s">
        <v>70</v>
      </c>
      <c r="U871" t="str">
        <f t="shared" si="13"/>
        <v>Pass</v>
      </c>
    </row>
    <row r="872" spans="1:21">
      <c r="A872" t="s">
        <v>1763</v>
      </c>
      <c r="B872" t="s">
        <v>202</v>
      </c>
      <c r="C872" t="s">
        <v>37</v>
      </c>
      <c r="D872">
        <v>8</v>
      </c>
      <c r="E872" t="s">
        <v>31</v>
      </c>
      <c r="F872">
        <v>12</v>
      </c>
      <c r="G872" t="s">
        <v>45</v>
      </c>
      <c r="H872" t="s">
        <v>1764</v>
      </c>
      <c r="I872">
        <v>81</v>
      </c>
      <c r="J872">
        <v>89</v>
      </c>
      <c r="K872">
        <v>53</v>
      </c>
      <c r="L872">
        <v>74</v>
      </c>
      <c r="M872">
        <v>39</v>
      </c>
      <c r="N872">
        <v>96</v>
      </c>
      <c r="O872">
        <v>351</v>
      </c>
      <c r="P872">
        <v>70.2</v>
      </c>
      <c r="Q872" t="s">
        <v>40</v>
      </c>
      <c r="R872" t="s">
        <v>41</v>
      </c>
      <c r="S872">
        <v>2228</v>
      </c>
      <c r="T872" t="s">
        <v>70</v>
      </c>
      <c r="U872" t="str">
        <f t="shared" si="13"/>
        <v>Pass</v>
      </c>
    </row>
    <row r="873" spans="1:21">
      <c r="A873" t="s">
        <v>1765</v>
      </c>
      <c r="B873" t="s">
        <v>370</v>
      </c>
      <c r="C873" t="s">
        <v>37</v>
      </c>
      <c r="D873">
        <v>11</v>
      </c>
      <c r="E873" t="s">
        <v>26</v>
      </c>
      <c r="F873">
        <v>16</v>
      </c>
      <c r="G873" t="s">
        <v>54</v>
      </c>
      <c r="H873" t="s">
        <v>1766</v>
      </c>
      <c r="I873">
        <v>66</v>
      </c>
      <c r="J873">
        <v>65</v>
      </c>
      <c r="K873">
        <v>53</v>
      </c>
      <c r="L873">
        <v>48</v>
      </c>
      <c r="M873">
        <v>88</v>
      </c>
      <c r="N873">
        <v>88</v>
      </c>
      <c r="O873">
        <v>342</v>
      </c>
      <c r="P873">
        <v>68.400000000000006</v>
      </c>
      <c r="Q873" t="s">
        <v>26</v>
      </c>
      <c r="R873" t="s">
        <v>27</v>
      </c>
      <c r="S873">
        <v>4474</v>
      </c>
      <c r="T873" t="s">
        <v>66</v>
      </c>
      <c r="U873" t="str">
        <f t="shared" si="13"/>
        <v>Pass</v>
      </c>
    </row>
    <row r="874" spans="1:21">
      <c r="A874" t="s">
        <v>1767</v>
      </c>
      <c r="B874" t="s">
        <v>154</v>
      </c>
      <c r="C874" t="s">
        <v>22</v>
      </c>
      <c r="D874">
        <v>2</v>
      </c>
      <c r="E874" t="s">
        <v>26</v>
      </c>
      <c r="F874">
        <v>8</v>
      </c>
      <c r="G874" t="s">
        <v>54</v>
      </c>
      <c r="H874" t="s">
        <v>1768</v>
      </c>
      <c r="I874">
        <v>86</v>
      </c>
      <c r="J874">
        <v>62</v>
      </c>
      <c r="K874">
        <v>39</v>
      </c>
      <c r="L874">
        <v>86</v>
      </c>
      <c r="M874">
        <v>49</v>
      </c>
      <c r="N874">
        <v>56</v>
      </c>
      <c r="O874">
        <v>292</v>
      </c>
      <c r="P874">
        <v>58.4</v>
      </c>
      <c r="Q874" t="s">
        <v>31</v>
      </c>
      <c r="R874" t="s">
        <v>27</v>
      </c>
      <c r="S874">
        <v>2876</v>
      </c>
      <c r="T874" t="s">
        <v>48</v>
      </c>
      <c r="U874" t="str">
        <f t="shared" si="13"/>
        <v>Pass</v>
      </c>
    </row>
    <row r="875" spans="1:21">
      <c r="A875" t="s">
        <v>1769</v>
      </c>
      <c r="B875" t="s">
        <v>151</v>
      </c>
      <c r="C875" t="s">
        <v>37</v>
      </c>
      <c r="D875">
        <v>5</v>
      </c>
      <c r="E875" t="s">
        <v>23</v>
      </c>
      <c r="F875">
        <v>11</v>
      </c>
      <c r="G875" t="s">
        <v>24</v>
      </c>
      <c r="H875" t="s">
        <v>538</v>
      </c>
      <c r="I875">
        <v>66</v>
      </c>
      <c r="J875">
        <v>78</v>
      </c>
      <c r="K875">
        <v>81</v>
      </c>
      <c r="L875">
        <v>52</v>
      </c>
      <c r="M875">
        <v>76</v>
      </c>
      <c r="N875">
        <v>63</v>
      </c>
      <c r="O875">
        <v>350</v>
      </c>
      <c r="P875">
        <v>70</v>
      </c>
      <c r="Q875" t="s">
        <v>40</v>
      </c>
      <c r="R875" t="s">
        <v>41</v>
      </c>
      <c r="S875">
        <v>1966</v>
      </c>
      <c r="T875" t="s">
        <v>42</v>
      </c>
      <c r="U875" t="str">
        <f t="shared" si="13"/>
        <v>Pass</v>
      </c>
    </row>
    <row r="876" spans="1:21">
      <c r="A876" t="s">
        <v>1770</v>
      </c>
      <c r="B876" t="s">
        <v>798</v>
      </c>
      <c r="C876" t="s">
        <v>22</v>
      </c>
      <c r="D876">
        <v>4</v>
      </c>
      <c r="E876" t="s">
        <v>23</v>
      </c>
      <c r="F876">
        <v>10</v>
      </c>
      <c r="G876" t="s">
        <v>58</v>
      </c>
      <c r="H876" t="s">
        <v>1771</v>
      </c>
      <c r="I876">
        <v>71</v>
      </c>
      <c r="J876">
        <v>98</v>
      </c>
      <c r="K876">
        <v>70</v>
      </c>
      <c r="L876">
        <v>37</v>
      </c>
      <c r="M876">
        <v>91</v>
      </c>
      <c r="N876">
        <v>81</v>
      </c>
      <c r="O876">
        <v>377</v>
      </c>
      <c r="P876">
        <v>75.400000000000006</v>
      </c>
      <c r="Q876" t="s">
        <v>40</v>
      </c>
      <c r="R876" t="s">
        <v>41</v>
      </c>
      <c r="S876">
        <v>3366</v>
      </c>
      <c r="T876" t="s">
        <v>66</v>
      </c>
      <c r="U876" t="str">
        <f t="shared" si="13"/>
        <v>Pass</v>
      </c>
    </row>
    <row r="877" spans="1:21">
      <c r="A877" t="s">
        <v>1772</v>
      </c>
      <c r="B877" t="s">
        <v>181</v>
      </c>
      <c r="C877" t="s">
        <v>22</v>
      </c>
      <c r="D877">
        <v>6</v>
      </c>
      <c r="E877" t="s">
        <v>26</v>
      </c>
      <c r="F877">
        <v>10</v>
      </c>
      <c r="G877" t="s">
        <v>64</v>
      </c>
      <c r="H877" t="s">
        <v>796</v>
      </c>
      <c r="I877">
        <v>76</v>
      </c>
      <c r="J877">
        <v>92</v>
      </c>
      <c r="K877">
        <v>60</v>
      </c>
      <c r="L877">
        <v>79</v>
      </c>
      <c r="M877">
        <v>74</v>
      </c>
      <c r="N877">
        <v>73</v>
      </c>
      <c r="O877">
        <v>378</v>
      </c>
      <c r="P877">
        <v>75.599999999999994</v>
      </c>
      <c r="Q877" t="s">
        <v>40</v>
      </c>
      <c r="R877" t="s">
        <v>27</v>
      </c>
      <c r="S877">
        <v>2148</v>
      </c>
      <c r="T877" t="s">
        <v>48</v>
      </c>
      <c r="U877" t="str">
        <f t="shared" si="13"/>
        <v>Pass</v>
      </c>
    </row>
    <row r="878" spans="1:21">
      <c r="A878" t="s">
        <v>1773</v>
      </c>
      <c r="B878" t="s">
        <v>365</v>
      </c>
      <c r="C878" t="s">
        <v>37</v>
      </c>
      <c r="D878">
        <v>3</v>
      </c>
      <c r="E878" t="s">
        <v>47</v>
      </c>
      <c r="F878">
        <v>7</v>
      </c>
      <c r="G878" t="s">
        <v>64</v>
      </c>
      <c r="H878" t="s">
        <v>674</v>
      </c>
      <c r="I878">
        <v>81</v>
      </c>
      <c r="J878">
        <v>53</v>
      </c>
      <c r="K878">
        <v>100</v>
      </c>
      <c r="L878">
        <v>78</v>
      </c>
      <c r="M878">
        <v>96</v>
      </c>
      <c r="N878">
        <v>79</v>
      </c>
      <c r="O878">
        <v>406</v>
      </c>
      <c r="P878">
        <v>81.2</v>
      </c>
      <c r="Q878" t="s">
        <v>47</v>
      </c>
      <c r="R878" t="s">
        <v>41</v>
      </c>
      <c r="S878">
        <v>2222</v>
      </c>
      <c r="T878" t="s">
        <v>70</v>
      </c>
      <c r="U878" t="str">
        <f t="shared" si="13"/>
        <v>Pass</v>
      </c>
    </row>
    <row r="879" spans="1:21">
      <c r="A879" t="s">
        <v>1774</v>
      </c>
      <c r="B879" t="s">
        <v>594</v>
      </c>
      <c r="C879" t="s">
        <v>22</v>
      </c>
      <c r="D879">
        <v>5</v>
      </c>
      <c r="E879" t="s">
        <v>47</v>
      </c>
      <c r="F879">
        <v>11</v>
      </c>
      <c r="G879" t="s">
        <v>24</v>
      </c>
      <c r="H879" t="s">
        <v>801</v>
      </c>
      <c r="I879">
        <v>97</v>
      </c>
      <c r="J879">
        <v>39</v>
      </c>
      <c r="K879">
        <v>91</v>
      </c>
      <c r="L879">
        <v>89</v>
      </c>
      <c r="M879">
        <v>91</v>
      </c>
      <c r="N879">
        <v>49</v>
      </c>
      <c r="O879">
        <v>359</v>
      </c>
      <c r="P879">
        <v>71.8</v>
      </c>
      <c r="Q879" t="s">
        <v>40</v>
      </c>
      <c r="R879" t="s">
        <v>41</v>
      </c>
      <c r="S879">
        <v>3803</v>
      </c>
      <c r="T879" t="s">
        <v>42</v>
      </c>
      <c r="U879" t="str">
        <f t="shared" si="13"/>
        <v>Pass</v>
      </c>
    </row>
    <row r="880" spans="1:21">
      <c r="A880" t="s">
        <v>1775</v>
      </c>
      <c r="B880" t="s">
        <v>256</v>
      </c>
      <c r="C880" t="s">
        <v>37</v>
      </c>
      <c r="D880">
        <v>10</v>
      </c>
      <c r="E880" t="s">
        <v>26</v>
      </c>
      <c r="F880">
        <v>14</v>
      </c>
      <c r="G880" t="s">
        <v>38</v>
      </c>
      <c r="H880" t="s">
        <v>1776</v>
      </c>
      <c r="I880">
        <v>72</v>
      </c>
      <c r="J880">
        <v>37</v>
      </c>
      <c r="K880">
        <v>63</v>
      </c>
      <c r="L880">
        <v>88</v>
      </c>
      <c r="M880">
        <v>75</v>
      </c>
      <c r="N880">
        <v>99</v>
      </c>
      <c r="O880">
        <v>362</v>
      </c>
      <c r="P880">
        <v>72.400000000000006</v>
      </c>
      <c r="Q880" t="s">
        <v>40</v>
      </c>
      <c r="R880" t="s">
        <v>27</v>
      </c>
      <c r="S880">
        <v>3584</v>
      </c>
      <c r="T880" t="s">
        <v>48</v>
      </c>
      <c r="U880" t="str">
        <f t="shared" si="13"/>
        <v>Pass</v>
      </c>
    </row>
    <row r="881" spans="1:21">
      <c r="A881" t="s">
        <v>1777</v>
      </c>
      <c r="B881" t="s">
        <v>277</v>
      </c>
      <c r="C881" t="s">
        <v>22</v>
      </c>
      <c r="D881">
        <v>11</v>
      </c>
      <c r="E881" t="s">
        <v>31</v>
      </c>
      <c r="F881">
        <v>17</v>
      </c>
      <c r="G881" t="s">
        <v>54</v>
      </c>
      <c r="H881" t="s">
        <v>1778</v>
      </c>
      <c r="I881">
        <v>65</v>
      </c>
      <c r="J881">
        <v>90</v>
      </c>
      <c r="K881">
        <v>62</v>
      </c>
      <c r="L881">
        <v>84</v>
      </c>
      <c r="M881">
        <v>90</v>
      </c>
      <c r="N881">
        <v>41</v>
      </c>
      <c r="O881">
        <v>367</v>
      </c>
      <c r="P881">
        <v>73.400000000000006</v>
      </c>
      <c r="Q881" t="s">
        <v>40</v>
      </c>
      <c r="R881" t="s">
        <v>27</v>
      </c>
      <c r="S881">
        <v>2944</v>
      </c>
      <c r="T881" t="s">
        <v>34</v>
      </c>
      <c r="U881" t="str">
        <f t="shared" si="13"/>
        <v>Pass</v>
      </c>
    </row>
    <row r="882" spans="1:21">
      <c r="A882" t="s">
        <v>1779</v>
      </c>
      <c r="B882" t="s">
        <v>68</v>
      </c>
      <c r="C882" t="s">
        <v>22</v>
      </c>
      <c r="D882">
        <v>10</v>
      </c>
      <c r="E882" t="s">
        <v>26</v>
      </c>
      <c r="F882">
        <v>16</v>
      </c>
      <c r="G882" t="s">
        <v>58</v>
      </c>
      <c r="H882" t="s">
        <v>1780</v>
      </c>
      <c r="I882">
        <v>81</v>
      </c>
      <c r="J882">
        <v>60</v>
      </c>
      <c r="K882">
        <v>88</v>
      </c>
      <c r="L882">
        <v>75</v>
      </c>
      <c r="M882">
        <v>65</v>
      </c>
      <c r="N882">
        <v>67</v>
      </c>
      <c r="O882">
        <v>355</v>
      </c>
      <c r="P882">
        <v>71</v>
      </c>
      <c r="Q882" t="s">
        <v>40</v>
      </c>
      <c r="R882" t="s">
        <v>41</v>
      </c>
      <c r="S882">
        <v>1885</v>
      </c>
      <c r="T882" t="s">
        <v>28</v>
      </c>
      <c r="U882" t="str">
        <f t="shared" si="13"/>
        <v>Pass</v>
      </c>
    </row>
    <row r="883" spans="1:21">
      <c r="A883" t="s">
        <v>1781</v>
      </c>
      <c r="B883" t="s">
        <v>104</v>
      </c>
      <c r="C883" t="s">
        <v>22</v>
      </c>
      <c r="D883">
        <v>12</v>
      </c>
      <c r="E883" t="s">
        <v>31</v>
      </c>
      <c r="F883">
        <v>17</v>
      </c>
      <c r="G883" t="s">
        <v>24</v>
      </c>
      <c r="H883" t="s">
        <v>1782</v>
      </c>
      <c r="I883">
        <v>73</v>
      </c>
      <c r="J883">
        <v>56</v>
      </c>
      <c r="K883">
        <v>52</v>
      </c>
      <c r="L883">
        <v>93</v>
      </c>
      <c r="M883">
        <v>85</v>
      </c>
      <c r="N883">
        <v>75</v>
      </c>
      <c r="O883">
        <v>361</v>
      </c>
      <c r="P883">
        <v>72.2</v>
      </c>
      <c r="Q883" t="s">
        <v>40</v>
      </c>
      <c r="R883" t="s">
        <v>27</v>
      </c>
      <c r="S883">
        <v>2489</v>
      </c>
      <c r="T883" t="s">
        <v>48</v>
      </c>
      <c r="U883" t="str">
        <f t="shared" si="13"/>
        <v>Pass</v>
      </c>
    </row>
    <row r="884" spans="1:21">
      <c r="A884" t="s">
        <v>1783</v>
      </c>
      <c r="B884" t="s">
        <v>493</v>
      </c>
      <c r="C884" t="s">
        <v>22</v>
      </c>
      <c r="D884">
        <v>4</v>
      </c>
      <c r="E884" t="s">
        <v>23</v>
      </c>
      <c r="F884">
        <v>10</v>
      </c>
      <c r="G884" t="s">
        <v>45</v>
      </c>
      <c r="H884" t="s">
        <v>1784</v>
      </c>
      <c r="I884">
        <v>93</v>
      </c>
      <c r="J884">
        <v>42</v>
      </c>
      <c r="K884">
        <v>91</v>
      </c>
      <c r="L884">
        <v>90</v>
      </c>
      <c r="M884">
        <v>62</v>
      </c>
      <c r="N884">
        <v>99</v>
      </c>
      <c r="O884">
        <v>384</v>
      </c>
      <c r="P884">
        <v>76.8</v>
      </c>
      <c r="Q884" t="s">
        <v>40</v>
      </c>
      <c r="R884" t="s">
        <v>41</v>
      </c>
      <c r="S884">
        <v>3441</v>
      </c>
      <c r="T884" t="s">
        <v>42</v>
      </c>
      <c r="U884" t="str">
        <f t="shared" si="13"/>
        <v>Pass</v>
      </c>
    </row>
    <row r="885" spans="1:21">
      <c r="A885" t="s">
        <v>1785</v>
      </c>
      <c r="B885" t="s">
        <v>594</v>
      </c>
      <c r="C885" t="s">
        <v>22</v>
      </c>
      <c r="D885">
        <v>10</v>
      </c>
      <c r="E885" t="s">
        <v>47</v>
      </c>
      <c r="F885">
        <v>16</v>
      </c>
      <c r="G885" t="s">
        <v>45</v>
      </c>
      <c r="H885" t="s">
        <v>1786</v>
      </c>
      <c r="I885">
        <v>87</v>
      </c>
      <c r="J885">
        <v>89</v>
      </c>
      <c r="K885">
        <v>72</v>
      </c>
      <c r="L885">
        <v>36</v>
      </c>
      <c r="M885">
        <v>40</v>
      </c>
      <c r="N885">
        <v>84</v>
      </c>
      <c r="O885">
        <v>321</v>
      </c>
      <c r="P885">
        <v>64.2</v>
      </c>
      <c r="Q885" t="s">
        <v>26</v>
      </c>
      <c r="R885" t="s">
        <v>41</v>
      </c>
      <c r="S885">
        <v>4258</v>
      </c>
      <c r="T885" t="s">
        <v>48</v>
      </c>
      <c r="U885" t="str">
        <f t="shared" si="13"/>
        <v>Pass</v>
      </c>
    </row>
    <row r="886" spans="1:21">
      <c r="A886" t="s">
        <v>1787</v>
      </c>
      <c r="B886" t="s">
        <v>798</v>
      </c>
      <c r="C886" t="s">
        <v>22</v>
      </c>
      <c r="D886">
        <v>7</v>
      </c>
      <c r="E886" t="s">
        <v>31</v>
      </c>
      <c r="F886">
        <v>12</v>
      </c>
      <c r="G886" t="s">
        <v>45</v>
      </c>
      <c r="H886" t="s">
        <v>427</v>
      </c>
      <c r="I886">
        <v>68</v>
      </c>
      <c r="J886">
        <v>94</v>
      </c>
      <c r="K886">
        <v>51</v>
      </c>
      <c r="L886">
        <v>72</v>
      </c>
      <c r="M886">
        <v>74</v>
      </c>
      <c r="N886">
        <v>87</v>
      </c>
      <c r="O886">
        <v>378</v>
      </c>
      <c r="P886">
        <v>75.599999999999994</v>
      </c>
      <c r="Q886" t="s">
        <v>40</v>
      </c>
      <c r="R886" t="s">
        <v>27</v>
      </c>
      <c r="S886">
        <v>1727</v>
      </c>
      <c r="T886" t="s">
        <v>34</v>
      </c>
      <c r="U886" t="str">
        <f t="shared" si="13"/>
        <v>Pass</v>
      </c>
    </row>
    <row r="887" spans="1:21">
      <c r="A887" t="s">
        <v>1788</v>
      </c>
      <c r="B887" t="s">
        <v>184</v>
      </c>
      <c r="C887" t="s">
        <v>37</v>
      </c>
      <c r="D887">
        <v>2</v>
      </c>
      <c r="E887" t="s">
        <v>23</v>
      </c>
      <c r="F887">
        <v>8</v>
      </c>
      <c r="G887" t="s">
        <v>32</v>
      </c>
      <c r="H887" t="s">
        <v>1441</v>
      </c>
      <c r="I887">
        <v>92</v>
      </c>
      <c r="J887">
        <v>86</v>
      </c>
      <c r="K887">
        <v>48</v>
      </c>
      <c r="L887">
        <v>83</v>
      </c>
      <c r="M887">
        <v>79</v>
      </c>
      <c r="N887">
        <v>54</v>
      </c>
      <c r="O887">
        <v>350</v>
      </c>
      <c r="P887">
        <v>70</v>
      </c>
      <c r="Q887" t="s">
        <v>40</v>
      </c>
      <c r="R887" t="s">
        <v>27</v>
      </c>
      <c r="S887">
        <v>2050</v>
      </c>
      <c r="T887" t="s">
        <v>66</v>
      </c>
      <c r="U887" t="str">
        <f t="shared" si="13"/>
        <v>Pass</v>
      </c>
    </row>
    <row r="888" spans="1:21">
      <c r="A888" t="s">
        <v>1789</v>
      </c>
      <c r="B888" t="s">
        <v>151</v>
      </c>
      <c r="C888" t="s">
        <v>37</v>
      </c>
      <c r="D888">
        <v>10</v>
      </c>
      <c r="E888" t="s">
        <v>31</v>
      </c>
      <c r="F888">
        <v>16</v>
      </c>
      <c r="G888" t="s">
        <v>54</v>
      </c>
      <c r="H888" t="s">
        <v>934</v>
      </c>
      <c r="I888">
        <v>80</v>
      </c>
      <c r="J888">
        <v>74</v>
      </c>
      <c r="K888">
        <v>92</v>
      </c>
      <c r="L888">
        <v>38</v>
      </c>
      <c r="M888">
        <v>87</v>
      </c>
      <c r="N888">
        <v>99</v>
      </c>
      <c r="O888">
        <v>390</v>
      </c>
      <c r="P888">
        <v>78</v>
      </c>
      <c r="Q888" t="s">
        <v>40</v>
      </c>
      <c r="R888" t="s">
        <v>27</v>
      </c>
      <c r="S888">
        <v>3333</v>
      </c>
      <c r="T888" t="s">
        <v>48</v>
      </c>
      <c r="U888" t="str">
        <f t="shared" si="13"/>
        <v>Pass</v>
      </c>
    </row>
    <row r="889" spans="1:21">
      <c r="A889" t="s">
        <v>1790</v>
      </c>
      <c r="B889" t="s">
        <v>525</v>
      </c>
      <c r="C889" t="s">
        <v>37</v>
      </c>
      <c r="D889">
        <v>2</v>
      </c>
      <c r="E889" t="s">
        <v>23</v>
      </c>
      <c r="F889">
        <v>6</v>
      </c>
      <c r="G889" t="s">
        <v>45</v>
      </c>
      <c r="H889" t="s">
        <v>1791</v>
      </c>
      <c r="I889">
        <v>94</v>
      </c>
      <c r="J889">
        <v>97</v>
      </c>
      <c r="K889">
        <v>86</v>
      </c>
      <c r="L889">
        <v>43</v>
      </c>
      <c r="M889">
        <v>94</v>
      </c>
      <c r="N889">
        <v>87</v>
      </c>
      <c r="O889">
        <v>407</v>
      </c>
      <c r="P889">
        <v>81.400000000000006</v>
      </c>
      <c r="Q889" t="s">
        <v>47</v>
      </c>
      <c r="R889" t="s">
        <v>27</v>
      </c>
      <c r="S889">
        <v>1543</v>
      </c>
      <c r="T889" t="s">
        <v>70</v>
      </c>
      <c r="U889" t="str">
        <f t="shared" si="13"/>
        <v>Pass</v>
      </c>
    </row>
    <row r="890" spans="1:21">
      <c r="A890" t="s">
        <v>1792</v>
      </c>
      <c r="B890" t="s">
        <v>50</v>
      </c>
      <c r="C890" t="s">
        <v>22</v>
      </c>
      <c r="D890">
        <v>8</v>
      </c>
      <c r="E890" t="s">
        <v>31</v>
      </c>
      <c r="F890">
        <v>12</v>
      </c>
      <c r="G890" t="s">
        <v>58</v>
      </c>
      <c r="H890" t="s">
        <v>387</v>
      </c>
      <c r="I890">
        <v>70</v>
      </c>
      <c r="J890">
        <v>66</v>
      </c>
      <c r="K890">
        <v>96</v>
      </c>
      <c r="L890">
        <v>50</v>
      </c>
      <c r="M890">
        <v>67</v>
      </c>
      <c r="N890">
        <v>88</v>
      </c>
      <c r="O890">
        <v>367</v>
      </c>
      <c r="P890">
        <v>73.400000000000006</v>
      </c>
      <c r="Q890" t="s">
        <v>40</v>
      </c>
      <c r="R890" t="s">
        <v>41</v>
      </c>
      <c r="S890">
        <v>2297</v>
      </c>
      <c r="T890" t="s">
        <v>48</v>
      </c>
      <c r="U890" t="str">
        <f t="shared" si="13"/>
        <v>Pass</v>
      </c>
    </row>
    <row r="891" spans="1:21">
      <c r="A891" t="s">
        <v>1793</v>
      </c>
      <c r="B891" t="s">
        <v>53</v>
      </c>
      <c r="C891" t="s">
        <v>22</v>
      </c>
      <c r="D891">
        <v>6</v>
      </c>
      <c r="E891" t="s">
        <v>31</v>
      </c>
      <c r="F891">
        <v>11</v>
      </c>
      <c r="G891" t="s">
        <v>64</v>
      </c>
      <c r="H891" t="s">
        <v>1794</v>
      </c>
      <c r="I891">
        <v>87</v>
      </c>
      <c r="J891">
        <v>36</v>
      </c>
      <c r="K891">
        <v>42</v>
      </c>
      <c r="L891">
        <v>38</v>
      </c>
      <c r="M891">
        <v>60</v>
      </c>
      <c r="N891">
        <v>59</v>
      </c>
      <c r="O891">
        <v>235</v>
      </c>
      <c r="P891">
        <v>47</v>
      </c>
      <c r="Q891" t="s">
        <v>23</v>
      </c>
      <c r="R891" t="s">
        <v>27</v>
      </c>
      <c r="S891">
        <v>4122</v>
      </c>
      <c r="T891" t="s">
        <v>70</v>
      </c>
      <c r="U891" t="str">
        <f t="shared" si="13"/>
        <v>Fail</v>
      </c>
    </row>
    <row r="892" spans="1:21">
      <c r="A892" t="s">
        <v>1795</v>
      </c>
      <c r="B892" t="s">
        <v>426</v>
      </c>
      <c r="C892" t="s">
        <v>22</v>
      </c>
      <c r="D892">
        <v>2</v>
      </c>
      <c r="E892" t="s">
        <v>47</v>
      </c>
      <c r="F892">
        <v>6</v>
      </c>
      <c r="G892" t="s">
        <v>38</v>
      </c>
      <c r="H892" t="s">
        <v>1796</v>
      </c>
      <c r="I892">
        <v>71</v>
      </c>
      <c r="J892">
        <v>84</v>
      </c>
      <c r="K892">
        <v>53</v>
      </c>
      <c r="L892">
        <v>84</v>
      </c>
      <c r="M892">
        <v>48</v>
      </c>
      <c r="N892">
        <v>97</v>
      </c>
      <c r="O892">
        <v>366</v>
      </c>
      <c r="P892">
        <v>73.2</v>
      </c>
      <c r="Q892" t="s">
        <v>40</v>
      </c>
      <c r="R892" t="s">
        <v>41</v>
      </c>
      <c r="S892">
        <v>3993</v>
      </c>
      <c r="T892" t="s">
        <v>42</v>
      </c>
      <c r="U892" t="str">
        <f t="shared" si="13"/>
        <v>Pass</v>
      </c>
    </row>
    <row r="893" spans="1:21">
      <c r="A893" t="s">
        <v>1797</v>
      </c>
      <c r="B893" t="s">
        <v>87</v>
      </c>
      <c r="C893" t="s">
        <v>22</v>
      </c>
      <c r="D893">
        <v>10</v>
      </c>
      <c r="E893" t="s">
        <v>31</v>
      </c>
      <c r="F893">
        <v>15</v>
      </c>
      <c r="G893" t="s">
        <v>38</v>
      </c>
      <c r="H893" t="s">
        <v>1798</v>
      </c>
      <c r="I893">
        <v>72</v>
      </c>
      <c r="J893">
        <v>46</v>
      </c>
      <c r="K893">
        <v>78</v>
      </c>
      <c r="L893">
        <v>90</v>
      </c>
      <c r="M893">
        <v>91</v>
      </c>
      <c r="N893">
        <v>89</v>
      </c>
      <c r="O893">
        <v>394</v>
      </c>
      <c r="P893">
        <v>78.8</v>
      </c>
      <c r="Q893" t="s">
        <v>40</v>
      </c>
      <c r="R893" t="s">
        <v>27</v>
      </c>
      <c r="S893">
        <v>4912</v>
      </c>
      <c r="T893" t="s">
        <v>28</v>
      </c>
      <c r="U893" t="str">
        <f t="shared" si="13"/>
        <v>Pass</v>
      </c>
    </row>
    <row r="894" spans="1:21">
      <c r="A894" t="s">
        <v>1799</v>
      </c>
      <c r="B894" t="s">
        <v>508</v>
      </c>
      <c r="C894" t="s">
        <v>22</v>
      </c>
      <c r="D894">
        <v>11</v>
      </c>
      <c r="E894" t="s">
        <v>23</v>
      </c>
      <c r="F894">
        <v>15</v>
      </c>
      <c r="G894" t="s">
        <v>45</v>
      </c>
      <c r="H894" t="s">
        <v>100</v>
      </c>
      <c r="I894">
        <v>68</v>
      </c>
      <c r="J894">
        <v>65</v>
      </c>
      <c r="K894">
        <v>49</v>
      </c>
      <c r="L894">
        <v>55</v>
      </c>
      <c r="M894">
        <v>82</v>
      </c>
      <c r="N894">
        <v>92</v>
      </c>
      <c r="O894">
        <v>343</v>
      </c>
      <c r="P894">
        <v>68.599999999999994</v>
      </c>
      <c r="Q894" t="s">
        <v>26</v>
      </c>
      <c r="R894" t="s">
        <v>27</v>
      </c>
      <c r="S894">
        <v>2904</v>
      </c>
      <c r="T894" t="s">
        <v>48</v>
      </c>
      <c r="U894" t="str">
        <f t="shared" si="13"/>
        <v>Pass</v>
      </c>
    </row>
    <row r="895" spans="1:21">
      <c r="A895" t="s">
        <v>1800</v>
      </c>
      <c r="B895" t="s">
        <v>544</v>
      </c>
      <c r="C895" t="s">
        <v>22</v>
      </c>
      <c r="D895">
        <v>3</v>
      </c>
      <c r="E895" t="s">
        <v>23</v>
      </c>
      <c r="F895">
        <v>9</v>
      </c>
      <c r="G895" t="s">
        <v>32</v>
      </c>
      <c r="H895" t="s">
        <v>1801</v>
      </c>
      <c r="I895">
        <v>66</v>
      </c>
      <c r="J895">
        <v>46</v>
      </c>
      <c r="K895">
        <v>50</v>
      </c>
      <c r="L895">
        <v>53</v>
      </c>
      <c r="M895">
        <v>78</v>
      </c>
      <c r="N895">
        <v>35</v>
      </c>
      <c r="O895">
        <v>262</v>
      </c>
      <c r="P895">
        <v>52.4</v>
      </c>
      <c r="Q895" t="s">
        <v>31</v>
      </c>
      <c r="R895" t="s">
        <v>27</v>
      </c>
      <c r="S895">
        <v>2548</v>
      </c>
      <c r="T895" t="s">
        <v>34</v>
      </c>
      <c r="U895" t="str">
        <f t="shared" si="13"/>
        <v>Fail</v>
      </c>
    </row>
    <row r="896" spans="1:21">
      <c r="A896" t="s">
        <v>1802</v>
      </c>
      <c r="B896" t="s">
        <v>226</v>
      </c>
      <c r="C896" t="s">
        <v>22</v>
      </c>
      <c r="D896">
        <v>7</v>
      </c>
      <c r="E896" t="s">
        <v>47</v>
      </c>
      <c r="F896">
        <v>11</v>
      </c>
      <c r="G896" t="s">
        <v>38</v>
      </c>
      <c r="H896" t="s">
        <v>1803</v>
      </c>
      <c r="I896">
        <v>83</v>
      </c>
      <c r="J896">
        <v>97</v>
      </c>
      <c r="K896">
        <v>56</v>
      </c>
      <c r="L896">
        <v>59</v>
      </c>
      <c r="M896">
        <v>67</v>
      </c>
      <c r="N896">
        <v>64</v>
      </c>
      <c r="O896">
        <v>343</v>
      </c>
      <c r="P896">
        <v>68.599999999999994</v>
      </c>
      <c r="Q896" t="s">
        <v>26</v>
      </c>
      <c r="R896" t="s">
        <v>41</v>
      </c>
      <c r="S896">
        <v>4956</v>
      </c>
      <c r="T896" t="s">
        <v>42</v>
      </c>
      <c r="U896" t="str">
        <f t="shared" si="13"/>
        <v>Pass</v>
      </c>
    </row>
    <row r="897" spans="1:21">
      <c r="A897" t="s">
        <v>1804</v>
      </c>
      <c r="B897" t="s">
        <v>408</v>
      </c>
      <c r="C897" t="s">
        <v>37</v>
      </c>
      <c r="D897">
        <v>3</v>
      </c>
      <c r="E897" t="s">
        <v>26</v>
      </c>
      <c r="F897">
        <v>7</v>
      </c>
      <c r="G897" t="s">
        <v>58</v>
      </c>
      <c r="H897" t="s">
        <v>1805</v>
      </c>
      <c r="I897">
        <v>61</v>
      </c>
      <c r="J897">
        <v>43</v>
      </c>
      <c r="K897">
        <v>100</v>
      </c>
      <c r="L897">
        <v>35</v>
      </c>
      <c r="M897">
        <v>41</v>
      </c>
      <c r="N897">
        <v>87</v>
      </c>
      <c r="O897">
        <v>306</v>
      </c>
      <c r="P897">
        <v>61.2</v>
      </c>
      <c r="Q897" t="s">
        <v>26</v>
      </c>
      <c r="R897" t="s">
        <v>27</v>
      </c>
      <c r="S897">
        <v>4234</v>
      </c>
      <c r="T897" t="s">
        <v>42</v>
      </c>
      <c r="U897" t="str">
        <f t="shared" si="13"/>
        <v>Pass</v>
      </c>
    </row>
    <row r="898" spans="1:21">
      <c r="A898" t="s">
        <v>1806</v>
      </c>
      <c r="B898" t="s">
        <v>884</v>
      </c>
      <c r="C898" t="s">
        <v>22</v>
      </c>
      <c r="D898">
        <v>6</v>
      </c>
      <c r="E898" t="s">
        <v>26</v>
      </c>
      <c r="F898">
        <v>11</v>
      </c>
      <c r="G898" t="s">
        <v>54</v>
      </c>
      <c r="H898" t="s">
        <v>1153</v>
      </c>
      <c r="I898">
        <v>60</v>
      </c>
      <c r="J898">
        <v>47</v>
      </c>
      <c r="K898">
        <v>42</v>
      </c>
      <c r="L898">
        <v>88</v>
      </c>
      <c r="M898">
        <v>83</v>
      </c>
      <c r="N898">
        <v>83</v>
      </c>
      <c r="O898">
        <v>343</v>
      </c>
      <c r="P898">
        <v>68.599999999999994</v>
      </c>
      <c r="Q898" t="s">
        <v>26</v>
      </c>
      <c r="R898" t="s">
        <v>41</v>
      </c>
      <c r="S898">
        <v>1583</v>
      </c>
      <c r="T898" t="s">
        <v>66</v>
      </c>
      <c r="U898" t="str">
        <f t="shared" si="13"/>
        <v>Pass</v>
      </c>
    </row>
    <row r="899" spans="1:21">
      <c r="A899" t="s">
        <v>1807</v>
      </c>
      <c r="B899" t="s">
        <v>622</v>
      </c>
      <c r="C899" t="s">
        <v>22</v>
      </c>
      <c r="D899">
        <v>8</v>
      </c>
      <c r="E899" t="s">
        <v>31</v>
      </c>
      <c r="F899">
        <v>12</v>
      </c>
      <c r="G899" t="s">
        <v>38</v>
      </c>
      <c r="H899" t="s">
        <v>1652</v>
      </c>
      <c r="I899">
        <v>76</v>
      </c>
      <c r="J899">
        <v>47</v>
      </c>
      <c r="K899">
        <v>52</v>
      </c>
      <c r="L899">
        <v>53</v>
      </c>
      <c r="M899">
        <v>58</v>
      </c>
      <c r="N899">
        <v>75</v>
      </c>
      <c r="O899">
        <v>285</v>
      </c>
      <c r="P899">
        <v>57</v>
      </c>
      <c r="Q899" t="s">
        <v>31</v>
      </c>
      <c r="R899" t="s">
        <v>41</v>
      </c>
      <c r="S899">
        <v>3561</v>
      </c>
      <c r="T899" t="s">
        <v>48</v>
      </c>
      <c r="U899" t="str">
        <f t="shared" ref="U899:U962" si="14">IF(P899&gt;55,"Pass","Fail")</f>
        <v>Pass</v>
      </c>
    </row>
    <row r="900" spans="1:21">
      <c r="A900" t="s">
        <v>1808</v>
      </c>
      <c r="B900" t="s">
        <v>253</v>
      </c>
      <c r="C900" t="s">
        <v>22</v>
      </c>
      <c r="D900">
        <v>11</v>
      </c>
      <c r="E900" t="s">
        <v>31</v>
      </c>
      <c r="F900">
        <v>15</v>
      </c>
      <c r="G900" t="s">
        <v>58</v>
      </c>
      <c r="H900" t="s">
        <v>1201</v>
      </c>
      <c r="I900">
        <v>80</v>
      </c>
      <c r="J900">
        <v>72</v>
      </c>
      <c r="K900">
        <v>94</v>
      </c>
      <c r="L900">
        <v>87</v>
      </c>
      <c r="M900">
        <v>56</v>
      </c>
      <c r="N900">
        <v>86</v>
      </c>
      <c r="O900">
        <v>395</v>
      </c>
      <c r="P900">
        <v>79</v>
      </c>
      <c r="Q900" t="s">
        <v>40</v>
      </c>
      <c r="R900" t="s">
        <v>27</v>
      </c>
      <c r="S900">
        <v>4976</v>
      </c>
      <c r="T900" t="s">
        <v>28</v>
      </c>
      <c r="U900" t="str">
        <f t="shared" si="14"/>
        <v>Pass</v>
      </c>
    </row>
    <row r="901" spans="1:21">
      <c r="A901" t="s">
        <v>1809</v>
      </c>
      <c r="B901" t="s">
        <v>1080</v>
      </c>
      <c r="C901" t="s">
        <v>37</v>
      </c>
      <c r="D901">
        <v>11</v>
      </c>
      <c r="E901" t="s">
        <v>31</v>
      </c>
      <c r="F901">
        <v>17</v>
      </c>
      <c r="G901" t="s">
        <v>54</v>
      </c>
      <c r="H901" t="s">
        <v>1478</v>
      </c>
      <c r="I901">
        <v>78</v>
      </c>
      <c r="J901">
        <v>50</v>
      </c>
      <c r="K901">
        <v>58</v>
      </c>
      <c r="L901">
        <v>46</v>
      </c>
      <c r="M901">
        <v>80</v>
      </c>
      <c r="N901">
        <v>46</v>
      </c>
      <c r="O901">
        <v>280</v>
      </c>
      <c r="P901">
        <v>56</v>
      </c>
      <c r="Q901" t="s">
        <v>31</v>
      </c>
      <c r="R901" t="s">
        <v>27</v>
      </c>
      <c r="S901">
        <v>4306</v>
      </c>
      <c r="T901" t="s">
        <v>28</v>
      </c>
      <c r="U901" t="str">
        <f t="shared" si="14"/>
        <v>Pass</v>
      </c>
    </row>
    <row r="902" spans="1:21">
      <c r="A902" t="s">
        <v>1810</v>
      </c>
      <c r="B902" t="s">
        <v>96</v>
      </c>
      <c r="C902" t="s">
        <v>22</v>
      </c>
      <c r="D902">
        <v>11</v>
      </c>
      <c r="E902" t="s">
        <v>31</v>
      </c>
      <c r="F902">
        <v>15</v>
      </c>
      <c r="G902" t="s">
        <v>64</v>
      </c>
      <c r="H902" t="s">
        <v>1811</v>
      </c>
      <c r="I902">
        <v>100</v>
      </c>
      <c r="J902">
        <v>54</v>
      </c>
      <c r="K902">
        <v>78</v>
      </c>
      <c r="L902">
        <v>98</v>
      </c>
      <c r="M902">
        <v>49</v>
      </c>
      <c r="N902">
        <v>48</v>
      </c>
      <c r="O902">
        <v>327</v>
      </c>
      <c r="P902">
        <v>65.400000000000006</v>
      </c>
      <c r="Q902" t="s">
        <v>26</v>
      </c>
      <c r="R902" t="s">
        <v>27</v>
      </c>
      <c r="S902">
        <v>1609</v>
      </c>
      <c r="T902" t="s">
        <v>70</v>
      </c>
      <c r="U902" t="str">
        <f t="shared" si="14"/>
        <v>Pass</v>
      </c>
    </row>
    <row r="903" spans="1:21">
      <c r="A903" t="s">
        <v>1812</v>
      </c>
      <c r="B903" t="s">
        <v>253</v>
      </c>
      <c r="C903" t="s">
        <v>22</v>
      </c>
      <c r="D903">
        <v>9</v>
      </c>
      <c r="E903" t="s">
        <v>31</v>
      </c>
      <c r="F903">
        <v>14</v>
      </c>
      <c r="G903" t="s">
        <v>38</v>
      </c>
      <c r="H903" t="s">
        <v>1813</v>
      </c>
      <c r="I903">
        <v>74</v>
      </c>
      <c r="J903">
        <v>44</v>
      </c>
      <c r="K903">
        <v>59</v>
      </c>
      <c r="L903">
        <v>45</v>
      </c>
      <c r="M903">
        <v>83</v>
      </c>
      <c r="N903">
        <v>55</v>
      </c>
      <c r="O903">
        <v>286</v>
      </c>
      <c r="P903">
        <v>57.2</v>
      </c>
      <c r="Q903" t="s">
        <v>31</v>
      </c>
      <c r="R903" t="s">
        <v>41</v>
      </c>
      <c r="S903">
        <v>3516</v>
      </c>
      <c r="T903" t="s">
        <v>66</v>
      </c>
      <c r="U903" t="str">
        <f t="shared" si="14"/>
        <v>Pass</v>
      </c>
    </row>
    <row r="904" spans="1:21">
      <c r="A904" t="s">
        <v>1814</v>
      </c>
      <c r="B904" t="s">
        <v>292</v>
      </c>
      <c r="C904" t="s">
        <v>37</v>
      </c>
      <c r="D904">
        <v>12</v>
      </c>
      <c r="E904" t="s">
        <v>26</v>
      </c>
      <c r="F904">
        <v>17</v>
      </c>
      <c r="G904" t="s">
        <v>45</v>
      </c>
      <c r="H904" t="s">
        <v>1815</v>
      </c>
      <c r="I904">
        <v>84</v>
      </c>
      <c r="J904">
        <v>62</v>
      </c>
      <c r="K904">
        <v>57</v>
      </c>
      <c r="L904">
        <v>35</v>
      </c>
      <c r="M904">
        <v>96</v>
      </c>
      <c r="N904">
        <v>67</v>
      </c>
      <c r="O904">
        <v>317</v>
      </c>
      <c r="P904">
        <v>63.4</v>
      </c>
      <c r="Q904" t="s">
        <v>26</v>
      </c>
      <c r="R904" t="s">
        <v>27</v>
      </c>
      <c r="S904">
        <v>2348</v>
      </c>
      <c r="T904" t="s">
        <v>70</v>
      </c>
      <c r="U904" t="str">
        <f t="shared" si="14"/>
        <v>Pass</v>
      </c>
    </row>
    <row r="905" spans="1:21">
      <c r="A905" t="s">
        <v>1816</v>
      </c>
      <c r="B905" t="s">
        <v>508</v>
      </c>
      <c r="C905" t="s">
        <v>22</v>
      </c>
      <c r="D905">
        <v>3</v>
      </c>
      <c r="E905" t="s">
        <v>47</v>
      </c>
      <c r="F905">
        <v>8</v>
      </c>
      <c r="G905" t="s">
        <v>58</v>
      </c>
      <c r="H905" t="s">
        <v>610</v>
      </c>
      <c r="I905">
        <v>100</v>
      </c>
      <c r="J905">
        <v>69</v>
      </c>
      <c r="K905">
        <v>39</v>
      </c>
      <c r="L905">
        <v>70</v>
      </c>
      <c r="M905">
        <v>40</v>
      </c>
      <c r="N905">
        <v>98</v>
      </c>
      <c r="O905">
        <v>316</v>
      </c>
      <c r="P905">
        <v>63.2</v>
      </c>
      <c r="Q905" t="s">
        <v>26</v>
      </c>
      <c r="R905" t="s">
        <v>27</v>
      </c>
      <c r="S905">
        <v>1809</v>
      </c>
      <c r="T905" t="s">
        <v>66</v>
      </c>
      <c r="U905" t="str">
        <f t="shared" si="14"/>
        <v>Pass</v>
      </c>
    </row>
    <row r="906" spans="1:21">
      <c r="A906" t="s">
        <v>1817</v>
      </c>
      <c r="B906" t="s">
        <v>36</v>
      </c>
      <c r="C906" t="s">
        <v>37</v>
      </c>
      <c r="D906">
        <v>12</v>
      </c>
      <c r="E906" t="s">
        <v>47</v>
      </c>
      <c r="F906">
        <v>17</v>
      </c>
      <c r="G906" t="s">
        <v>54</v>
      </c>
      <c r="H906" t="s">
        <v>746</v>
      </c>
      <c r="I906">
        <v>67</v>
      </c>
      <c r="J906">
        <v>55</v>
      </c>
      <c r="K906">
        <v>63</v>
      </c>
      <c r="L906">
        <v>35</v>
      </c>
      <c r="M906">
        <v>89</v>
      </c>
      <c r="N906">
        <v>39</v>
      </c>
      <c r="O906">
        <v>281</v>
      </c>
      <c r="P906">
        <v>56.2</v>
      </c>
      <c r="Q906" t="s">
        <v>31</v>
      </c>
      <c r="R906" t="s">
        <v>41</v>
      </c>
      <c r="S906">
        <v>4430</v>
      </c>
      <c r="T906" t="s">
        <v>66</v>
      </c>
      <c r="U906" t="str">
        <f t="shared" si="14"/>
        <v>Pass</v>
      </c>
    </row>
    <row r="907" spans="1:21">
      <c r="A907" t="s">
        <v>1818</v>
      </c>
      <c r="B907" t="s">
        <v>518</v>
      </c>
      <c r="C907" t="s">
        <v>37</v>
      </c>
      <c r="D907">
        <v>9</v>
      </c>
      <c r="E907" t="s">
        <v>31</v>
      </c>
      <c r="F907">
        <v>15</v>
      </c>
      <c r="G907" t="s">
        <v>32</v>
      </c>
      <c r="H907" t="s">
        <v>1819</v>
      </c>
      <c r="I907">
        <v>74</v>
      </c>
      <c r="J907">
        <v>62</v>
      </c>
      <c r="K907">
        <v>50</v>
      </c>
      <c r="L907">
        <v>38</v>
      </c>
      <c r="M907">
        <v>57</v>
      </c>
      <c r="N907">
        <v>77</v>
      </c>
      <c r="O907">
        <v>284</v>
      </c>
      <c r="P907">
        <v>56.8</v>
      </c>
      <c r="Q907" t="s">
        <v>31</v>
      </c>
      <c r="R907" t="s">
        <v>41</v>
      </c>
      <c r="S907">
        <v>2700</v>
      </c>
      <c r="T907" t="s">
        <v>66</v>
      </c>
      <c r="U907" t="str">
        <f t="shared" si="14"/>
        <v>Pass</v>
      </c>
    </row>
    <row r="908" spans="1:21">
      <c r="A908" t="s">
        <v>1820</v>
      </c>
      <c r="B908" t="s">
        <v>75</v>
      </c>
      <c r="C908" t="s">
        <v>22</v>
      </c>
      <c r="D908">
        <v>9</v>
      </c>
      <c r="E908" t="s">
        <v>47</v>
      </c>
      <c r="F908">
        <v>13</v>
      </c>
      <c r="G908" t="s">
        <v>24</v>
      </c>
      <c r="H908" t="s">
        <v>1821</v>
      </c>
      <c r="I908">
        <v>84</v>
      </c>
      <c r="J908">
        <v>55</v>
      </c>
      <c r="K908">
        <v>79</v>
      </c>
      <c r="L908">
        <v>56</v>
      </c>
      <c r="M908">
        <v>82</v>
      </c>
      <c r="N908">
        <v>49</v>
      </c>
      <c r="O908">
        <v>321</v>
      </c>
      <c r="P908">
        <v>64.2</v>
      </c>
      <c r="Q908" t="s">
        <v>26</v>
      </c>
      <c r="R908" t="s">
        <v>41</v>
      </c>
      <c r="S908">
        <v>4604</v>
      </c>
      <c r="T908" t="s">
        <v>28</v>
      </c>
      <c r="U908" t="str">
        <f t="shared" si="14"/>
        <v>Pass</v>
      </c>
    </row>
    <row r="909" spans="1:21">
      <c r="A909" t="s">
        <v>1822</v>
      </c>
      <c r="B909" t="s">
        <v>261</v>
      </c>
      <c r="C909" t="s">
        <v>37</v>
      </c>
      <c r="D909">
        <v>10</v>
      </c>
      <c r="E909" t="s">
        <v>23</v>
      </c>
      <c r="F909">
        <v>14</v>
      </c>
      <c r="G909" t="s">
        <v>64</v>
      </c>
      <c r="H909" t="s">
        <v>1823</v>
      </c>
      <c r="I909">
        <v>80</v>
      </c>
      <c r="J909">
        <v>35</v>
      </c>
      <c r="K909">
        <v>45</v>
      </c>
      <c r="L909">
        <v>52</v>
      </c>
      <c r="M909">
        <v>80</v>
      </c>
      <c r="N909">
        <v>73</v>
      </c>
      <c r="O909">
        <v>285</v>
      </c>
      <c r="P909">
        <v>57</v>
      </c>
      <c r="Q909" t="s">
        <v>31</v>
      </c>
      <c r="R909" t="s">
        <v>27</v>
      </c>
      <c r="S909">
        <v>2667</v>
      </c>
      <c r="T909" t="s">
        <v>42</v>
      </c>
      <c r="U909" t="str">
        <f t="shared" si="14"/>
        <v>Pass</v>
      </c>
    </row>
    <row r="910" spans="1:21">
      <c r="A910" t="s">
        <v>1824</v>
      </c>
      <c r="B910" t="s">
        <v>87</v>
      </c>
      <c r="C910" t="s">
        <v>22</v>
      </c>
      <c r="D910">
        <v>9</v>
      </c>
      <c r="E910" t="s">
        <v>47</v>
      </c>
      <c r="F910">
        <v>15</v>
      </c>
      <c r="G910" t="s">
        <v>45</v>
      </c>
      <c r="H910" t="s">
        <v>817</v>
      </c>
      <c r="I910">
        <v>89</v>
      </c>
      <c r="J910">
        <v>52</v>
      </c>
      <c r="K910">
        <v>96</v>
      </c>
      <c r="L910">
        <v>44</v>
      </c>
      <c r="M910">
        <v>42</v>
      </c>
      <c r="N910">
        <v>56</v>
      </c>
      <c r="O910">
        <v>290</v>
      </c>
      <c r="P910">
        <v>58</v>
      </c>
      <c r="Q910" t="s">
        <v>31</v>
      </c>
      <c r="R910" t="s">
        <v>41</v>
      </c>
      <c r="S910">
        <v>4604</v>
      </c>
      <c r="T910" t="s">
        <v>70</v>
      </c>
      <c r="U910" t="str">
        <f t="shared" si="14"/>
        <v>Pass</v>
      </c>
    </row>
    <row r="911" spans="1:21">
      <c r="A911" t="s">
        <v>1825</v>
      </c>
      <c r="B911" t="s">
        <v>87</v>
      </c>
      <c r="C911" t="s">
        <v>37</v>
      </c>
      <c r="D911">
        <v>1</v>
      </c>
      <c r="E911" t="s">
        <v>31</v>
      </c>
      <c r="F911">
        <v>6</v>
      </c>
      <c r="G911" t="s">
        <v>64</v>
      </c>
      <c r="H911" t="s">
        <v>1778</v>
      </c>
      <c r="I911">
        <v>83</v>
      </c>
      <c r="J911">
        <v>73</v>
      </c>
      <c r="K911">
        <v>100</v>
      </c>
      <c r="L911">
        <v>79</v>
      </c>
      <c r="M911">
        <v>91</v>
      </c>
      <c r="N911">
        <v>100</v>
      </c>
      <c r="O911">
        <v>443</v>
      </c>
      <c r="P911">
        <v>88.6</v>
      </c>
      <c r="Q911" t="s">
        <v>47</v>
      </c>
      <c r="R911" t="s">
        <v>41</v>
      </c>
      <c r="S911">
        <v>2632</v>
      </c>
      <c r="T911" t="s">
        <v>48</v>
      </c>
      <c r="U911" t="str">
        <f t="shared" si="14"/>
        <v>Pass</v>
      </c>
    </row>
    <row r="912" spans="1:21">
      <c r="A912" t="s">
        <v>1826</v>
      </c>
      <c r="B912" t="s">
        <v>140</v>
      </c>
      <c r="C912" t="s">
        <v>22</v>
      </c>
      <c r="D912">
        <v>1</v>
      </c>
      <c r="E912" t="s">
        <v>23</v>
      </c>
      <c r="F912">
        <v>7</v>
      </c>
      <c r="G912" t="s">
        <v>54</v>
      </c>
      <c r="H912" t="s">
        <v>1827</v>
      </c>
      <c r="I912">
        <v>96</v>
      </c>
      <c r="J912">
        <v>61</v>
      </c>
      <c r="K912">
        <v>47</v>
      </c>
      <c r="L912">
        <v>81</v>
      </c>
      <c r="M912">
        <v>42</v>
      </c>
      <c r="N912">
        <v>53</v>
      </c>
      <c r="O912">
        <v>284</v>
      </c>
      <c r="P912">
        <v>56.8</v>
      </c>
      <c r="Q912" t="s">
        <v>31</v>
      </c>
      <c r="R912" t="s">
        <v>27</v>
      </c>
      <c r="S912">
        <v>3172</v>
      </c>
      <c r="T912" t="s">
        <v>42</v>
      </c>
      <c r="U912" t="str">
        <f t="shared" si="14"/>
        <v>Pass</v>
      </c>
    </row>
    <row r="913" spans="1:21">
      <c r="A913" t="s">
        <v>1828</v>
      </c>
      <c r="B913" t="s">
        <v>555</v>
      </c>
      <c r="C913" t="s">
        <v>22</v>
      </c>
      <c r="D913">
        <v>1</v>
      </c>
      <c r="E913" t="s">
        <v>23</v>
      </c>
      <c r="F913">
        <v>6</v>
      </c>
      <c r="G913" t="s">
        <v>32</v>
      </c>
      <c r="H913" t="s">
        <v>1546</v>
      </c>
      <c r="I913">
        <v>100</v>
      </c>
      <c r="J913">
        <v>40</v>
      </c>
      <c r="K913">
        <v>78</v>
      </c>
      <c r="L913">
        <v>61</v>
      </c>
      <c r="M913">
        <v>43</v>
      </c>
      <c r="N913">
        <v>44</v>
      </c>
      <c r="O913">
        <v>266</v>
      </c>
      <c r="P913">
        <v>53.2</v>
      </c>
      <c r="Q913" t="s">
        <v>31</v>
      </c>
      <c r="R913" t="s">
        <v>41</v>
      </c>
      <c r="S913">
        <v>2277</v>
      </c>
      <c r="T913" t="s">
        <v>34</v>
      </c>
      <c r="U913" t="str">
        <f t="shared" si="14"/>
        <v>Fail</v>
      </c>
    </row>
    <row r="914" spans="1:21">
      <c r="A914" t="s">
        <v>1829</v>
      </c>
      <c r="B914" t="s">
        <v>343</v>
      </c>
      <c r="C914" t="s">
        <v>37</v>
      </c>
      <c r="D914">
        <v>12</v>
      </c>
      <c r="E914" t="s">
        <v>31</v>
      </c>
      <c r="F914">
        <v>17</v>
      </c>
      <c r="G914" t="s">
        <v>38</v>
      </c>
      <c r="H914" t="s">
        <v>1830</v>
      </c>
      <c r="I914">
        <v>60</v>
      </c>
      <c r="J914">
        <v>81</v>
      </c>
      <c r="K914">
        <v>75</v>
      </c>
      <c r="L914">
        <v>74</v>
      </c>
      <c r="M914">
        <v>67</v>
      </c>
      <c r="N914">
        <v>51</v>
      </c>
      <c r="O914">
        <v>348</v>
      </c>
      <c r="P914">
        <v>69.599999999999994</v>
      </c>
      <c r="Q914" t="s">
        <v>26</v>
      </c>
      <c r="R914" t="s">
        <v>41</v>
      </c>
      <c r="S914">
        <v>2054</v>
      </c>
      <c r="T914" t="s">
        <v>42</v>
      </c>
      <c r="U914" t="str">
        <f t="shared" si="14"/>
        <v>Pass</v>
      </c>
    </row>
    <row r="915" spans="1:21">
      <c r="A915" t="s">
        <v>1831</v>
      </c>
      <c r="B915" t="s">
        <v>236</v>
      </c>
      <c r="C915" t="s">
        <v>37</v>
      </c>
      <c r="D915">
        <v>10</v>
      </c>
      <c r="E915" t="s">
        <v>47</v>
      </c>
      <c r="F915">
        <v>15</v>
      </c>
      <c r="G915" t="s">
        <v>58</v>
      </c>
      <c r="H915" t="s">
        <v>1052</v>
      </c>
      <c r="I915">
        <v>76</v>
      </c>
      <c r="J915">
        <v>82</v>
      </c>
      <c r="K915">
        <v>71</v>
      </c>
      <c r="L915">
        <v>55</v>
      </c>
      <c r="M915">
        <v>38</v>
      </c>
      <c r="N915">
        <v>58</v>
      </c>
      <c r="O915">
        <v>304</v>
      </c>
      <c r="P915">
        <v>60.8</v>
      </c>
      <c r="Q915" t="s">
        <v>26</v>
      </c>
      <c r="R915" t="s">
        <v>41</v>
      </c>
      <c r="S915">
        <v>3507</v>
      </c>
      <c r="T915" t="s">
        <v>28</v>
      </c>
      <c r="U915" t="str">
        <f t="shared" si="14"/>
        <v>Pass</v>
      </c>
    </row>
    <row r="916" spans="1:21">
      <c r="A916" t="s">
        <v>1832</v>
      </c>
      <c r="B916" t="s">
        <v>373</v>
      </c>
      <c r="C916" t="s">
        <v>37</v>
      </c>
      <c r="D916">
        <v>2</v>
      </c>
      <c r="E916" t="s">
        <v>47</v>
      </c>
      <c r="F916">
        <v>6</v>
      </c>
      <c r="G916" t="s">
        <v>45</v>
      </c>
      <c r="H916" t="s">
        <v>1833</v>
      </c>
      <c r="I916">
        <v>95</v>
      </c>
      <c r="J916">
        <v>63</v>
      </c>
      <c r="K916">
        <v>62</v>
      </c>
      <c r="L916">
        <v>38</v>
      </c>
      <c r="M916">
        <v>90</v>
      </c>
      <c r="N916">
        <v>94</v>
      </c>
      <c r="O916">
        <v>347</v>
      </c>
      <c r="P916">
        <v>69.400000000000006</v>
      </c>
      <c r="Q916" t="s">
        <v>26</v>
      </c>
      <c r="R916" t="s">
        <v>27</v>
      </c>
      <c r="S916">
        <v>4048</v>
      </c>
      <c r="T916" t="s">
        <v>66</v>
      </c>
      <c r="U916" t="str">
        <f t="shared" si="14"/>
        <v>Pass</v>
      </c>
    </row>
    <row r="917" spans="1:21">
      <c r="A917" t="s">
        <v>1834</v>
      </c>
      <c r="B917" t="s">
        <v>622</v>
      </c>
      <c r="C917" t="s">
        <v>37</v>
      </c>
      <c r="D917">
        <v>10</v>
      </c>
      <c r="E917" t="s">
        <v>47</v>
      </c>
      <c r="F917">
        <v>15</v>
      </c>
      <c r="G917" t="s">
        <v>58</v>
      </c>
      <c r="H917" t="s">
        <v>1835</v>
      </c>
      <c r="I917">
        <v>71</v>
      </c>
      <c r="J917">
        <v>84</v>
      </c>
      <c r="K917">
        <v>53</v>
      </c>
      <c r="L917">
        <v>60</v>
      </c>
      <c r="M917">
        <v>50</v>
      </c>
      <c r="N917">
        <v>54</v>
      </c>
      <c r="O917">
        <v>301</v>
      </c>
      <c r="P917">
        <v>60.2</v>
      </c>
      <c r="Q917" t="s">
        <v>26</v>
      </c>
      <c r="R917" t="s">
        <v>27</v>
      </c>
      <c r="S917">
        <v>4612</v>
      </c>
      <c r="T917" t="s">
        <v>42</v>
      </c>
      <c r="U917" t="str">
        <f t="shared" si="14"/>
        <v>Pass</v>
      </c>
    </row>
    <row r="918" spans="1:21">
      <c r="A918" t="s">
        <v>1836</v>
      </c>
      <c r="B918" t="s">
        <v>335</v>
      </c>
      <c r="C918" t="s">
        <v>22</v>
      </c>
      <c r="D918">
        <v>12</v>
      </c>
      <c r="E918" t="s">
        <v>26</v>
      </c>
      <c r="F918">
        <v>17</v>
      </c>
      <c r="G918" t="s">
        <v>38</v>
      </c>
      <c r="H918" t="s">
        <v>1446</v>
      </c>
      <c r="I918">
        <v>70</v>
      </c>
      <c r="J918">
        <v>67</v>
      </c>
      <c r="K918">
        <v>40</v>
      </c>
      <c r="L918">
        <v>83</v>
      </c>
      <c r="M918">
        <v>73</v>
      </c>
      <c r="N918">
        <v>98</v>
      </c>
      <c r="O918">
        <v>361</v>
      </c>
      <c r="P918">
        <v>72.2</v>
      </c>
      <c r="Q918" t="s">
        <v>40</v>
      </c>
      <c r="R918" t="s">
        <v>41</v>
      </c>
      <c r="S918">
        <v>3402</v>
      </c>
      <c r="T918" t="s">
        <v>70</v>
      </c>
      <c r="U918" t="str">
        <f t="shared" si="14"/>
        <v>Pass</v>
      </c>
    </row>
    <row r="919" spans="1:21">
      <c r="A919" t="s">
        <v>1837</v>
      </c>
      <c r="B919" t="s">
        <v>126</v>
      </c>
      <c r="C919" t="s">
        <v>22</v>
      </c>
      <c r="D919">
        <v>10</v>
      </c>
      <c r="E919" t="s">
        <v>31</v>
      </c>
      <c r="F919">
        <v>15</v>
      </c>
      <c r="G919" t="s">
        <v>45</v>
      </c>
      <c r="H919" t="s">
        <v>1838</v>
      </c>
      <c r="I919">
        <v>79</v>
      </c>
      <c r="J919">
        <v>70</v>
      </c>
      <c r="K919">
        <v>81</v>
      </c>
      <c r="L919">
        <v>85</v>
      </c>
      <c r="M919">
        <v>89</v>
      </c>
      <c r="N919">
        <v>61</v>
      </c>
      <c r="O919">
        <v>386</v>
      </c>
      <c r="P919">
        <v>77.2</v>
      </c>
      <c r="Q919" t="s">
        <v>40</v>
      </c>
      <c r="R919" t="s">
        <v>27</v>
      </c>
      <c r="S919">
        <v>3924</v>
      </c>
      <c r="T919" t="s">
        <v>70</v>
      </c>
      <c r="U919" t="str">
        <f t="shared" si="14"/>
        <v>Pass</v>
      </c>
    </row>
    <row r="920" spans="1:21">
      <c r="A920" t="s">
        <v>1839</v>
      </c>
      <c r="B920" t="s">
        <v>1088</v>
      </c>
      <c r="C920" t="s">
        <v>37</v>
      </c>
      <c r="D920">
        <v>10</v>
      </c>
      <c r="E920" t="s">
        <v>47</v>
      </c>
      <c r="F920">
        <v>14</v>
      </c>
      <c r="G920" t="s">
        <v>54</v>
      </c>
      <c r="H920" t="s">
        <v>1840</v>
      </c>
      <c r="I920">
        <v>76</v>
      </c>
      <c r="J920">
        <v>91</v>
      </c>
      <c r="K920">
        <v>66</v>
      </c>
      <c r="L920">
        <v>72</v>
      </c>
      <c r="M920">
        <v>68</v>
      </c>
      <c r="N920">
        <v>42</v>
      </c>
      <c r="O920">
        <v>339</v>
      </c>
      <c r="P920">
        <v>67.8</v>
      </c>
      <c r="Q920" t="s">
        <v>26</v>
      </c>
      <c r="R920" t="s">
        <v>41</v>
      </c>
      <c r="S920">
        <v>3320</v>
      </c>
      <c r="T920" t="s">
        <v>28</v>
      </c>
      <c r="U920" t="str">
        <f t="shared" si="14"/>
        <v>Pass</v>
      </c>
    </row>
    <row r="921" spans="1:21">
      <c r="A921" t="s">
        <v>1841</v>
      </c>
      <c r="B921" t="s">
        <v>148</v>
      </c>
      <c r="C921" t="s">
        <v>37</v>
      </c>
      <c r="D921">
        <v>2</v>
      </c>
      <c r="E921" t="s">
        <v>23</v>
      </c>
      <c r="F921">
        <v>7</v>
      </c>
      <c r="G921" t="s">
        <v>24</v>
      </c>
      <c r="H921" t="s">
        <v>1827</v>
      </c>
      <c r="I921">
        <v>95</v>
      </c>
      <c r="J921">
        <v>70</v>
      </c>
      <c r="K921">
        <v>35</v>
      </c>
      <c r="L921">
        <v>68</v>
      </c>
      <c r="M921">
        <v>99</v>
      </c>
      <c r="N921">
        <v>69</v>
      </c>
      <c r="O921">
        <v>341</v>
      </c>
      <c r="P921">
        <v>68.2</v>
      </c>
      <c r="Q921" t="s">
        <v>26</v>
      </c>
      <c r="R921" t="s">
        <v>27</v>
      </c>
      <c r="S921">
        <v>4604</v>
      </c>
      <c r="T921" t="s">
        <v>28</v>
      </c>
      <c r="U921" t="str">
        <f t="shared" si="14"/>
        <v>Pass</v>
      </c>
    </row>
    <row r="922" spans="1:21">
      <c r="A922" t="s">
        <v>1842</v>
      </c>
      <c r="B922" t="s">
        <v>582</v>
      </c>
      <c r="C922" t="s">
        <v>37</v>
      </c>
      <c r="D922">
        <v>9</v>
      </c>
      <c r="E922" t="s">
        <v>31</v>
      </c>
      <c r="F922">
        <v>13</v>
      </c>
      <c r="G922" t="s">
        <v>38</v>
      </c>
      <c r="H922" t="s">
        <v>972</v>
      </c>
      <c r="I922">
        <v>68</v>
      </c>
      <c r="J922">
        <v>42</v>
      </c>
      <c r="K922">
        <v>80</v>
      </c>
      <c r="L922">
        <v>85</v>
      </c>
      <c r="M922">
        <v>100</v>
      </c>
      <c r="N922">
        <v>75</v>
      </c>
      <c r="O922">
        <v>382</v>
      </c>
      <c r="P922">
        <v>76.400000000000006</v>
      </c>
      <c r="Q922" t="s">
        <v>40</v>
      </c>
      <c r="R922" t="s">
        <v>41</v>
      </c>
      <c r="S922">
        <v>3718</v>
      </c>
      <c r="T922" t="s">
        <v>42</v>
      </c>
      <c r="U922" t="str">
        <f t="shared" si="14"/>
        <v>Pass</v>
      </c>
    </row>
    <row r="923" spans="1:21">
      <c r="A923" t="s">
        <v>1843</v>
      </c>
      <c r="B923" t="s">
        <v>777</v>
      </c>
      <c r="C923" t="s">
        <v>22</v>
      </c>
      <c r="D923">
        <v>7</v>
      </c>
      <c r="E923" t="s">
        <v>31</v>
      </c>
      <c r="F923">
        <v>13</v>
      </c>
      <c r="G923" t="s">
        <v>64</v>
      </c>
      <c r="H923" t="s">
        <v>1136</v>
      </c>
      <c r="I923">
        <v>68</v>
      </c>
      <c r="J923">
        <v>70</v>
      </c>
      <c r="K923">
        <v>50</v>
      </c>
      <c r="L923">
        <v>88</v>
      </c>
      <c r="M923">
        <v>57</v>
      </c>
      <c r="N923">
        <v>41</v>
      </c>
      <c r="O923">
        <v>306</v>
      </c>
      <c r="P923">
        <v>61.2</v>
      </c>
      <c r="Q923" t="s">
        <v>26</v>
      </c>
      <c r="R923" t="s">
        <v>27</v>
      </c>
      <c r="S923">
        <v>1888</v>
      </c>
      <c r="T923" t="s">
        <v>28</v>
      </c>
      <c r="U923" t="str">
        <f t="shared" si="14"/>
        <v>Pass</v>
      </c>
    </row>
    <row r="924" spans="1:21">
      <c r="A924" t="s">
        <v>1844</v>
      </c>
      <c r="B924" t="s">
        <v>160</v>
      </c>
      <c r="C924" t="s">
        <v>37</v>
      </c>
      <c r="D924">
        <v>1</v>
      </c>
      <c r="E924" t="s">
        <v>47</v>
      </c>
      <c r="F924">
        <v>6</v>
      </c>
      <c r="G924" t="s">
        <v>45</v>
      </c>
      <c r="H924" t="s">
        <v>526</v>
      </c>
      <c r="I924">
        <v>67</v>
      </c>
      <c r="J924">
        <v>58</v>
      </c>
      <c r="K924">
        <v>82</v>
      </c>
      <c r="L924">
        <v>81</v>
      </c>
      <c r="M924">
        <v>98</v>
      </c>
      <c r="N924">
        <v>43</v>
      </c>
      <c r="O924">
        <v>362</v>
      </c>
      <c r="P924">
        <v>72.400000000000006</v>
      </c>
      <c r="Q924" t="s">
        <v>40</v>
      </c>
      <c r="R924" t="s">
        <v>41</v>
      </c>
      <c r="S924">
        <v>4437</v>
      </c>
      <c r="T924" t="s">
        <v>28</v>
      </c>
      <c r="U924" t="str">
        <f t="shared" si="14"/>
        <v>Pass</v>
      </c>
    </row>
    <row r="925" spans="1:21">
      <c r="A925" t="s">
        <v>1845</v>
      </c>
      <c r="B925" t="s">
        <v>118</v>
      </c>
      <c r="C925" t="s">
        <v>22</v>
      </c>
      <c r="D925">
        <v>4</v>
      </c>
      <c r="E925" t="s">
        <v>23</v>
      </c>
      <c r="F925">
        <v>9</v>
      </c>
      <c r="G925" t="s">
        <v>54</v>
      </c>
      <c r="H925" t="s">
        <v>1846</v>
      </c>
      <c r="I925">
        <v>62</v>
      </c>
      <c r="J925">
        <v>62</v>
      </c>
      <c r="K925">
        <v>70</v>
      </c>
      <c r="L925">
        <v>59</v>
      </c>
      <c r="M925">
        <v>87</v>
      </c>
      <c r="N925">
        <v>93</v>
      </c>
      <c r="O925">
        <v>371</v>
      </c>
      <c r="P925">
        <v>74.2</v>
      </c>
      <c r="Q925" t="s">
        <v>40</v>
      </c>
      <c r="R925" t="s">
        <v>41</v>
      </c>
      <c r="S925">
        <v>2907</v>
      </c>
      <c r="T925" t="s">
        <v>34</v>
      </c>
      <c r="U925" t="str">
        <f t="shared" si="14"/>
        <v>Pass</v>
      </c>
    </row>
    <row r="926" spans="1:21">
      <c r="A926" t="s">
        <v>1847</v>
      </c>
      <c r="B926" t="s">
        <v>154</v>
      </c>
      <c r="C926" t="s">
        <v>37</v>
      </c>
      <c r="D926">
        <v>4</v>
      </c>
      <c r="E926" t="s">
        <v>26</v>
      </c>
      <c r="F926">
        <v>10</v>
      </c>
      <c r="G926" t="s">
        <v>24</v>
      </c>
      <c r="H926" t="s">
        <v>623</v>
      </c>
      <c r="I926">
        <v>95</v>
      </c>
      <c r="J926">
        <v>76</v>
      </c>
      <c r="K926">
        <v>45</v>
      </c>
      <c r="L926">
        <v>92</v>
      </c>
      <c r="M926">
        <v>55</v>
      </c>
      <c r="N926">
        <v>79</v>
      </c>
      <c r="O926">
        <v>347</v>
      </c>
      <c r="P926">
        <v>69.400000000000006</v>
      </c>
      <c r="Q926" t="s">
        <v>26</v>
      </c>
      <c r="R926" t="s">
        <v>41</v>
      </c>
      <c r="S926">
        <v>1825</v>
      </c>
      <c r="T926" t="s">
        <v>28</v>
      </c>
      <c r="U926" t="str">
        <f t="shared" si="14"/>
        <v>Pass</v>
      </c>
    </row>
    <row r="927" spans="1:21">
      <c r="A927" t="s">
        <v>1848</v>
      </c>
      <c r="B927" t="s">
        <v>439</v>
      </c>
      <c r="C927" t="s">
        <v>37</v>
      </c>
      <c r="D927">
        <v>9</v>
      </c>
      <c r="E927" t="s">
        <v>23</v>
      </c>
      <c r="F927">
        <v>13</v>
      </c>
      <c r="G927" t="s">
        <v>45</v>
      </c>
      <c r="H927" t="s">
        <v>262</v>
      </c>
      <c r="I927">
        <v>77</v>
      </c>
      <c r="J927">
        <v>70</v>
      </c>
      <c r="K927">
        <v>66</v>
      </c>
      <c r="L927">
        <v>42</v>
      </c>
      <c r="M927">
        <v>90</v>
      </c>
      <c r="N927">
        <v>87</v>
      </c>
      <c r="O927">
        <v>355</v>
      </c>
      <c r="P927">
        <v>71</v>
      </c>
      <c r="Q927" t="s">
        <v>40</v>
      </c>
      <c r="R927" t="s">
        <v>27</v>
      </c>
      <c r="S927">
        <v>3751</v>
      </c>
      <c r="T927" t="s">
        <v>42</v>
      </c>
      <c r="U927" t="str">
        <f t="shared" si="14"/>
        <v>Pass</v>
      </c>
    </row>
    <row r="928" spans="1:21">
      <c r="A928" t="s">
        <v>1849</v>
      </c>
      <c r="B928" t="s">
        <v>525</v>
      </c>
      <c r="C928" t="s">
        <v>37</v>
      </c>
      <c r="D928">
        <v>4</v>
      </c>
      <c r="E928" t="s">
        <v>26</v>
      </c>
      <c r="F928">
        <v>10</v>
      </c>
      <c r="G928" t="s">
        <v>32</v>
      </c>
      <c r="H928" t="s">
        <v>1504</v>
      </c>
      <c r="I928">
        <v>83</v>
      </c>
      <c r="J928">
        <v>43</v>
      </c>
      <c r="K928">
        <v>41</v>
      </c>
      <c r="L928">
        <v>89</v>
      </c>
      <c r="M928">
        <v>49</v>
      </c>
      <c r="N928">
        <v>60</v>
      </c>
      <c r="O928">
        <v>282</v>
      </c>
      <c r="P928">
        <v>56.4</v>
      </c>
      <c r="Q928" t="s">
        <v>31</v>
      </c>
      <c r="R928" t="s">
        <v>41</v>
      </c>
      <c r="S928">
        <v>3216</v>
      </c>
      <c r="T928" t="s">
        <v>34</v>
      </c>
      <c r="U928" t="str">
        <f t="shared" si="14"/>
        <v>Pass</v>
      </c>
    </row>
    <row r="929" spans="1:21">
      <c r="A929" t="s">
        <v>1850</v>
      </c>
      <c r="B929" t="s">
        <v>1644</v>
      </c>
      <c r="C929" t="s">
        <v>22</v>
      </c>
      <c r="D929">
        <v>3</v>
      </c>
      <c r="E929" t="s">
        <v>31</v>
      </c>
      <c r="F929">
        <v>7</v>
      </c>
      <c r="G929" t="s">
        <v>45</v>
      </c>
      <c r="H929" t="s">
        <v>1851</v>
      </c>
      <c r="I929">
        <v>61</v>
      </c>
      <c r="J929">
        <v>68</v>
      </c>
      <c r="K929">
        <v>100</v>
      </c>
      <c r="L929">
        <v>87</v>
      </c>
      <c r="M929">
        <v>60</v>
      </c>
      <c r="N929">
        <v>70</v>
      </c>
      <c r="O929">
        <v>385</v>
      </c>
      <c r="P929">
        <v>77</v>
      </c>
      <c r="Q929" t="s">
        <v>40</v>
      </c>
      <c r="R929" t="s">
        <v>27</v>
      </c>
      <c r="S929">
        <v>4749</v>
      </c>
      <c r="T929" t="s">
        <v>70</v>
      </c>
      <c r="U929" t="str">
        <f t="shared" si="14"/>
        <v>Pass</v>
      </c>
    </row>
    <row r="930" spans="1:21">
      <c r="A930" t="s">
        <v>1852</v>
      </c>
      <c r="B930" t="s">
        <v>302</v>
      </c>
      <c r="C930" t="s">
        <v>22</v>
      </c>
      <c r="D930">
        <v>1</v>
      </c>
      <c r="E930" t="s">
        <v>26</v>
      </c>
      <c r="F930">
        <v>7</v>
      </c>
      <c r="G930" t="s">
        <v>64</v>
      </c>
      <c r="H930" t="s">
        <v>1853</v>
      </c>
      <c r="I930">
        <v>71</v>
      </c>
      <c r="J930">
        <v>54</v>
      </c>
      <c r="K930">
        <v>53</v>
      </c>
      <c r="L930">
        <v>50</v>
      </c>
      <c r="M930">
        <v>80</v>
      </c>
      <c r="N930">
        <v>59</v>
      </c>
      <c r="O930">
        <v>296</v>
      </c>
      <c r="P930">
        <v>59.2</v>
      </c>
      <c r="Q930" t="s">
        <v>31</v>
      </c>
      <c r="R930" t="s">
        <v>27</v>
      </c>
      <c r="S930">
        <v>3866</v>
      </c>
      <c r="T930" t="s">
        <v>66</v>
      </c>
      <c r="U930" t="str">
        <f t="shared" si="14"/>
        <v>Pass</v>
      </c>
    </row>
    <row r="931" spans="1:21">
      <c r="A931" t="s">
        <v>1854</v>
      </c>
      <c r="B931" t="s">
        <v>256</v>
      </c>
      <c r="C931" t="s">
        <v>37</v>
      </c>
      <c r="D931">
        <v>10</v>
      </c>
      <c r="E931" t="s">
        <v>47</v>
      </c>
      <c r="F931">
        <v>15</v>
      </c>
      <c r="G931" t="s">
        <v>38</v>
      </c>
      <c r="H931" t="s">
        <v>1855</v>
      </c>
      <c r="I931">
        <v>99</v>
      </c>
      <c r="J931">
        <v>71</v>
      </c>
      <c r="K931">
        <v>91</v>
      </c>
      <c r="L931">
        <v>65</v>
      </c>
      <c r="M931">
        <v>87</v>
      </c>
      <c r="N931">
        <v>72</v>
      </c>
      <c r="O931">
        <v>386</v>
      </c>
      <c r="P931">
        <v>77.2</v>
      </c>
      <c r="Q931" t="s">
        <v>40</v>
      </c>
      <c r="R931" t="s">
        <v>41</v>
      </c>
      <c r="S931">
        <v>2517</v>
      </c>
      <c r="T931" t="s">
        <v>34</v>
      </c>
      <c r="U931" t="str">
        <f t="shared" si="14"/>
        <v>Pass</v>
      </c>
    </row>
    <row r="932" spans="1:21">
      <c r="A932" t="s">
        <v>1856</v>
      </c>
      <c r="B932" t="s">
        <v>53</v>
      </c>
      <c r="C932" t="s">
        <v>22</v>
      </c>
      <c r="D932">
        <v>8</v>
      </c>
      <c r="E932" t="s">
        <v>23</v>
      </c>
      <c r="F932">
        <v>13</v>
      </c>
      <c r="G932" t="s">
        <v>54</v>
      </c>
      <c r="H932" t="s">
        <v>1546</v>
      </c>
      <c r="I932">
        <v>73</v>
      </c>
      <c r="J932">
        <v>93</v>
      </c>
      <c r="K932">
        <v>84</v>
      </c>
      <c r="L932">
        <v>56</v>
      </c>
      <c r="M932">
        <v>89</v>
      </c>
      <c r="N932">
        <v>67</v>
      </c>
      <c r="O932">
        <v>389</v>
      </c>
      <c r="P932">
        <v>77.8</v>
      </c>
      <c r="Q932" t="s">
        <v>40</v>
      </c>
      <c r="R932" t="s">
        <v>41</v>
      </c>
      <c r="S932">
        <v>3616</v>
      </c>
      <c r="T932" t="s">
        <v>42</v>
      </c>
      <c r="U932" t="str">
        <f t="shared" si="14"/>
        <v>Pass</v>
      </c>
    </row>
    <row r="933" spans="1:21">
      <c r="A933" t="s">
        <v>1857</v>
      </c>
      <c r="B933" t="s">
        <v>30</v>
      </c>
      <c r="C933" t="s">
        <v>37</v>
      </c>
      <c r="D933">
        <v>11</v>
      </c>
      <c r="E933" t="s">
        <v>31</v>
      </c>
      <c r="F933">
        <v>16</v>
      </c>
      <c r="G933" t="s">
        <v>45</v>
      </c>
      <c r="H933" t="s">
        <v>1858</v>
      </c>
      <c r="I933">
        <v>65</v>
      </c>
      <c r="J933">
        <v>88</v>
      </c>
      <c r="K933">
        <v>39</v>
      </c>
      <c r="L933">
        <v>72</v>
      </c>
      <c r="M933">
        <v>36</v>
      </c>
      <c r="N933">
        <v>81</v>
      </c>
      <c r="O933">
        <v>316</v>
      </c>
      <c r="P933">
        <v>63.2</v>
      </c>
      <c r="Q933" t="s">
        <v>26</v>
      </c>
      <c r="R933" t="s">
        <v>41</v>
      </c>
      <c r="S933">
        <v>1995</v>
      </c>
      <c r="T933" t="s">
        <v>48</v>
      </c>
      <c r="U933" t="str">
        <f t="shared" si="14"/>
        <v>Pass</v>
      </c>
    </row>
    <row r="934" spans="1:21">
      <c r="A934" t="s">
        <v>1859</v>
      </c>
      <c r="B934" t="s">
        <v>1417</v>
      </c>
      <c r="C934" t="s">
        <v>22</v>
      </c>
      <c r="D934">
        <v>9</v>
      </c>
      <c r="E934" t="s">
        <v>26</v>
      </c>
      <c r="F934">
        <v>15</v>
      </c>
      <c r="G934" t="s">
        <v>38</v>
      </c>
      <c r="H934" t="s">
        <v>1860</v>
      </c>
      <c r="I934">
        <v>76</v>
      </c>
      <c r="J934">
        <v>87</v>
      </c>
      <c r="K934">
        <v>68</v>
      </c>
      <c r="L934">
        <v>97</v>
      </c>
      <c r="M934">
        <v>79</v>
      </c>
      <c r="N934">
        <v>94</v>
      </c>
      <c r="O934">
        <v>425</v>
      </c>
      <c r="P934">
        <v>85</v>
      </c>
      <c r="Q934" t="s">
        <v>47</v>
      </c>
      <c r="R934" t="s">
        <v>41</v>
      </c>
      <c r="S934">
        <v>3787</v>
      </c>
      <c r="T934" t="s">
        <v>28</v>
      </c>
      <c r="U934" t="str">
        <f t="shared" si="14"/>
        <v>Pass</v>
      </c>
    </row>
    <row r="935" spans="1:21">
      <c r="A935" t="s">
        <v>1861</v>
      </c>
      <c r="B935" t="s">
        <v>408</v>
      </c>
      <c r="C935" t="s">
        <v>22</v>
      </c>
      <c r="D935">
        <v>5</v>
      </c>
      <c r="E935" t="s">
        <v>26</v>
      </c>
      <c r="F935">
        <v>10</v>
      </c>
      <c r="G935" t="s">
        <v>32</v>
      </c>
      <c r="H935" t="s">
        <v>1862</v>
      </c>
      <c r="I935">
        <v>71</v>
      </c>
      <c r="J935">
        <v>78</v>
      </c>
      <c r="K935">
        <v>46</v>
      </c>
      <c r="L935">
        <v>80</v>
      </c>
      <c r="M935">
        <v>95</v>
      </c>
      <c r="N935">
        <v>77</v>
      </c>
      <c r="O935">
        <v>376</v>
      </c>
      <c r="P935">
        <v>75.2</v>
      </c>
      <c r="Q935" t="s">
        <v>40</v>
      </c>
      <c r="R935" t="s">
        <v>27</v>
      </c>
      <c r="S935">
        <v>3424</v>
      </c>
      <c r="T935" t="s">
        <v>42</v>
      </c>
      <c r="U935" t="str">
        <f t="shared" si="14"/>
        <v>Pass</v>
      </c>
    </row>
    <row r="936" spans="1:21">
      <c r="A936" t="s">
        <v>1863</v>
      </c>
      <c r="B936" t="s">
        <v>819</v>
      </c>
      <c r="C936" t="s">
        <v>22</v>
      </c>
      <c r="D936">
        <v>5</v>
      </c>
      <c r="E936" t="s">
        <v>47</v>
      </c>
      <c r="F936">
        <v>9</v>
      </c>
      <c r="G936" t="s">
        <v>32</v>
      </c>
      <c r="H936" t="s">
        <v>780</v>
      </c>
      <c r="I936">
        <v>83</v>
      </c>
      <c r="J936">
        <v>67</v>
      </c>
      <c r="K936">
        <v>76</v>
      </c>
      <c r="L936">
        <v>42</v>
      </c>
      <c r="M936">
        <v>60</v>
      </c>
      <c r="N936">
        <v>89</v>
      </c>
      <c r="O936">
        <v>334</v>
      </c>
      <c r="P936">
        <v>66.8</v>
      </c>
      <c r="Q936" t="s">
        <v>26</v>
      </c>
      <c r="R936" t="s">
        <v>41</v>
      </c>
      <c r="S936">
        <v>4085</v>
      </c>
      <c r="T936" t="s">
        <v>66</v>
      </c>
      <c r="U936" t="str">
        <f t="shared" si="14"/>
        <v>Pass</v>
      </c>
    </row>
    <row r="937" spans="1:21">
      <c r="A937" t="s">
        <v>1864</v>
      </c>
      <c r="B937" t="s">
        <v>187</v>
      </c>
      <c r="C937" t="s">
        <v>22</v>
      </c>
      <c r="D937">
        <v>5</v>
      </c>
      <c r="E937" t="s">
        <v>23</v>
      </c>
      <c r="F937">
        <v>10</v>
      </c>
      <c r="G937" t="s">
        <v>32</v>
      </c>
      <c r="H937" t="s">
        <v>987</v>
      </c>
      <c r="I937">
        <v>93</v>
      </c>
      <c r="J937">
        <v>60</v>
      </c>
      <c r="K937">
        <v>96</v>
      </c>
      <c r="L937">
        <v>79</v>
      </c>
      <c r="M937">
        <v>40</v>
      </c>
      <c r="N937">
        <v>46</v>
      </c>
      <c r="O937">
        <v>321</v>
      </c>
      <c r="P937">
        <v>64.2</v>
      </c>
      <c r="Q937" t="s">
        <v>26</v>
      </c>
      <c r="R937" t="s">
        <v>41</v>
      </c>
      <c r="S937">
        <v>2274</v>
      </c>
      <c r="T937" t="s">
        <v>48</v>
      </c>
      <c r="U937" t="str">
        <f t="shared" si="14"/>
        <v>Pass</v>
      </c>
    </row>
    <row r="938" spans="1:21">
      <c r="A938" t="s">
        <v>1865</v>
      </c>
      <c r="B938" t="s">
        <v>160</v>
      </c>
      <c r="C938" t="s">
        <v>37</v>
      </c>
      <c r="D938">
        <v>5</v>
      </c>
      <c r="E938" t="s">
        <v>23</v>
      </c>
      <c r="F938">
        <v>11</v>
      </c>
      <c r="G938" t="s">
        <v>54</v>
      </c>
      <c r="H938" t="s">
        <v>1728</v>
      </c>
      <c r="I938">
        <v>100</v>
      </c>
      <c r="J938">
        <v>90</v>
      </c>
      <c r="K938">
        <v>64</v>
      </c>
      <c r="L938">
        <v>90</v>
      </c>
      <c r="M938">
        <v>92</v>
      </c>
      <c r="N938">
        <v>66</v>
      </c>
      <c r="O938">
        <v>402</v>
      </c>
      <c r="P938">
        <v>80.400000000000006</v>
      </c>
      <c r="Q938" t="s">
        <v>47</v>
      </c>
      <c r="R938" t="s">
        <v>41</v>
      </c>
      <c r="S938">
        <v>4801</v>
      </c>
      <c r="T938" t="s">
        <v>34</v>
      </c>
      <c r="U938" t="str">
        <f t="shared" si="14"/>
        <v>Pass</v>
      </c>
    </row>
    <row r="939" spans="1:21">
      <c r="A939" t="s">
        <v>1866</v>
      </c>
      <c r="B939" t="s">
        <v>78</v>
      </c>
      <c r="C939" t="s">
        <v>37</v>
      </c>
      <c r="D939">
        <v>4</v>
      </c>
      <c r="E939" t="s">
        <v>26</v>
      </c>
      <c r="F939">
        <v>8</v>
      </c>
      <c r="G939" t="s">
        <v>45</v>
      </c>
      <c r="H939" t="s">
        <v>1867</v>
      </c>
      <c r="I939">
        <v>70</v>
      </c>
      <c r="J939">
        <v>97</v>
      </c>
      <c r="K939">
        <v>42</v>
      </c>
      <c r="L939">
        <v>39</v>
      </c>
      <c r="M939">
        <v>62</v>
      </c>
      <c r="N939">
        <v>57</v>
      </c>
      <c r="O939">
        <v>297</v>
      </c>
      <c r="P939">
        <v>59.4</v>
      </c>
      <c r="Q939" t="s">
        <v>31</v>
      </c>
      <c r="R939" t="s">
        <v>27</v>
      </c>
      <c r="S939">
        <v>3558</v>
      </c>
      <c r="T939" t="s">
        <v>48</v>
      </c>
      <c r="U939" t="str">
        <f t="shared" si="14"/>
        <v>Pass</v>
      </c>
    </row>
    <row r="940" spans="1:21">
      <c r="A940" t="s">
        <v>1868</v>
      </c>
      <c r="B940" t="s">
        <v>242</v>
      </c>
      <c r="C940" t="s">
        <v>37</v>
      </c>
      <c r="D940">
        <v>11</v>
      </c>
      <c r="E940" t="s">
        <v>31</v>
      </c>
      <c r="F940">
        <v>16</v>
      </c>
      <c r="G940" t="s">
        <v>58</v>
      </c>
      <c r="H940" t="s">
        <v>272</v>
      </c>
      <c r="I940">
        <v>90</v>
      </c>
      <c r="J940">
        <v>36</v>
      </c>
      <c r="K940">
        <v>50</v>
      </c>
      <c r="L940">
        <v>38</v>
      </c>
      <c r="M940">
        <v>52</v>
      </c>
      <c r="N940">
        <v>45</v>
      </c>
      <c r="O940">
        <v>221</v>
      </c>
      <c r="P940">
        <v>44.2</v>
      </c>
      <c r="Q940" t="s">
        <v>23</v>
      </c>
      <c r="R940" t="s">
        <v>27</v>
      </c>
      <c r="S940">
        <v>3809</v>
      </c>
      <c r="T940" t="s">
        <v>28</v>
      </c>
      <c r="U940" t="str">
        <f t="shared" si="14"/>
        <v>Fail</v>
      </c>
    </row>
    <row r="941" spans="1:21">
      <c r="A941" t="s">
        <v>1869</v>
      </c>
      <c r="B941" t="s">
        <v>926</v>
      </c>
      <c r="C941" t="s">
        <v>37</v>
      </c>
      <c r="D941">
        <v>7</v>
      </c>
      <c r="E941" t="s">
        <v>31</v>
      </c>
      <c r="F941">
        <v>12</v>
      </c>
      <c r="G941" t="s">
        <v>32</v>
      </c>
      <c r="H941" t="s">
        <v>1870</v>
      </c>
      <c r="I941">
        <v>88</v>
      </c>
      <c r="J941">
        <v>81</v>
      </c>
      <c r="K941">
        <v>44</v>
      </c>
      <c r="L941">
        <v>46</v>
      </c>
      <c r="M941">
        <v>72</v>
      </c>
      <c r="N941">
        <v>83</v>
      </c>
      <c r="O941">
        <v>326</v>
      </c>
      <c r="P941">
        <v>65.2</v>
      </c>
      <c r="Q941" t="s">
        <v>26</v>
      </c>
      <c r="R941" t="s">
        <v>41</v>
      </c>
      <c r="S941">
        <v>3415</v>
      </c>
      <c r="T941" t="s">
        <v>28</v>
      </c>
      <c r="U941" t="str">
        <f t="shared" si="14"/>
        <v>Pass</v>
      </c>
    </row>
    <row r="942" spans="1:21">
      <c r="A942" t="s">
        <v>1871</v>
      </c>
      <c r="B942" t="s">
        <v>196</v>
      </c>
      <c r="C942" t="s">
        <v>22</v>
      </c>
      <c r="D942">
        <v>1</v>
      </c>
      <c r="E942" t="s">
        <v>47</v>
      </c>
      <c r="F942">
        <v>6</v>
      </c>
      <c r="G942" t="s">
        <v>38</v>
      </c>
      <c r="H942" t="s">
        <v>1872</v>
      </c>
      <c r="I942">
        <v>72</v>
      </c>
      <c r="J942">
        <v>81</v>
      </c>
      <c r="K942">
        <v>81</v>
      </c>
      <c r="L942">
        <v>87</v>
      </c>
      <c r="M942">
        <v>42</v>
      </c>
      <c r="N942">
        <v>45</v>
      </c>
      <c r="O942">
        <v>336</v>
      </c>
      <c r="P942">
        <v>67.2</v>
      </c>
      <c r="Q942" t="s">
        <v>26</v>
      </c>
      <c r="R942" t="s">
        <v>41</v>
      </c>
      <c r="S942">
        <v>3619</v>
      </c>
      <c r="T942" t="s">
        <v>70</v>
      </c>
      <c r="U942" t="str">
        <f t="shared" si="14"/>
        <v>Pass</v>
      </c>
    </row>
    <row r="943" spans="1:21">
      <c r="A943" t="s">
        <v>1873</v>
      </c>
      <c r="B943" t="s">
        <v>819</v>
      </c>
      <c r="C943" t="s">
        <v>37</v>
      </c>
      <c r="D943">
        <v>3</v>
      </c>
      <c r="E943" t="s">
        <v>26</v>
      </c>
      <c r="F943">
        <v>8</v>
      </c>
      <c r="G943" t="s">
        <v>32</v>
      </c>
      <c r="H943" t="s">
        <v>1874</v>
      </c>
      <c r="I943">
        <v>87</v>
      </c>
      <c r="J943">
        <v>67</v>
      </c>
      <c r="K943">
        <v>98</v>
      </c>
      <c r="L943">
        <v>74</v>
      </c>
      <c r="M943">
        <v>59</v>
      </c>
      <c r="N943">
        <v>63</v>
      </c>
      <c r="O943">
        <v>361</v>
      </c>
      <c r="P943">
        <v>72.2</v>
      </c>
      <c r="Q943" t="s">
        <v>40</v>
      </c>
      <c r="R943" t="s">
        <v>27</v>
      </c>
      <c r="S943">
        <v>3201</v>
      </c>
      <c r="T943" t="s">
        <v>70</v>
      </c>
      <c r="U943" t="str">
        <f t="shared" si="14"/>
        <v>Pass</v>
      </c>
    </row>
    <row r="944" spans="1:21">
      <c r="A944" t="s">
        <v>1875</v>
      </c>
      <c r="B944" t="s">
        <v>250</v>
      </c>
      <c r="C944" t="s">
        <v>37</v>
      </c>
      <c r="D944">
        <v>2</v>
      </c>
      <c r="E944" t="s">
        <v>26</v>
      </c>
      <c r="F944">
        <v>7</v>
      </c>
      <c r="G944" t="s">
        <v>64</v>
      </c>
      <c r="H944" t="s">
        <v>1876</v>
      </c>
      <c r="I944">
        <v>100</v>
      </c>
      <c r="J944">
        <v>41</v>
      </c>
      <c r="K944">
        <v>93</v>
      </c>
      <c r="L944">
        <v>82</v>
      </c>
      <c r="M944">
        <v>91</v>
      </c>
      <c r="N944">
        <v>57</v>
      </c>
      <c r="O944">
        <v>364</v>
      </c>
      <c r="P944">
        <v>72.8</v>
      </c>
      <c r="Q944" t="s">
        <v>40</v>
      </c>
      <c r="R944" t="s">
        <v>27</v>
      </c>
      <c r="S944">
        <v>4059</v>
      </c>
      <c r="T944" t="s">
        <v>48</v>
      </c>
      <c r="U944" t="str">
        <f t="shared" si="14"/>
        <v>Pass</v>
      </c>
    </row>
    <row r="945" spans="1:21">
      <c r="A945" t="s">
        <v>1877</v>
      </c>
      <c r="B945" t="s">
        <v>1281</v>
      </c>
      <c r="C945" t="s">
        <v>22</v>
      </c>
      <c r="D945">
        <v>5</v>
      </c>
      <c r="E945" t="s">
        <v>31</v>
      </c>
      <c r="F945">
        <v>11</v>
      </c>
      <c r="G945" t="s">
        <v>24</v>
      </c>
      <c r="H945" t="s">
        <v>1878</v>
      </c>
      <c r="I945">
        <v>72</v>
      </c>
      <c r="J945">
        <v>77</v>
      </c>
      <c r="K945">
        <v>79</v>
      </c>
      <c r="L945">
        <v>64</v>
      </c>
      <c r="M945">
        <v>86</v>
      </c>
      <c r="N945">
        <v>71</v>
      </c>
      <c r="O945">
        <v>377</v>
      </c>
      <c r="P945">
        <v>75.400000000000006</v>
      </c>
      <c r="Q945" t="s">
        <v>40</v>
      </c>
      <c r="R945" t="s">
        <v>27</v>
      </c>
      <c r="S945">
        <v>2884</v>
      </c>
      <c r="T945" t="s">
        <v>34</v>
      </c>
      <c r="U945" t="str">
        <f t="shared" si="14"/>
        <v>Pass</v>
      </c>
    </row>
    <row r="946" spans="1:21">
      <c r="A946" t="s">
        <v>1879</v>
      </c>
      <c r="B946" t="s">
        <v>277</v>
      </c>
      <c r="C946" t="s">
        <v>22</v>
      </c>
      <c r="D946">
        <v>8</v>
      </c>
      <c r="E946" t="s">
        <v>26</v>
      </c>
      <c r="F946">
        <v>12</v>
      </c>
      <c r="G946" t="s">
        <v>38</v>
      </c>
      <c r="H946" t="s">
        <v>1755</v>
      </c>
      <c r="I946">
        <v>87</v>
      </c>
      <c r="J946">
        <v>87</v>
      </c>
      <c r="K946">
        <v>51</v>
      </c>
      <c r="L946">
        <v>96</v>
      </c>
      <c r="M946">
        <v>62</v>
      </c>
      <c r="N946">
        <v>78</v>
      </c>
      <c r="O946">
        <v>374</v>
      </c>
      <c r="P946">
        <v>74.8</v>
      </c>
      <c r="Q946" t="s">
        <v>40</v>
      </c>
      <c r="R946" t="s">
        <v>27</v>
      </c>
      <c r="S946">
        <v>3621</v>
      </c>
      <c r="T946" t="s">
        <v>28</v>
      </c>
      <c r="U946" t="str">
        <f t="shared" si="14"/>
        <v>Pass</v>
      </c>
    </row>
    <row r="947" spans="1:21">
      <c r="A947" t="s">
        <v>1880</v>
      </c>
      <c r="B947" t="s">
        <v>708</v>
      </c>
      <c r="C947" t="s">
        <v>22</v>
      </c>
      <c r="D947">
        <v>7</v>
      </c>
      <c r="E947" t="s">
        <v>31</v>
      </c>
      <c r="F947">
        <v>11</v>
      </c>
      <c r="G947" t="s">
        <v>45</v>
      </c>
      <c r="H947" t="s">
        <v>433</v>
      </c>
      <c r="I947">
        <v>73</v>
      </c>
      <c r="J947">
        <v>74</v>
      </c>
      <c r="K947">
        <v>82</v>
      </c>
      <c r="L947">
        <v>97</v>
      </c>
      <c r="M947">
        <v>80</v>
      </c>
      <c r="N947">
        <v>52</v>
      </c>
      <c r="O947">
        <v>385</v>
      </c>
      <c r="P947">
        <v>77</v>
      </c>
      <c r="Q947" t="s">
        <v>40</v>
      </c>
      <c r="R947" t="s">
        <v>41</v>
      </c>
      <c r="S947">
        <v>1531</v>
      </c>
      <c r="T947" t="s">
        <v>48</v>
      </c>
      <c r="U947" t="str">
        <f t="shared" si="14"/>
        <v>Pass</v>
      </c>
    </row>
    <row r="948" spans="1:21">
      <c r="A948" t="s">
        <v>1881</v>
      </c>
      <c r="B948" t="s">
        <v>236</v>
      </c>
      <c r="C948" t="s">
        <v>22</v>
      </c>
      <c r="D948">
        <v>12</v>
      </c>
      <c r="E948" t="s">
        <v>23</v>
      </c>
      <c r="F948">
        <v>17</v>
      </c>
      <c r="G948" t="s">
        <v>38</v>
      </c>
      <c r="H948" t="s">
        <v>1882</v>
      </c>
      <c r="I948">
        <v>68</v>
      </c>
      <c r="J948">
        <v>62</v>
      </c>
      <c r="K948">
        <v>58</v>
      </c>
      <c r="L948">
        <v>58</v>
      </c>
      <c r="M948">
        <v>95</v>
      </c>
      <c r="N948">
        <v>89</v>
      </c>
      <c r="O948">
        <v>362</v>
      </c>
      <c r="P948">
        <v>72.400000000000006</v>
      </c>
      <c r="Q948" t="s">
        <v>40</v>
      </c>
      <c r="R948" t="s">
        <v>27</v>
      </c>
      <c r="S948">
        <v>3235</v>
      </c>
      <c r="T948" t="s">
        <v>34</v>
      </c>
      <c r="U948" t="str">
        <f t="shared" si="14"/>
        <v>Pass</v>
      </c>
    </row>
    <row r="949" spans="1:21">
      <c r="A949" t="s">
        <v>1883</v>
      </c>
      <c r="B949" t="s">
        <v>808</v>
      </c>
      <c r="C949" t="s">
        <v>37</v>
      </c>
      <c r="D949">
        <v>9</v>
      </c>
      <c r="E949" t="s">
        <v>23</v>
      </c>
      <c r="F949">
        <v>13</v>
      </c>
      <c r="G949" t="s">
        <v>38</v>
      </c>
      <c r="H949" t="s">
        <v>1884</v>
      </c>
      <c r="I949">
        <v>81</v>
      </c>
      <c r="J949">
        <v>85</v>
      </c>
      <c r="K949">
        <v>89</v>
      </c>
      <c r="L949">
        <v>47</v>
      </c>
      <c r="M949">
        <v>95</v>
      </c>
      <c r="N949">
        <v>85</v>
      </c>
      <c r="O949">
        <v>401</v>
      </c>
      <c r="P949">
        <v>80.2</v>
      </c>
      <c r="Q949" t="s">
        <v>47</v>
      </c>
      <c r="R949" t="s">
        <v>27</v>
      </c>
      <c r="S949">
        <v>2964</v>
      </c>
      <c r="T949" t="s">
        <v>70</v>
      </c>
      <c r="U949" t="str">
        <f t="shared" si="14"/>
        <v>Pass</v>
      </c>
    </row>
    <row r="950" spans="1:21">
      <c r="A950" t="s">
        <v>1885</v>
      </c>
      <c r="B950" t="s">
        <v>419</v>
      </c>
      <c r="C950" t="s">
        <v>22</v>
      </c>
      <c r="D950">
        <v>11</v>
      </c>
      <c r="E950" t="s">
        <v>31</v>
      </c>
      <c r="F950">
        <v>16</v>
      </c>
      <c r="G950" t="s">
        <v>45</v>
      </c>
      <c r="H950" t="s">
        <v>127</v>
      </c>
      <c r="I950">
        <v>71</v>
      </c>
      <c r="J950">
        <v>54</v>
      </c>
      <c r="K950">
        <v>94</v>
      </c>
      <c r="L950">
        <v>45</v>
      </c>
      <c r="M950">
        <v>62</v>
      </c>
      <c r="N950">
        <v>93</v>
      </c>
      <c r="O950">
        <v>348</v>
      </c>
      <c r="P950">
        <v>69.599999999999994</v>
      </c>
      <c r="Q950" t="s">
        <v>26</v>
      </c>
      <c r="R950" t="s">
        <v>27</v>
      </c>
      <c r="S950">
        <v>3867</v>
      </c>
      <c r="T950" t="s">
        <v>28</v>
      </c>
      <c r="U950" t="str">
        <f t="shared" si="14"/>
        <v>Pass</v>
      </c>
    </row>
    <row r="951" spans="1:21">
      <c r="A951" t="s">
        <v>1886</v>
      </c>
      <c r="B951" t="s">
        <v>824</v>
      </c>
      <c r="C951" t="s">
        <v>22</v>
      </c>
      <c r="D951">
        <v>1</v>
      </c>
      <c r="E951" t="s">
        <v>31</v>
      </c>
      <c r="F951">
        <v>6</v>
      </c>
      <c r="G951" t="s">
        <v>38</v>
      </c>
      <c r="H951" t="s">
        <v>670</v>
      </c>
      <c r="I951">
        <v>75</v>
      </c>
      <c r="J951">
        <v>57</v>
      </c>
      <c r="K951">
        <v>48</v>
      </c>
      <c r="L951">
        <v>97</v>
      </c>
      <c r="M951">
        <v>97</v>
      </c>
      <c r="N951">
        <v>53</v>
      </c>
      <c r="O951">
        <v>352</v>
      </c>
      <c r="P951">
        <v>70.400000000000006</v>
      </c>
      <c r="Q951" t="s">
        <v>40</v>
      </c>
      <c r="R951" t="s">
        <v>41</v>
      </c>
      <c r="S951">
        <v>2480</v>
      </c>
      <c r="T951" t="s">
        <v>34</v>
      </c>
      <c r="U951" t="str">
        <f t="shared" si="14"/>
        <v>Pass</v>
      </c>
    </row>
    <row r="952" spans="1:21">
      <c r="A952" t="s">
        <v>1887</v>
      </c>
      <c r="B952" t="s">
        <v>835</v>
      </c>
      <c r="C952" t="s">
        <v>22</v>
      </c>
      <c r="D952">
        <v>10</v>
      </c>
      <c r="E952" t="s">
        <v>26</v>
      </c>
      <c r="F952">
        <v>15</v>
      </c>
      <c r="G952" t="s">
        <v>32</v>
      </c>
      <c r="H952" t="s">
        <v>1888</v>
      </c>
      <c r="I952">
        <v>85</v>
      </c>
      <c r="J952">
        <v>56</v>
      </c>
      <c r="K952">
        <v>60</v>
      </c>
      <c r="L952">
        <v>51</v>
      </c>
      <c r="M952">
        <v>73</v>
      </c>
      <c r="N952">
        <v>80</v>
      </c>
      <c r="O952">
        <v>320</v>
      </c>
      <c r="P952">
        <v>64</v>
      </c>
      <c r="Q952" t="s">
        <v>26</v>
      </c>
      <c r="R952" t="s">
        <v>41</v>
      </c>
      <c r="S952">
        <v>4974</v>
      </c>
      <c r="T952" t="s">
        <v>48</v>
      </c>
      <c r="U952" t="str">
        <f t="shared" si="14"/>
        <v>Pass</v>
      </c>
    </row>
    <row r="953" spans="1:21">
      <c r="A953" t="s">
        <v>1889</v>
      </c>
      <c r="B953" t="s">
        <v>175</v>
      </c>
      <c r="C953" t="s">
        <v>22</v>
      </c>
      <c r="D953">
        <v>11</v>
      </c>
      <c r="E953" t="s">
        <v>23</v>
      </c>
      <c r="F953">
        <v>16</v>
      </c>
      <c r="G953" t="s">
        <v>58</v>
      </c>
      <c r="H953" t="s">
        <v>830</v>
      </c>
      <c r="I953">
        <v>88</v>
      </c>
      <c r="J953">
        <v>76</v>
      </c>
      <c r="K953">
        <v>52</v>
      </c>
      <c r="L953">
        <v>86</v>
      </c>
      <c r="M953">
        <v>45</v>
      </c>
      <c r="N953">
        <v>61</v>
      </c>
      <c r="O953">
        <v>320</v>
      </c>
      <c r="P953">
        <v>64</v>
      </c>
      <c r="Q953" t="s">
        <v>26</v>
      </c>
      <c r="R953" t="s">
        <v>27</v>
      </c>
      <c r="S953">
        <v>2159</v>
      </c>
      <c r="T953" t="s">
        <v>70</v>
      </c>
      <c r="U953" t="str">
        <f t="shared" si="14"/>
        <v>Pass</v>
      </c>
    </row>
    <row r="954" spans="1:21">
      <c r="A954" t="s">
        <v>1890</v>
      </c>
      <c r="B954" t="s">
        <v>378</v>
      </c>
      <c r="C954" t="s">
        <v>37</v>
      </c>
      <c r="D954">
        <v>7</v>
      </c>
      <c r="E954" t="s">
        <v>47</v>
      </c>
      <c r="F954">
        <v>13</v>
      </c>
      <c r="G954" t="s">
        <v>32</v>
      </c>
      <c r="H954" t="s">
        <v>1891</v>
      </c>
      <c r="I954">
        <v>94</v>
      </c>
      <c r="J954">
        <v>69</v>
      </c>
      <c r="K954">
        <v>59</v>
      </c>
      <c r="L954">
        <v>70</v>
      </c>
      <c r="M954">
        <v>81</v>
      </c>
      <c r="N954">
        <v>85</v>
      </c>
      <c r="O954">
        <v>364</v>
      </c>
      <c r="P954">
        <v>72.8</v>
      </c>
      <c r="Q954" t="s">
        <v>40</v>
      </c>
      <c r="R954" t="s">
        <v>27</v>
      </c>
      <c r="S954">
        <v>3722</v>
      </c>
      <c r="T954" t="s">
        <v>34</v>
      </c>
      <c r="U954" t="str">
        <f t="shared" si="14"/>
        <v>Pass</v>
      </c>
    </row>
    <row r="955" spans="1:21">
      <c r="A955" t="s">
        <v>1892</v>
      </c>
      <c r="B955" t="s">
        <v>295</v>
      </c>
      <c r="C955" t="s">
        <v>22</v>
      </c>
      <c r="D955">
        <v>10</v>
      </c>
      <c r="E955" t="s">
        <v>23</v>
      </c>
      <c r="F955">
        <v>16</v>
      </c>
      <c r="G955" t="s">
        <v>54</v>
      </c>
      <c r="H955" t="s">
        <v>1893</v>
      </c>
      <c r="I955">
        <v>86</v>
      </c>
      <c r="J955">
        <v>38</v>
      </c>
      <c r="K955">
        <v>82</v>
      </c>
      <c r="L955">
        <v>89</v>
      </c>
      <c r="M955">
        <v>61</v>
      </c>
      <c r="N955">
        <v>78</v>
      </c>
      <c r="O955">
        <v>348</v>
      </c>
      <c r="P955">
        <v>69.599999999999994</v>
      </c>
      <c r="Q955" t="s">
        <v>26</v>
      </c>
      <c r="R955" t="s">
        <v>41</v>
      </c>
      <c r="S955">
        <v>2351</v>
      </c>
      <c r="T955" t="s">
        <v>28</v>
      </c>
      <c r="U955" t="str">
        <f t="shared" si="14"/>
        <v>Pass</v>
      </c>
    </row>
    <row r="956" spans="1:21">
      <c r="A956" t="s">
        <v>1894</v>
      </c>
      <c r="B956" t="s">
        <v>211</v>
      </c>
      <c r="C956" t="s">
        <v>22</v>
      </c>
      <c r="D956">
        <v>11</v>
      </c>
      <c r="E956" t="s">
        <v>23</v>
      </c>
      <c r="F956">
        <v>15</v>
      </c>
      <c r="G956" t="s">
        <v>54</v>
      </c>
      <c r="H956" t="s">
        <v>1895</v>
      </c>
      <c r="I956">
        <v>79</v>
      </c>
      <c r="J956">
        <v>73</v>
      </c>
      <c r="K956">
        <v>83</v>
      </c>
      <c r="L956">
        <v>82</v>
      </c>
      <c r="M956">
        <v>37</v>
      </c>
      <c r="N956">
        <v>61</v>
      </c>
      <c r="O956">
        <v>336</v>
      </c>
      <c r="P956">
        <v>67.2</v>
      </c>
      <c r="Q956" t="s">
        <v>26</v>
      </c>
      <c r="R956" t="s">
        <v>27</v>
      </c>
      <c r="S956">
        <v>2418</v>
      </c>
      <c r="T956" t="s">
        <v>34</v>
      </c>
      <c r="U956" t="str">
        <f t="shared" si="14"/>
        <v>Pass</v>
      </c>
    </row>
    <row r="957" spans="1:21">
      <c r="A957" t="s">
        <v>1896</v>
      </c>
      <c r="B957" t="s">
        <v>614</v>
      </c>
      <c r="C957" t="s">
        <v>22</v>
      </c>
      <c r="D957">
        <v>5</v>
      </c>
      <c r="E957" t="s">
        <v>47</v>
      </c>
      <c r="F957">
        <v>11</v>
      </c>
      <c r="G957" t="s">
        <v>64</v>
      </c>
      <c r="H957" t="s">
        <v>1897</v>
      </c>
      <c r="I957">
        <v>94</v>
      </c>
      <c r="J957">
        <v>41</v>
      </c>
      <c r="K957">
        <v>44</v>
      </c>
      <c r="L957">
        <v>35</v>
      </c>
      <c r="M957">
        <v>64</v>
      </c>
      <c r="N957">
        <v>86</v>
      </c>
      <c r="O957">
        <v>270</v>
      </c>
      <c r="P957">
        <v>54</v>
      </c>
      <c r="Q957" t="s">
        <v>31</v>
      </c>
      <c r="R957" t="s">
        <v>27</v>
      </c>
      <c r="S957">
        <v>2515</v>
      </c>
      <c r="T957" t="s">
        <v>70</v>
      </c>
      <c r="U957" t="str">
        <f t="shared" si="14"/>
        <v>Fail</v>
      </c>
    </row>
    <row r="958" spans="1:21">
      <c r="A958" t="s">
        <v>1898</v>
      </c>
      <c r="B958" t="s">
        <v>832</v>
      </c>
      <c r="C958" t="s">
        <v>37</v>
      </c>
      <c r="D958">
        <v>1</v>
      </c>
      <c r="E958" t="s">
        <v>31</v>
      </c>
      <c r="F958">
        <v>6</v>
      </c>
      <c r="G958" t="s">
        <v>24</v>
      </c>
      <c r="H958" t="s">
        <v>1899</v>
      </c>
      <c r="I958">
        <v>70</v>
      </c>
      <c r="J958">
        <v>82</v>
      </c>
      <c r="K958">
        <v>88</v>
      </c>
      <c r="L958">
        <v>39</v>
      </c>
      <c r="M958">
        <v>85</v>
      </c>
      <c r="N958">
        <v>54</v>
      </c>
      <c r="O958">
        <v>348</v>
      </c>
      <c r="P958">
        <v>69.599999999999994</v>
      </c>
      <c r="Q958" t="s">
        <v>26</v>
      </c>
      <c r="R958" t="s">
        <v>27</v>
      </c>
      <c r="S958">
        <v>4509</v>
      </c>
      <c r="T958" t="s">
        <v>34</v>
      </c>
      <c r="U958" t="str">
        <f t="shared" si="14"/>
        <v>Pass</v>
      </c>
    </row>
    <row r="959" spans="1:21">
      <c r="A959" t="s">
        <v>1900</v>
      </c>
      <c r="B959" t="s">
        <v>140</v>
      </c>
      <c r="C959" t="s">
        <v>37</v>
      </c>
      <c r="D959">
        <v>7</v>
      </c>
      <c r="E959" t="s">
        <v>47</v>
      </c>
      <c r="F959">
        <v>12</v>
      </c>
      <c r="G959" t="s">
        <v>64</v>
      </c>
      <c r="H959" t="s">
        <v>1901</v>
      </c>
      <c r="I959">
        <v>98</v>
      </c>
      <c r="J959">
        <v>79</v>
      </c>
      <c r="K959">
        <v>65</v>
      </c>
      <c r="L959">
        <v>85</v>
      </c>
      <c r="M959">
        <v>97</v>
      </c>
      <c r="N959">
        <v>100</v>
      </c>
      <c r="O959">
        <v>426</v>
      </c>
      <c r="P959">
        <v>85.2</v>
      </c>
      <c r="Q959" t="s">
        <v>47</v>
      </c>
      <c r="R959" t="s">
        <v>41</v>
      </c>
      <c r="S959">
        <v>2111</v>
      </c>
      <c r="T959" t="s">
        <v>34</v>
      </c>
      <c r="U959" t="str">
        <f t="shared" si="14"/>
        <v>Pass</v>
      </c>
    </row>
    <row r="960" spans="1:21">
      <c r="A960" t="s">
        <v>1902</v>
      </c>
      <c r="B960" t="s">
        <v>231</v>
      </c>
      <c r="C960" t="s">
        <v>22</v>
      </c>
      <c r="D960">
        <v>8</v>
      </c>
      <c r="E960" t="s">
        <v>47</v>
      </c>
      <c r="F960">
        <v>14</v>
      </c>
      <c r="G960" t="s">
        <v>24</v>
      </c>
      <c r="H960" t="s">
        <v>1903</v>
      </c>
      <c r="I960">
        <v>96</v>
      </c>
      <c r="J960">
        <v>84</v>
      </c>
      <c r="K960">
        <v>66</v>
      </c>
      <c r="L960">
        <v>87</v>
      </c>
      <c r="M960">
        <v>94</v>
      </c>
      <c r="N960">
        <v>63</v>
      </c>
      <c r="O960">
        <v>394</v>
      </c>
      <c r="P960">
        <v>78.8</v>
      </c>
      <c r="Q960" t="s">
        <v>40</v>
      </c>
      <c r="R960" t="s">
        <v>41</v>
      </c>
      <c r="S960">
        <v>3202</v>
      </c>
      <c r="T960" t="s">
        <v>48</v>
      </c>
      <c r="U960" t="str">
        <f t="shared" si="14"/>
        <v>Pass</v>
      </c>
    </row>
    <row r="961" spans="1:21">
      <c r="A961" t="s">
        <v>1904</v>
      </c>
      <c r="B961" t="s">
        <v>978</v>
      </c>
      <c r="C961" t="s">
        <v>22</v>
      </c>
      <c r="D961">
        <v>10</v>
      </c>
      <c r="E961" t="s">
        <v>26</v>
      </c>
      <c r="F961">
        <v>14</v>
      </c>
      <c r="G961" t="s">
        <v>32</v>
      </c>
      <c r="H961" t="s">
        <v>530</v>
      </c>
      <c r="I961">
        <v>90</v>
      </c>
      <c r="J961">
        <v>50</v>
      </c>
      <c r="K961">
        <v>84</v>
      </c>
      <c r="L961">
        <v>49</v>
      </c>
      <c r="M961">
        <v>44</v>
      </c>
      <c r="N961">
        <v>62</v>
      </c>
      <c r="O961">
        <v>289</v>
      </c>
      <c r="P961">
        <v>57.8</v>
      </c>
      <c r="Q961" t="s">
        <v>31</v>
      </c>
      <c r="R961" t="s">
        <v>27</v>
      </c>
      <c r="S961">
        <v>4990</v>
      </c>
      <c r="T961" t="s">
        <v>34</v>
      </c>
      <c r="U961" t="str">
        <f t="shared" si="14"/>
        <v>Pass</v>
      </c>
    </row>
    <row r="962" spans="1:21">
      <c r="A962" t="s">
        <v>1905</v>
      </c>
      <c r="B962" t="s">
        <v>525</v>
      </c>
      <c r="C962" t="s">
        <v>22</v>
      </c>
      <c r="D962">
        <v>9</v>
      </c>
      <c r="E962" t="s">
        <v>47</v>
      </c>
      <c r="F962">
        <v>13</v>
      </c>
      <c r="G962" t="s">
        <v>24</v>
      </c>
      <c r="H962" t="s">
        <v>1906</v>
      </c>
      <c r="I962">
        <v>83</v>
      </c>
      <c r="J962">
        <v>63</v>
      </c>
      <c r="K962">
        <v>60</v>
      </c>
      <c r="L962">
        <v>69</v>
      </c>
      <c r="M962">
        <v>44</v>
      </c>
      <c r="N962">
        <v>37</v>
      </c>
      <c r="O962">
        <v>273</v>
      </c>
      <c r="P962">
        <v>54.6</v>
      </c>
      <c r="Q962" t="s">
        <v>31</v>
      </c>
      <c r="R962" t="s">
        <v>27</v>
      </c>
      <c r="S962">
        <v>2307</v>
      </c>
      <c r="T962" t="s">
        <v>28</v>
      </c>
      <c r="U962" t="str">
        <f t="shared" si="14"/>
        <v>Fail</v>
      </c>
    </row>
    <row r="963" spans="1:21">
      <c r="A963" t="s">
        <v>1907</v>
      </c>
      <c r="B963" t="s">
        <v>332</v>
      </c>
      <c r="C963" t="s">
        <v>37</v>
      </c>
      <c r="D963">
        <v>8</v>
      </c>
      <c r="E963" t="s">
        <v>31</v>
      </c>
      <c r="F963">
        <v>13</v>
      </c>
      <c r="G963" t="s">
        <v>54</v>
      </c>
      <c r="H963" t="s">
        <v>1908</v>
      </c>
      <c r="I963">
        <v>88</v>
      </c>
      <c r="J963">
        <v>41</v>
      </c>
      <c r="K963">
        <v>57</v>
      </c>
      <c r="L963">
        <v>61</v>
      </c>
      <c r="M963">
        <v>61</v>
      </c>
      <c r="N963">
        <v>39</v>
      </c>
      <c r="O963">
        <v>259</v>
      </c>
      <c r="P963">
        <v>51.8</v>
      </c>
      <c r="Q963" t="s">
        <v>31</v>
      </c>
      <c r="R963" t="s">
        <v>41</v>
      </c>
      <c r="S963">
        <v>1781</v>
      </c>
      <c r="T963" t="s">
        <v>70</v>
      </c>
      <c r="U963" t="str">
        <f t="shared" ref="U963:U1026" si="15">IF(P963&gt;55,"Pass","Fail")</f>
        <v>Fail</v>
      </c>
    </row>
    <row r="964" spans="1:21">
      <c r="A964" t="s">
        <v>1909</v>
      </c>
      <c r="B964" t="s">
        <v>78</v>
      </c>
      <c r="C964" t="s">
        <v>22</v>
      </c>
      <c r="D964">
        <v>3</v>
      </c>
      <c r="E964" t="s">
        <v>26</v>
      </c>
      <c r="F964">
        <v>9</v>
      </c>
      <c r="G964" t="s">
        <v>24</v>
      </c>
      <c r="H964" t="s">
        <v>1910</v>
      </c>
      <c r="I964">
        <v>75</v>
      </c>
      <c r="J964">
        <v>45</v>
      </c>
      <c r="K964">
        <v>55</v>
      </c>
      <c r="L964">
        <v>38</v>
      </c>
      <c r="M964">
        <v>90</v>
      </c>
      <c r="N964">
        <v>69</v>
      </c>
      <c r="O964">
        <v>297</v>
      </c>
      <c r="P964">
        <v>59.4</v>
      </c>
      <c r="Q964" t="s">
        <v>31</v>
      </c>
      <c r="R964" t="s">
        <v>41</v>
      </c>
      <c r="S964">
        <v>4014</v>
      </c>
      <c r="T964" t="s">
        <v>66</v>
      </c>
      <c r="U964" t="str">
        <f t="shared" si="15"/>
        <v>Pass</v>
      </c>
    </row>
    <row r="965" spans="1:21">
      <c r="A965" t="s">
        <v>1911</v>
      </c>
      <c r="B965" t="s">
        <v>87</v>
      </c>
      <c r="C965" t="s">
        <v>22</v>
      </c>
      <c r="D965">
        <v>10</v>
      </c>
      <c r="E965" t="s">
        <v>26</v>
      </c>
      <c r="F965">
        <v>14</v>
      </c>
      <c r="G965" t="s">
        <v>45</v>
      </c>
      <c r="H965" t="s">
        <v>1912</v>
      </c>
      <c r="I965">
        <v>78</v>
      </c>
      <c r="J965">
        <v>60</v>
      </c>
      <c r="K965">
        <v>88</v>
      </c>
      <c r="L965">
        <v>45</v>
      </c>
      <c r="M965">
        <v>76</v>
      </c>
      <c r="N965">
        <v>95</v>
      </c>
      <c r="O965">
        <v>364</v>
      </c>
      <c r="P965">
        <v>72.8</v>
      </c>
      <c r="Q965" t="s">
        <v>40</v>
      </c>
      <c r="R965" t="s">
        <v>41</v>
      </c>
      <c r="S965">
        <v>2971</v>
      </c>
      <c r="T965" t="s">
        <v>28</v>
      </c>
      <c r="U965" t="str">
        <f t="shared" si="15"/>
        <v>Pass</v>
      </c>
    </row>
    <row r="966" spans="1:21">
      <c r="A966" t="s">
        <v>1913</v>
      </c>
      <c r="B966" t="s">
        <v>190</v>
      </c>
      <c r="C966" t="s">
        <v>37</v>
      </c>
      <c r="D966">
        <v>2</v>
      </c>
      <c r="E966" t="s">
        <v>47</v>
      </c>
      <c r="F966">
        <v>6</v>
      </c>
      <c r="G966" t="s">
        <v>58</v>
      </c>
      <c r="H966" t="s">
        <v>1870</v>
      </c>
      <c r="I966">
        <v>77</v>
      </c>
      <c r="J966">
        <v>84</v>
      </c>
      <c r="K966">
        <v>38</v>
      </c>
      <c r="L966">
        <v>63</v>
      </c>
      <c r="M966">
        <v>51</v>
      </c>
      <c r="N966">
        <v>38</v>
      </c>
      <c r="O966">
        <v>274</v>
      </c>
      <c r="P966">
        <v>54.8</v>
      </c>
      <c r="Q966" t="s">
        <v>31</v>
      </c>
      <c r="R966" t="s">
        <v>27</v>
      </c>
      <c r="S966">
        <v>3897</v>
      </c>
      <c r="T966" t="s">
        <v>28</v>
      </c>
      <c r="U966" t="str">
        <f t="shared" si="15"/>
        <v>Fail</v>
      </c>
    </row>
    <row r="967" spans="1:21">
      <c r="A967" t="s">
        <v>1914</v>
      </c>
      <c r="B967" t="s">
        <v>1644</v>
      </c>
      <c r="C967" t="s">
        <v>22</v>
      </c>
      <c r="D967">
        <v>10</v>
      </c>
      <c r="E967" t="s">
        <v>26</v>
      </c>
      <c r="F967">
        <v>16</v>
      </c>
      <c r="G967" t="s">
        <v>64</v>
      </c>
      <c r="H967" t="s">
        <v>810</v>
      </c>
      <c r="I967">
        <v>66</v>
      </c>
      <c r="J967">
        <v>97</v>
      </c>
      <c r="K967">
        <v>89</v>
      </c>
      <c r="L967">
        <v>86</v>
      </c>
      <c r="M967">
        <v>50</v>
      </c>
      <c r="N967">
        <v>72</v>
      </c>
      <c r="O967">
        <v>394</v>
      </c>
      <c r="P967">
        <v>78.8</v>
      </c>
      <c r="Q967" t="s">
        <v>40</v>
      </c>
      <c r="R967" t="s">
        <v>27</v>
      </c>
      <c r="S967">
        <v>2648</v>
      </c>
      <c r="T967" t="s">
        <v>34</v>
      </c>
      <c r="U967" t="str">
        <f t="shared" si="15"/>
        <v>Pass</v>
      </c>
    </row>
    <row r="968" spans="1:21">
      <c r="A968" t="s">
        <v>1915</v>
      </c>
      <c r="B968" t="s">
        <v>926</v>
      </c>
      <c r="C968" t="s">
        <v>37</v>
      </c>
      <c r="D968">
        <v>4</v>
      </c>
      <c r="E968" t="s">
        <v>31</v>
      </c>
      <c r="F968">
        <v>8</v>
      </c>
      <c r="G968" t="s">
        <v>32</v>
      </c>
      <c r="H968" t="s">
        <v>1916</v>
      </c>
      <c r="I968">
        <v>66</v>
      </c>
      <c r="J968">
        <v>62</v>
      </c>
      <c r="K968">
        <v>49</v>
      </c>
      <c r="L968">
        <v>84</v>
      </c>
      <c r="M968">
        <v>94</v>
      </c>
      <c r="N968">
        <v>92</v>
      </c>
      <c r="O968">
        <v>381</v>
      </c>
      <c r="P968">
        <v>76.2</v>
      </c>
      <c r="Q968" t="s">
        <v>40</v>
      </c>
      <c r="R968" t="s">
        <v>41</v>
      </c>
      <c r="S968">
        <v>2134</v>
      </c>
      <c r="T968" t="s">
        <v>66</v>
      </c>
      <c r="U968" t="str">
        <f t="shared" si="15"/>
        <v>Pass</v>
      </c>
    </row>
    <row r="969" spans="1:21">
      <c r="A969" t="s">
        <v>1917</v>
      </c>
      <c r="B969" t="s">
        <v>289</v>
      </c>
      <c r="C969" t="s">
        <v>22</v>
      </c>
      <c r="D969">
        <v>9</v>
      </c>
      <c r="E969" t="s">
        <v>23</v>
      </c>
      <c r="F969">
        <v>13</v>
      </c>
      <c r="G969" t="s">
        <v>38</v>
      </c>
      <c r="H969" t="s">
        <v>79</v>
      </c>
      <c r="I969">
        <v>78</v>
      </c>
      <c r="J969">
        <v>61</v>
      </c>
      <c r="K969">
        <v>80</v>
      </c>
      <c r="L969">
        <v>100</v>
      </c>
      <c r="M969">
        <v>90</v>
      </c>
      <c r="N969">
        <v>88</v>
      </c>
      <c r="O969">
        <v>419</v>
      </c>
      <c r="P969">
        <v>83.8</v>
      </c>
      <c r="Q969" t="s">
        <v>47</v>
      </c>
      <c r="R969" t="s">
        <v>27</v>
      </c>
      <c r="S969">
        <v>2460</v>
      </c>
      <c r="T969" t="s">
        <v>48</v>
      </c>
      <c r="U969" t="str">
        <f t="shared" si="15"/>
        <v>Pass</v>
      </c>
    </row>
    <row r="970" spans="1:21">
      <c r="A970" t="s">
        <v>1918</v>
      </c>
      <c r="B970" t="s">
        <v>165</v>
      </c>
      <c r="C970" t="s">
        <v>22</v>
      </c>
      <c r="D970">
        <v>10</v>
      </c>
      <c r="E970" t="s">
        <v>23</v>
      </c>
      <c r="F970">
        <v>16</v>
      </c>
      <c r="G970" t="s">
        <v>45</v>
      </c>
      <c r="H970" t="s">
        <v>822</v>
      </c>
      <c r="I970">
        <v>78</v>
      </c>
      <c r="J970">
        <v>88</v>
      </c>
      <c r="K970">
        <v>40</v>
      </c>
      <c r="L970">
        <v>65</v>
      </c>
      <c r="M970">
        <v>54</v>
      </c>
      <c r="N970">
        <v>98</v>
      </c>
      <c r="O970">
        <v>345</v>
      </c>
      <c r="P970">
        <v>69</v>
      </c>
      <c r="Q970" t="s">
        <v>26</v>
      </c>
      <c r="R970" t="s">
        <v>27</v>
      </c>
      <c r="S970">
        <v>3503</v>
      </c>
      <c r="T970" t="s">
        <v>66</v>
      </c>
      <c r="U970" t="str">
        <f t="shared" si="15"/>
        <v>Pass</v>
      </c>
    </row>
    <row r="971" spans="1:21">
      <c r="A971" t="s">
        <v>1919</v>
      </c>
      <c r="B971" t="s">
        <v>386</v>
      </c>
      <c r="C971" t="s">
        <v>37</v>
      </c>
      <c r="D971">
        <v>3</v>
      </c>
      <c r="E971" t="s">
        <v>26</v>
      </c>
      <c r="F971">
        <v>7</v>
      </c>
      <c r="G971" t="s">
        <v>38</v>
      </c>
      <c r="H971" t="s">
        <v>1920</v>
      </c>
      <c r="I971">
        <v>77</v>
      </c>
      <c r="J971">
        <v>94</v>
      </c>
      <c r="K971">
        <v>78</v>
      </c>
      <c r="L971">
        <v>61</v>
      </c>
      <c r="M971">
        <v>90</v>
      </c>
      <c r="N971">
        <v>96</v>
      </c>
      <c r="O971">
        <v>419</v>
      </c>
      <c r="P971">
        <v>83.8</v>
      </c>
      <c r="Q971" t="s">
        <v>47</v>
      </c>
      <c r="R971" t="s">
        <v>41</v>
      </c>
      <c r="S971">
        <v>2293</v>
      </c>
      <c r="T971" t="s">
        <v>34</v>
      </c>
      <c r="U971" t="str">
        <f t="shared" si="15"/>
        <v>Pass</v>
      </c>
    </row>
    <row r="972" spans="1:21">
      <c r="A972" t="s">
        <v>1921</v>
      </c>
      <c r="B972" t="s">
        <v>308</v>
      </c>
      <c r="C972" t="s">
        <v>22</v>
      </c>
      <c r="D972">
        <v>12</v>
      </c>
      <c r="E972" t="s">
        <v>47</v>
      </c>
      <c r="F972">
        <v>17</v>
      </c>
      <c r="G972" t="s">
        <v>58</v>
      </c>
      <c r="H972" t="s">
        <v>1922</v>
      </c>
      <c r="I972">
        <v>94</v>
      </c>
      <c r="J972">
        <v>98</v>
      </c>
      <c r="K972">
        <v>51</v>
      </c>
      <c r="L972">
        <v>35</v>
      </c>
      <c r="M972">
        <v>58</v>
      </c>
      <c r="N972">
        <v>82</v>
      </c>
      <c r="O972">
        <v>324</v>
      </c>
      <c r="P972">
        <v>64.8</v>
      </c>
      <c r="Q972" t="s">
        <v>26</v>
      </c>
      <c r="R972" t="s">
        <v>41</v>
      </c>
      <c r="S972">
        <v>1655</v>
      </c>
      <c r="T972" t="s">
        <v>66</v>
      </c>
      <c r="U972" t="str">
        <f t="shared" si="15"/>
        <v>Pass</v>
      </c>
    </row>
    <row r="973" spans="1:21">
      <c r="A973" t="s">
        <v>1923</v>
      </c>
      <c r="B973" t="s">
        <v>21</v>
      </c>
      <c r="C973" t="s">
        <v>37</v>
      </c>
      <c r="D973">
        <v>9</v>
      </c>
      <c r="E973" t="s">
        <v>47</v>
      </c>
      <c r="F973">
        <v>14</v>
      </c>
      <c r="G973" t="s">
        <v>38</v>
      </c>
      <c r="H973" t="s">
        <v>1924</v>
      </c>
      <c r="I973">
        <v>100</v>
      </c>
      <c r="J973">
        <v>55</v>
      </c>
      <c r="K973">
        <v>48</v>
      </c>
      <c r="L973">
        <v>82</v>
      </c>
      <c r="M973">
        <v>59</v>
      </c>
      <c r="N973">
        <v>71</v>
      </c>
      <c r="O973">
        <v>315</v>
      </c>
      <c r="P973">
        <v>63</v>
      </c>
      <c r="Q973" t="s">
        <v>26</v>
      </c>
      <c r="R973" t="s">
        <v>41</v>
      </c>
      <c r="S973">
        <v>1833</v>
      </c>
      <c r="T973" t="s">
        <v>28</v>
      </c>
      <c r="U973" t="str">
        <f t="shared" si="15"/>
        <v>Pass</v>
      </c>
    </row>
    <row r="974" spans="1:21">
      <c r="A974" t="s">
        <v>1925</v>
      </c>
      <c r="B974" t="s">
        <v>544</v>
      </c>
      <c r="C974" t="s">
        <v>37</v>
      </c>
      <c r="D974">
        <v>1</v>
      </c>
      <c r="E974" t="s">
        <v>23</v>
      </c>
      <c r="F974">
        <v>7</v>
      </c>
      <c r="G974" t="s">
        <v>64</v>
      </c>
      <c r="H974" t="s">
        <v>197</v>
      </c>
      <c r="I974">
        <v>71</v>
      </c>
      <c r="J974">
        <v>91</v>
      </c>
      <c r="K974">
        <v>93</v>
      </c>
      <c r="L974">
        <v>73</v>
      </c>
      <c r="M974">
        <v>75</v>
      </c>
      <c r="N974">
        <v>88</v>
      </c>
      <c r="O974">
        <v>420</v>
      </c>
      <c r="P974">
        <v>84</v>
      </c>
      <c r="Q974" t="s">
        <v>47</v>
      </c>
      <c r="R974" t="s">
        <v>41</v>
      </c>
      <c r="S974">
        <v>2070</v>
      </c>
      <c r="T974" t="s">
        <v>70</v>
      </c>
      <c r="U974" t="str">
        <f t="shared" si="15"/>
        <v>Pass</v>
      </c>
    </row>
    <row r="975" spans="1:21">
      <c r="A975" t="s">
        <v>1926</v>
      </c>
      <c r="B975" t="s">
        <v>1234</v>
      </c>
      <c r="C975" t="s">
        <v>37</v>
      </c>
      <c r="D975">
        <v>9</v>
      </c>
      <c r="E975" t="s">
        <v>31</v>
      </c>
      <c r="F975">
        <v>13</v>
      </c>
      <c r="G975" t="s">
        <v>58</v>
      </c>
      <c r="H975" t="s">
        <v>1927</v>
      </c>
      <c r="I975">
        <v>68</v>
      </c>
      <c r="J975">
        <v>93</v>
      </c>
      <c r="K975">
        <v>72</v>
      </c>
      <c r="L975">
        <v>85</v>
      </c>
      <c r="M975">
        <v>63</v>
      </c>
      <c r="N975">
        <v>91</v>
      </c>
      <c r="O975">
        <v>404</v>
      </c>
      <c r="P975">
        <v>80.8</v>
      </c>
      <c r="Q975" t="s">
        <v>47</v>
      </c>
      <c r="R975" t="s">
        <v>41</v>
      </c>
      <c r="S975">
        <v>3022</v>
      </c>
      <c r="T975" t="s">
        <v>42</v>
      </c>
      <c r="U975" t="str">
        <f t="shared" si="15"/>
        <v>Pass</v>
      </c>
    </row>
    <row r="976" spans="1:21">
      <c r="A976" t="s">
        <v>1928</v>
      </c>
      <c r="B976" t="s">
        <v>579</v>
      </c>
      <c r="C976" t="s">
        <v>22</v>
      </c>
      <c r="D976">
        <v>8</v>
      </c>
      <c r="E976" t="s">
        <v>26</v>
      </c>
      <c r="F976">
        <v>13</v>
      </c>
      <c r="G976" t="s">
        <v>38</v>
      </c>
      <c r="H976" t="s">
        <v>1929</v>
      </c>
      <c r="I976">
        <v>100</v>
      </c>
      <c r="J976">
        <v>41</v>
      </c>
      <c r="K976">
        <v>90</v>
      </c>
      <c r="L976">
        <v>93</v>
      </c>
      <c r="M976">
        <v>54</v>
      </c>
      <c r="N976">
        <v>99</v>
      </c>
      <c r="O976">
        <v>377</v>
      </c>
      <c r="P976">
        <v>75.400000000000006</v>
      </c>
      <c r="Q976" t="s">
        <v>40</v>
      </c>
      <c r="R976" t="s">
        <v>27</v>
      </c>
      <c r="S976">
        <v>3420</v>
      </c>
      <c r="T976" t="s">
        <v>48</v>
      </c>
      <c r="U976" t="str">
        <f t="shared" si="15"/>
        <v>Pass</v>
      </c>
    </row>
    <row r="977" spans="1:21">
      <c r="A977" t="s">
        <v>1930</v>
      </c>
      <c r="B977" t="s">
        <v>302</v>
      </c>
      <c r="C977" t="s">
        <v>22</v>
      </c>
      <c r="D977">
        <v>7</v>
      </c>
      <c r="E977" t="s">
        <v>26</v>
      </c>
      <c r="F977">
        <v>13</v>
      </c>
      <c r="G977" t="s">
        <v>45</v>
      </c>
      <c r="H977" t="s">
        <v>88</v>
      </c>
      <c r="I977">
        <v>61</v>
      </c>
      <c r="J977">
        <v>90</v>
      </c>
      <c r="K977">
        <v>48</v>
      </c>
      <c r="L977">
        <v>88</v>
      </c>
      <c r="M977">
        <v>90</v>
      </c>
      <c r="N977">
        <v>49</v>
      </c>
      <c r="O977">
        <v>365</v>
      </c>
      <c r="P977">
        <v>73</v>
      </c>
      <c r="Q977" t="s">
        <v>40</v>
      </c>
      <c r="R977" t="s">
        <v>27</v>
      </c>
      <c r="S977">
        <v>1543</v>
      </c>
      <c r="T977" t="s">
        <v>70</v>
      </c>
      <c r="U977" t="str">
        <f t="shared" si="15"/>
        <v>Pass</v>
      </c>
    </row>
    <row r="978" spans="1:21">
      <c r="A978" t="s">
        <v>1931</v>
      </c>
      <c r="B978" t="s">
        <v>242</v>
      </c>
      <c r="C978" t="s">
        <v>22</v>
      </c>
      <c r="D978">
        <v>6</v>
      </c>
      <c r="E978" t="s">
        <v>23</v>
      </c>
      <c r="F978">
        <v>10</v>
      </c>
      <c r="G978" t="s">
        <v>64</v>
      </c>
      <c r="H978" t="s">
        <v>73</v>
      </c>
      <c r="I978">
        <v>61</v>
      </c>
      <c r="J978">
        <v>57</v>
      </c>
      <c r="K978">
        <v>39</v>
      </c>
      <c r="L978">
        <v>47</v>
      </c>
      <c r="M978">
        <v>57</v>
      </c>
      <c r="N978">
        <v>56</v>
      </c>
      <c r="O978">
        <v>256</v>
      </c>
      <c r="P978">
        <v>51.2</v>
      </c>
      <c r="Q978" t="s">
        <v>31</v>
      </c>
      <c r="R978" t="s">
        <v>41</v>
      </c>
      <c r="S978">
        <v>3812</v>
      </c>
      <c r="T978" t="s">
        <v>66</v>
      </c>
      <c r="U978" t="str">
        <f t="shared" si="15"/>
        <v>Fail</v>
      </c>
    </row>
    <row r="979" spans="1:21">
      <c r="A979" t="s">
        <v>1932</v>
      </c>
      <c r="B979" t="s">
        <v>99</v>
      </c>
      <c r="C979" t="s">
        <v>22</v>
      </c>
      <c r="D979">
        <v>1</v>
      </c>
      <c r="E979" t="s">
        <v>31</v>
      </c>
      <c r="F979">
        <v>6</v>
      </c>
      <c r="G979" t="s">
        <v>24</v>
      </c>
      <c r="H979" t="s">
        <v>1933</v>
      </c>
      <c r="I979">
        <v>73</v>
      </c>
      <c r="J979">
        <v>95</v>
      </c>
      <c r="K979">
        <v>82</v>
      </c>
      <c r="L979">
        <v>74</v>
      </c>
      <c r="M979">
        <v>98</v>
      </c>
      <c r="N979">
        <v>83</v>
      </c>
      <c r="O979">
        <v>432</v>
      </c>
      <c r="P979">
        <v>86.4</v>
      </c>
      <c r="Q979" t="s">
        <v>47</v>
      </c>
      <c r="R979" t="s">
        <v>27</v>
      </c>
      <c r="S979">
        <v>3022</v>
      </c>
      <c r="T979" t="s">
        <v>28</v>
      </c>
      <c r="U979" t="str">
        <f t="shared" si="15"/>
        <v>Pass</v>
      </c>
    </row>
    <row r="980" spans="1:21">
      <c r="A980" t="s">
        <v>1934</v>
      </c>
      <c r="B980" t="s">
        <v>72</v>
      </c>
      <c r="C980" t="s">
        <v>22</v>
      </c>
      <c r="D980">
        <v>7</v>
      </c>
      <c r="E980" t="s">
        <v>31</v>
      </c>
      <c r="F980">
        <v>13</v>
      </c>
      <c r="G980" t="s">
        <v>58</v>
      </c>
      <c r="H980" t="s">
        <v>281</v>
      </c>
      <c r="I980">
        <v>99</v>
      </c>
      <c r="J980">
        <v>87</v>
      </c>
      <c r="K980">
        <v>40</v>
      </c>
      <c r="L980">
        <v>56</v>
      </c>
      <c r="M980">
        <v>65</v>
      </c>
      <c r="N980">
        <v>52</v>
      </c>
      <c r="O980">
        <v>300</v>
      </c>
      <c r="P980">
        <v>60</v>
      </c>
      <c r="Q980" t="s">
        <v>26</v>
      </c>
      <c r="R980" t="s">
        <v>27</v>
      </c>
      <c r="S980">
        <v>4431</v>
      </c>
      <c r="T980" t="s">
        <v>28</v>
      </c>
      <c r="U980" t="str">
        <f t="shared" si="15"/>
        <v>Pass</v>
      </c>
    </row>
    <row r="981" spans="1:21">
      <c r="A981" t="s">
        <v>1935</v>
      </c>
      <c r="B981" t="s">
        <v>562</v>
      </c>
      <c r="C981" t="s">
        <v>37</v>
      </c>
      <c r="D981">
        <v>4</v>
      </c>
      <c r="E981" t="s">
        <v>47</v>
      </c>
      <c r="F981">
        <v>9</v>
      </c>
      <c r="G981" t="s">
        <v>38</v>
      </c>
      <c r="H981" t="s">
        <v>1936</v>
      </c>
      <c r="I981">
        <v>69</v>
      </c>
      <c r="J981">
        <v>94</v>
      </c>
      <c r="K981">
        <v>64</v>
      </c>
      <c r="L981">
        <v>84</v>
      </c>
      <c r="M981">
        <v>67</v>
      </c>
      <c r="N981">
        <v>86</v>
      </c>
      <c r="O981">
        <v>395</v>
      </c>
      <c r="P981">
        <v>79</v>
      </c>
      <c r="Q981" t="s">
        <v>40</v>
      </c>
      <c r="R981" t="s">
        <v>41</v>
      </c>
      <c r="S981">
        <v>4613</v>
      </c>
      <c r="T981" t="s">
        <v>28</v>
      </c>
      <c r="U981" t="str">
        <f t="shared" si="15"/>
        <v>Pass</v>
      </c>
    </row>
    <row r="982" spans="1:21">
      <c r="A982" t="s">
        <v>1937</v>
      </c>
      <c r="B982" t="s">
        <v>126</v>
      </c>
      <c r="C982" t="s">
        <v>37</v>
      </c>
      <c r="D982">
        <v>9</v>
      </c>
      <c r="E982" t="s">
        <v>47</v>
      </c>
      <c r="F982">
        <v>15</v>
      </c>
      <c r="G982" t="s">
        <v>58</v>
      </c>
      <c r="H982" t="s">
        <v>1938</v>
      </c>
      <c r="I982">
        <v>86</v>
      </c>
      <c r="J982">
        <v>99</v>
      </c>
      <c r="K982">
        <v>42</v>
      </c>
      <c r="L982">
        <v>89</v>
      </c>
      <c r="M982">
        <v>86</v>
      </c>
      <c r="N982">
        <v>45</v>
      </c>
      <c r="O982">
        <v>361</v>
      </c>
      <c r="P982">
        <v>72.2</v>
      </c>
      <c r="Q982" t="s">
        <v>40</v>
      </c>
      <c r="R982" t="s">
        <v>41</v>
      </c>
      <c r="S982">
        <v>3066</v>
      </c>
      <c r="T982" t="s">
        <v>66</v>
      </c>
      <c r="U982" t="str">
        <f t="shared" si="15"/>
        <v>Pass</v>
      </c>
    </row>
    <row r="983" spans="1:21">
      <c r="A983" t="s">
        <v>1939</v>
      </c>
      <c r="B983" t="s">
        <v>21</v>
      </c>
      <c r="C983" t="s">
        <v>22</v>
      </c>
      <c r="D983">
        <v>2</v>
      </c>
      <c r="E983" t="s">
        <v>47</v>
      </c>
      <c r="F983">
        <v>8</v>
      </c>
      <c r="G983" t="s">
        <v>24</v>
      </c>
      <c r="H983" t="s">
        <v>1762</v>
      </c>
      <c r="I983">
        <v>64</v>
      </c>
      <c r="J983">
        <v>81</v>
      </c>
      <c r="K983">
        <v>40</v>
      </c>
      <c r="L983">
        <v>58</v>
      </c>
      <c r="M983">
        <v>100</v>
      </c>
      <c r="N983">
        <v>77</v>
      </c>
      <c r="O983">
        <v>356</v>
      </c>
      <c r="P983">
        <v>71.2</v>
      </c>
      <c r="Q983" t="s">
        <v>40</v>
      </c>
      <c r="R983" t="s">
        <v>41</v>
      </c>
      <c r="S983">
        <v>4444</v>
      </c>
      <c r="T983" t="s">
        <v>66</v>
      </c>
      <c r="U983" t="str">
        <f t="shared" si="15"/>
        <v>Pass</v>
      </c>
    </row>
    <row r="984" spans="1:21">
      <c r="A984" t="s">
        <v>1940</v>
      </c>
      <c r="B984" t="s">
        <v>714</v>
      </c>
      <c r="C984" t="s">
        <v>22</v>
      </c>
      <c r="D984">
        <v>2</v>
      </c>
      <c r="E984" t="s">
        <v>26</v>
      </c>
      <c r="F984">
        <v>8</v>
      </c>
      <c r="G984" t="s">
        <v>24</v>
      </c>
      <c r="H984" t="s">
        <v>431</v>
      </c>
      <c r="I984">
        <v>60</v>
      </c>
      <c r="J984">
        <v>78</v>
      </c>
      <c r="K984">
        <v>70</v>
      </c>
      <c r="L984">
        <v>91</v>
      </c>
      <c r="M984">
        <v>94</v>
      </c>
      <c r="N984">
        <v>99</v>
      </c>
      <c r="O984">
        <v>432</v>
      </c>
      <c r="P984">
        <v>86.4</v>
      </c>
      <c r="Q984" t="s">
        <v>47</v>
      </c>
      <c r="R984" t="s">
        <v>41</v>
      </c>
      <c r="S984">
        <v>4777</v>
      </c>
      <c r="T984" t="s">
        <v>42</v>
      </c>
      <c r="U984" t="str">
        <f t="shared" si="15"/>
        <v>Pass</v>
      </c>
    </row>
    <row r="985" spans="1:21">
      <c r="A985" t="s">
        <v>1941</v>
      </c>
      <c r="B985" t="s">
        <v>1207</v>
      </c>
      <c r="C985" t="s">
        <v>22</v>
      </c>
      <c r="D985">
        <v>7</v>
      </c>
      <c r="E985" t="s">
        <v>26</v>
      </c>
      <c r="F985">
        <v>11</v>
      </c>
      <c r="G985" t="s">
        <v>32</v>
      </c>
      <c r="H985" t="s">
        <v>409</v>
      </c>
      <c r="I985">
        <v>87</v>
      </c>
      <c r="J985">
        <v>96</v>
      </c>
      <c r="K985">
        <v>49</v>
      </c>
      <c r="L985">
        <v>58</v>
      </c>
      <c r="M985">
        <v>43</v>
      </c>
      <c r="N985">
        <v>50</v>
      </c>
      <c r="O985">
        <v>296</v>
      </c>
      <c r="P985">
        <v>59.2</v>
      </c>
      <c r="Q985" t="s">
        <v>31</v>
      </c>
      <c r="R985" t="s">
        <v>27</v>
      </c>
      <c r="S985">
        <v>1881</v>
      </c>
      <c r="T985" t="s">
        <v>28</v>
      </c>
      <c r="U985" t="str">
        <f t="shared" si="15"/>
        <v>Pass</v>
      </c>
    </row>
    <row r="986" spans="1:21">
      <c r="A986" t="s">
        <v>1942</v>
      </c>
      <c r="B986" t="s">
        <v>326</v>
      </c>
      <c r="C986" t="s">
        <v>37</v>
      </c>
      <c r="D986">
        <v>6</v>
      </c>
      <c r="E986" t="s">
        <v>31</v>
      </c>
      <c r="F986">
        <v>10</v>
      </c>
      <c r="G986" t="s">
        <v>64</v>
      </c>
      <c r="H986" t="s">
        <v>796</v>
      </c>
      <c r="I986">
        <v>70</v>
      </c>
      <c r="J986">
        <v>68</v>
      </c>
      <c r="K986">
        <v>79</v>
      </c>
      <c r="L986">
        <v>92</v>
      </c>
      <c r="M986">
        <v>95</v>
      </c>
      <c r="N986">
        <v>88</v>
      </c>
      <c r="O986">
        <v>422</v>
      </c>
      <c r="P986">
        <v>84.4</v>
      </c>
      <c r="Q986" t="s">
        <v>47</v>
      </c>
      <c r="R986" t="s">
        <v>27</v>
      </c>
      <c r="S986">
        <v>4828</v>
      </c>
      <c r="T986" t="s">
        <v>70</v>
      </c>
      <c r="U986" t="str">
        <f t="shared" si="15"/>
        <v>Pass</v>
      </c>
    </row>
    <row r="987" spans="1:21">
      <c r="A987" t="s">
        <v>1943</v>
      </c>
      <c r="B987" t="s">
        <v>982</v>
      </c>
      <c r="C987" t="s">
        <v>22</v>
      </c>
      <c r="D987">
        <v>2</v>
      </c>
      <c r="E987" t="s">
        <v>31</v>
      </c>
      <c r="F987">
        <v>6</v>
      </c>
      <c r="G987" t="s">
        <v>58</v>
      </c>
      <c r="H987" t="s">
        <v>1166</v>
      </c>
      <c r="I987">
        <v>68</v>
      </c>
      <c r="J987">
        <v>91</v>
      </c>
      <c r="K987">
        <v>96</v>
      </c>
      <c r="L987">
        <v>60</v>
      </c>
      <c r="M987">
        <v>57</v>
      </c>
      <c r="N987">
        <v>42</v>
      </c>
      <c r="O987">
        <v>346</v>
      </c>
      <c r="P987">
        <v>69.2</v>
      </c>
      <c r="Q987" t="s">
        <v>26</v>
      </c>
      <c r="R987" t="s">
        <v>41</v>
      </c>
      <c r="S987">
        <v>1864</v>
      </c>
      <c r="T987" t="s">
        <v>28</v>
      </c>
      <c r="U987" t="str">
        <f t="shared" si="15"/>
        <v>Pass</v>
      </c>
    </row>
    <row r="988" spans="1:21">
      <c r="A988" t="s">
        <v>1944</v>
      </c>
      <c r="B988" t="s">
        <v>982</v>
      </c>
      <c r="C988" t="s">
        <v>37</v>
      </c>
      <c r="D988">
        <v>11</v>
      </c>
      <c r="E988" t="s">
        <v>31</v>
      </c>
      <c r="F988">
        <v>17</v>
      </c>
      <c r="G988" t="s">
        <v>54</v>
      </c>
      <c r="H988" t="s">
        <v>1945</v>
      </c>
      <c r="I988">
        <v>65</v>
      </c>
      <c r="J988">
        <v>47</v>
      </c>
      <c r="K988">
        <v>99</v>
      </c>
      <c r="L988">
        <v>62</v>
      </c>
      <c r="M988">
        <v>87</v>
      </c>
      <c r="N988">
        <v>97</v>
      </c>
      <c r="O988">
        <v>392</v>
      </c>
      <c r="P988">
        <v>78.400000000000006</v>
      </c>
      <c r="Q988" t="s">
        <v>40</v>
      </c>
      <c r="R988" t="s">
        <v>41</v>
      </c>
      <c r="S988">
        <v>3916</v>
      </c>
      <c r="T988" t="s">
        <v>34</v>
      </c>
      <c r="U988" t="str">
        <f t="shared" si="15"/>
        <v>Pass</v>
      </c>
    </row>
    <row r="989" spans="1:21">
      <c r="A989" t="s">
        <v>1946</v>
      </c>
      <c r="B989" t="s">
        <v>36</v>
      </c>
      <c r="C989" t="s">
        <v>37</v>
      </c>
      <c r="D989">
        <v>5</v>
      </c>
      <c r="E989" t="s">
        <v>31</v>
      </c>
      <c r="F989">
        <v>10</v>
      </c>
      <c r="G989" t="s">
        <v>58</v>
      </c>
      <c r="H989" t="s">
        <v>949</v>
      </c>
      <c r="I989">
        <v>64</v>
      </c>
      <c r="J989">
        <v>47</v>
      </c>
      <c r="K989">
        <v>66</v>
      </c>
      <c r="L989">
        <v>45</v>
      </c>
      <c r="M989">
        <v>84</v>
      </c>
      <c r="N989">
        <v>65</v>
      </c>
      <c r="O989">
        <v>307</v>
      </c>
      <c r="P989">
        <v>61.4</v>
      </c>
      <c r="Q989" t="s">
        <v>26</v>
      </c>
      <c r="R989" t="s">
        <v>27</v>
      </c>
      <c r="S989">
        <v>2360</v>
      </c>
      <c r="T989" t="s">
        <v>42</v>
      </c>
      <c r="U989" t="str">
        <f t="shared" si="15"/>
        <v>Pass</v>
      </c>
    </row>
    <row r="990" spans="1:21">
      <c r="A990" t="s">
        <v>1947</v>
      </c>
      <c r="B990" t="s">
        <v>900</v>
      </c>
      <c r="C990" t="s">
        <v>37</v>
      </c>
      <c r="D990">
        <v>4</v>
      </c>
      <c r="E990" t="s">
        <v>31</v>
      </c>
      <c r="F990">
        <v>9</v>
      </c>
      <c r="G990" t="s">
        <v>32</v>
      </c>
      <c r="H990" t="s">
        <v>1948</v>
      </c>
      <c r="I990">
        <v>79</v>
      </c>
      <c r="J990">
        <v>60</v>
      </c>
      <c r="K990">
        <v>40</v>
      </c>
      <c r="L990">
        <v>37</v>
      </c>
      <c r="M990">
        <v>66</v>
      </c>
      <c r="N990">
        <v>90</v>
      </c>
      <c r="O990">
        <v>293</v>
      </c>
      <c r="P990">
        <v>58.6</v>
      </c>
      <c r="Q990" t="s">
        <v>31</v>
      </c>
      <c r="R990" t="s">
        <v>27</v>
      </c>
      <c r="S990">
        <v>3101</v>
      </c>
      <c r="T990" t="s">
        <v>42</v>
      </c>
      <c r="U990" t="str">
        <f t="shared" si="15"/>
        <v>Pass</v>
      </c>
    </row>
    <row r="991" spans="1:21">
      <c r="A991" t="s">
        <v>1949</v>
      </c>
      <c r="B991" t="s">
        <v>1417</v>
      </c>
      <c r="C991" t="s">
        <v>37</v>
      </c>
      <c r="D991">
        <v>3</v>
      </c>
      <c r="E991" t="s">
        <v>47</v>
      </c>
      <c r="F991">
        <v>9</v>
      </c>
      <c r="G991" t="s">
        <v>54</v>
      </c>
      <c r="H991" t="s">
        <v>1950</v>
      </c>
      <c r="I991">
        <v>88</v>
      </c>
      <c r="J991">
        <v>58</v>
      </c>
      <c r="K991">
        <v>57</v>
      </c>
      <c r="L991">
        <v>61</v>
      </c>
      <c r="M991">
        <v>55</v>
      </c>
      <c r="N991">
        <v>52</v>
      </c>
      <c r="O991">
        <v>283</v>
      </c>
      <c r="P991">
        <v>56.6</v>
      </c>
      <c r="Q991" t="s">
        <v>31</v>
      </c>
      <c r="R991" t="s">
        <v>41</v>
      </c>
      <c r="S991">
        <v>3937</v>
      </c>
      <c r="T991" t="s">
        <v>34</v>
      </c>
      <c r="U991" t="str">
        <f t="shared" si="15"/>
        <v>Pass</v>
      </c>
    </row>
    <row r="992" spans="1:21">
      <c r="A992" t="s">
        <v>1951</v>
      </c>
      <c r="B992" t="s">
        <v>157</v>
      </c>
      <c r="C992" t="s">
        <v>22</v>
      </c>
      <c r="D992">
        <v>7</v>
      </c>
      <c r="E992" t="s">
        <v>47</v>
      </c>
      <c r="F992">
        <v>11</v>
      </c>
      <c r="G992" t="s">
        <v>24</v>
      </c>
      <c r="H992" t="s">
        <v>1952</v>
      </c>
      <c r="I992">
        <v>73</v>
      </c>
      <c r="J992">
        <v>79</v>
      </c>
      <c r="K992">
        <v>87</v>
      </c>
      <c r="L992">
        <v>50</v>
      </c>
      <c r="M992">
        <v>53</v>
      </c>
      <c r="N992">
        <v>71</v>
      </c>
      <c r="O992">
        <v>340</v>
      </c>
      <c r="P992">
        <v>68</v>
      </c>
      <c r="Q992" t="s">
        <v>26</v>
      </c>
      <c r="R992" t="s">
        <v>41</v>
      </c>
      <c r="S992">
        <v>3694</v>
      </c>
      <c r="T992" t="s">
        <v>42</v>
      </c>
      <c r="U992" t="str">
        <f t="shared" si="15"/>
        <v>Pass</v>
      </c>
    </row>
    <row r="993" spans="1:21">
      <c r="A993" t="s">
        <v>1953</v>
      </c>
      <c r="B993" t="s">
        <v>426</v>
      </c>
      <c r="C993" t="s">
        <v>22</v>
      </c>
      <c r="D993">
        <v>1</v>
      </c>
      <c r="E993" t="s">
        <v>31</v>
      </c>
      <c r="F993">
        <v>6</v>
      </c>
      <c r="G993" t="s">
        <v>64</v>
      </c>
      <c r="H993" t="s">
        <v>1954</v>
      </c>
      <c r="I993">
        <v>94</v>
      </c>
      <c r="J993">
        <v>82</v>
      </c>
      <c r="K993">
        <v>66</v>
      </c>
      <c r="L993">
        <v>71</v>
      </c>
      <c r="M993">
        <v>79</v>
      </c>
      <c r="N993">
        <v>93</v>
      </c>
      <c r="O993">
        <v>391</v>
      </c>
      <c r="P993">
        <v>78.2</v>
      </c>
      <c r="Q993" t="s">
        <v>40</v>
      </c>
      <c r="R993" t="s">
        <v>27</v>
      </c>
      <c r="S993">
        <v>2924</v>
      </c>
      <c r="T993" t="s">
        <v>42</v>
      </c>
      <c r="U993" t="str">
        <f t="shared" si="15"/>
        <v>Pass</v>
      </c>
    </row>
    <row r="994" spans="1:21">
      <c r="A994" t="s">
        <v>1955</v>
      </c>
      <c r="B994" t="s">
        <v>824</v>
      </c>
      <c r="C994" t="s">
        <v>37</v>
      </c>
      <c r="D994">
        <v>3</v>
      </c>
      <c r="E994" t="s">
        <v>47</v>
      </c>
      <c r="F994">
        <v>7</v>
      </c>
      <c r="G994" t="s">
        <v>58</v>
      </c>
      <c r="H994" t="s">
        <v>1507</v>
      </c>
      <c r="I994">
        <v>60</v>
      </c>
      <c r="J994">
        <v>99</v>
      </c>
      <c r="K994">
        <v>49</v>
      </c>
      <c r="L994">
        <v>37</v>
      </c>
      <c r="M994">
        <v>40</v>
      </c>
      <c r="N994">
        <v>42</v>
      </c>
      <c r="O994">
        <v>267</v>
      </c>
      <c r="P994">
        <v>53.4</v>
      </c>
      <c r="Q994" t="s">
        <v>31</v>
      </c>
      <c r="R994" t="s">
        <v>41</v>
      </c>
      <c r="S994">
        <v>3978</v>
      </c>
      <c r="T994" t="s">
        <v>70</v>
      </c>
      <c r="U994" t="str">
        <f t="shared" si="15"/>
        <v>Fail</v>
      </c>
    </row>
    <row r="995" spans="1:21">
      <c r="A995" t="s">
        <v>1956</v>
      </c>
      <c r="B995" t="s">
        <v>562</v>
      </c>
      <c r="C995" t="s">
        <v>22</v>
      </c>
      <c r="D995">
        <v>2</v>
      </c>
      <c r="E995" t="s">
        <v>31</v>
      </c>
      <c r="F995">
        <v>6</v>
      </c>
      <c r="G995" t="s">
        <v>45</v>
      </c>
      <c r="H995" t="s">
        <v>1916</v>
      </c>
      <c r="I995">
        <v>68</v>
      </c>
      <c r="J995">
        <v>37</v>
      </c>
      <c r="K995">
        <v>42</v>
      </c>
      <c r="L995">
        <v>79</v>
      </c>
      <c r="M995">
        <v>92</v>
      </c>
      <c r="N995">
        <v>47</v>
      </c>
      <c r="O995">
        <v>297</v>
      </c>
      <c r="P995">
        <v>59.4</v>
      </c>
      <c r="Q995" t="s">
        <v>31</v>
      </c>
      <c r="R995" t="s">
        <v>41</v>
      </c>
      <c r="S995">
        <v>2021</v>
      </c>
      <c r="T995" t="s">
        <v>48</v>
      </c>
      <c r="U995" t="str">
        <f t="shared" si="15"/>
        <v>Pass</v>
      </c>
    </row>
    <row r="996" spans="1:21">
      <c r="A996" t="s">
        <v>1957</v>
      </c>
      <c r="B996" t="s">
        <v>1410</v>
      </c>
      <c r="C996" t="s">
        <v>37</v>
      </c>
      <c r="D996">
        <v>11</v>
      </c>
      <c r="E996" t="s">
        <v>31</v>
      </c>
      <c r="F996">
        <v>15</v>
      </c>
      <c r="G996" t="s">
        <v>58</v>
      </c>
      <c r="H996" t="s">
        <v>1549</v>
      </c>
      <c r="I996">
        <v>86</v>
      </c>
      <c r="J996">
        <v>90</v>
      </c>
      <c r="K996">
        <v>49</v>
      </c>
      <c r="L996">
        <v>36</v>
      </c>
      <c r="M996">
        <v>67</v>
      </c>
      <c r="N996">
        <v>83</v>
      </c>
      <c r="O996">
        <v>325</v>
      </c>
      <c r="P996">
        <v>65</v>
      </c>
      <c r="Q996" t="s">
        <v>26</v>
      </c>
      <c r="R996" t="s">
        <v>27</v>
      </c>
      <c r="S996">
        <v>3404</v>
      </c>
      <c r="T996" t="s">
        <v>48</v>
      </c>
      <c r="U996" t="str">
        <f t="shared" si="15"/>
        <v>Pass</v>
      </c>
    </row>
    <row r="997" spans="1:21">
      <c r="A997" t="s">
        <v>1958</v>
      </c>
      <c r="B997" t="s">
        <v>68</v>
      </c>
      <c r="C997" t="s">
        <v>22</v>
      </c>
      <c r="D997">
        <v>2</v>
      </c>
      <c r="E997" t="s">
        <v>23</v>
      </c>
      <c r="F997">
        <v>6</v>
      </c>
      <c r="G997" t="s">
        <v>45</v>
      </c>
      <c r="H997" t="s">
        <v>1959</v>
      </c>
      <c r="I997">
        <v>78</v>
      </c>
      <c r="J997">
        <v>66</v>
      </c>
      <c r="K997">
        <v>80</v>
      </c>
      <c r="L997">
        <v>86</v>
      </c>
      <c r="M997">
        <v>69</v>
      </c>
      <c r="N997">
        <v>98</v>
      </c>
      <c r="O997">
        <v>399</v>
      </c>
      <c r="P997">
        <v>79.8</v>
      </c>
      <c r="Q997" t="s">
        <v>40</v>
      </c>
      <c r="R997" t="s">
        <v>41</v>
      </c>
      <c r="S997">
        <v>2731</v>
      </c>
      <c r="T997" t="s">
        <v>42</v>
      </c>
      <c r="U997" t="str">
        <f t="shared" si="15"/>
        <v>Pass</v>
      </c>
    </row>
    <row r="998" spans="1:21">
      <c r="A998" t="s">
        <v>1960</v>
      </c>
      <c r="B998" t="s">
        <v>445</v>
      </c>
      <c r="C998" t="s">
        <v>22</v>
      </c>
      <c r="D998">
        <v>10</v>
      </c>
      <c r="E998" t="s">
        <v>26</v>
      </c>
      <c r="F998">
        <v>15</v>
      </c>
      <c r="G998" t="s">
        <v>58</v>
      </c>
      <c r="H998" t="s">
        <v>1897</v>
      </c>
      <c r="I998">
        <v>73</v>
      </c>
      <c r="J998">
        <v>48</v>
      </c>
      <c r="K998">
        <v>52</v>
      </c>
      <c r="L998">
        <v>38</v>
      </c>
      <c r="M998">
        <v>75</v>
      </c>
      <c r="N998">
        <v>39</v>
      </c>
      <c r="O998">
        <v>252</v>
      </c>
      <c r="P998">
        <v>50.4</v>
      </c>
      <c r="Q998" t="s">
        <v>31</v>
      </c>
      <c r="R998" t="s">
        <v>41</v>
      </c>
      <c r="S998">
        <v>3292</v>
      </c>
      <c r="T998" t="s">
        <v>70</v>
      </c>
      <c r="U998" t="str">
        <f t="shared" si="15"/>
        <v>Fail</v>
      </c>
    </row>
    <row r="999" spans="1:21">
      <c r="A999" t="s">
        <v>1961</v>
      </c>
      <c r="B999" t="s">
        <v>123</v>
      </c>
      <c r="C999" t="s">
        <v>37</v>
      </c>
      <c r="D999">
        <v>4</v>
      </c>
      <c r="E999" t="s">
        <v>23</v>
      </c>
      <c r="F999">
        <v>8</v>
      </c>
      <c r="G999" t="s">
        <v>24</v>
      </c>
      <c r="H999" t="s">
        <v>1962</v>
      </c>
      <c r="I999">
        <v>86</v>
      </c>
      <c r="J999">
        <v>80</v>
      </c>
      <c r="K999">
        <v>70</v>
      </c>
      <c r="L999">
        <v>96</v>
      </c>
      <c r="M999">
        <v>76</v>
      </c>
      <c r="N999">
        <v>35</v>
      </c>
      <c r="O999">
        <v>357</v>
      </c>
      <c r="P999">
        <v>71.400000000000006</v>
      </c>
      <c r="Q999" t="s">
        <v>40</v>
      </c>
      <c r="R999" t="s">
        <v>41</v>
      </c>
      <c r="S999">
        <v>3155</v>
      </c>
      <c r="T999" t="s">
        <v>48</v>
      </c>
      <c r="U999" t="str">
        <f t="shared" si="15"/>
        <v>Pass</v>
      </c>
    </row>
    <row r="1000" spans="1:21">
      <c r="A1000" t="s">
        <v>1963</v>
      </c>
      <c r="B1000" t="s">
        <v>90</v>
      </c>
      <c r="C1000" t="s">
        <v>37</v>
      </c>
      <c r="D1000">
        <v>4</v>
      </c>
      <c r="E1000" t="s">
        <v>31</v>
      </c>
      <c r="F1000">
        <v>8</v>
      </c>
      <c r="G1000" t="s">
        <v>58</v>
      </c>
      <c r="H1000" t="s">
        <v>1964</v>
      </c>
      <c r="I1000">
        <v>68</v>
      </c>
      <c r="J1000">
        <v>43</v>
      </c>
      <c r="K1000">
        <v>39</v>
      </c>
      <c r="L1000">
        <v>97</v>
      </c>
      <c r="M1000">
        <v>49</v>
      </c>
      <c r="N1000">
        <v>36</v>
      </c>
      <c r="O1000">
        <v>264</v>
      </c>
      <c r="P1000">
        <v>52.8</v>
      </c>
      <c r="Q1000" t="s">
        <v>31</v>
      </c>
      <c r="R1000" t="s">
        <v>27</v>
      </c>
      <c r="S1000">
        <v>4320</v>
      </c>
      <c r="T1000" t="s">
        <v>34</v>
      </c>
      <c r="U1000" t="str">
        <f t="shared" si="15"/>
        <v>Fail</v>
      </c>
    </row>
    <row r="1001" spans="1:21">
      <c r="A1001" t="s">
        <v>1965</v>
      </c>
      <c r="B1001" t="s">
        <v>134</v>
      </c>
      <c r="C1001" t="s">
        <v>37</v>
      </c>
      <c r="D1001">
        <v>7</v>
      </c>
      <c r="E1001" t="s">
        <v>47</v>
      </c>
      <c r="F1001">
        <v>12</v>
      </c>
      <c r="G1001" t="s">
        <v>54</v>
      </c>
      <c r="H1001" t="s">
        <v>1310</v>
      </c>
      <c r="I1001">
        <v>75</v>
      </c>
      <c r="J1001">
        <v>84</v>
      </c>
      <c r="K1001">
        <v>43</v>
      </c>
      <c r="L1001">
        <v>42</v>
      </c>
      <c r="M1001">
        <v>51</v>
      </c>
      <c r="N1001">
        <v>77</v>
      </c>
      <c r="O1001">
        <v>297</v>
      </c>
      <c r="P1001">
        <v>59.4</v>
      </c>
      <c r="Q1001" t="s">
        <v>31</v>
      </c>
      <c r="R1001" t="s">
        <v>41</v>
      </c>
      <c r="S1001">
        <v>1786</v>
      </c>
      <c r="T1001" t="s">
        <v>34</v>
      </c>
      <c r="U1001" t="str">
        <f t="shared" si="15"/>
        <v>Pass</v>
      </c>
    </row>
    <row r="1002" spans="1:21">
      <c r="A1002" t="s">
        <v>1966</v>
      </c>
      <c r="B1002" t="s">
        <v>87</v>
      </c>
      <c r="C1002" t="s">
        <v>37</v>
      </c>
      <c r="D1002">
        <v>12</v>
      </c>
      <c r="E1002" t="s">
        <v>47</v>
      </c>
      <c r="F1002">
        <v>16</v>
      </c>
      <c r="G1002" t="s">
        <v>54</v>
      </c>
      <c r="H1002" t="s">
        <v>580</v>
      </c>
      <c r="I1002">
        <v>73</v>
      </c>
      <c r="J1002">
        <v>55</v>
      </c>
      <c r="K1002">
        <v>48</v>
      </c>
      <c r="L1002">
        <v>82</v>
      </c>
      <c r="M1002">
        <v>85</v>
      </c>
      <c r="N1002">
        <v>80</v>
      </c>
      <c r="O1002">
        <v>350</v>
      </c>
      <c r="P1002">
        <v>70</v>
      </c>
      <c r="Q1002" t="s">
        <v>40</v>
      </c>
      <c r="R1002" t="s">
        <v>27</v>
      </c>
      <c r="S1002">
        <v>4859</v>
      </c>
      <c r="T1002" t="s">
        <v>48</v>
      </c>
      <c r="U1002" t="str">
        <f t="shared" si="15"/>
        <v>Pass</v>
      </c>
    </row>
    <row r="1003" spans="1:21">
      <c r="A1003" t="s">
        <v>1967</v>
      </c>
      <c r="B1003" t="s">
        <v>175</v>
      </c>
      <c r="C1003" t="s">
        <v>22</v>
      </c>
      <c r="D1003">
        <v>3</v>
      </c>
      <c r="E1003" t="s">
        <v>26</v>
      </c>
      <c r="F1003">
        <v>9</v>
      </c>
      <c r="G1003" t="s">
        <v>32</v>
      </c>
      <c r="H1003" t="s">
        <v>1287</v>
      </c>
      <c r="I1003">
        <v>97</v>
      </c>
      <c r="J1003">
        <v>35</v>
      </c>
      <c r="K1003">
        <v>50</v>
      </c>
      <c r="L1003">
        <v>88</v>
      </c>
      <c r="M1003">
        <v>89</v>
      </c>
      <c r="N1003">
        <v>65</v>
      </c>
      <c r="O1003">
        <v>327</v>
      </c>
      <c r="P1003">
        <v>65.400000000000006</v>
      </c>
      <c r="Q1003" t="s">
        <v>26</v>
      </c>
      <c r="R1003" t="s">
        <v>41</v>
      </c>
      <c r="S1003">
        <v>3991</v>
      </c>
      <c r="T1003" t="s">
        <v>28</v>
      </c>
      <c r="U1003" t="str">
        <f t="shared" si="15"/>
        <v>Pass</v>
      </c>
    </row>
    <row r="1004" spans="1:21">
      <c r="A1004" t="s">
        <v>1968</v>
      </c>
      <c r="B1004" t="s">
        <v>798</v>
      </c>
      <c r="C1004" t="s">
        <v>22</v>
      </c>
      <c r="D1004">
        <v>1</v>
      </c>
      <c r="E1004" t="s">
        <v>26</v>
      </c>
      <c r="F1004">
        <v>7</v>
      </c>
      <c r="G1004" t="s">
        <v>58</v>
      </c>
      <c r="H1004" t="s">
        <v>1969</v>
      </c>
      <c r="I1004">
        <v>73</v>
      </c>
      <c r="J1004">
        <v>51</v>
      </c>
      <c r="K1004">
        <v>44</v>
      </c>
      <c r="L1004">
        <v>61</v>
      </c>
      <c r="M1004">
        <v>46</v>
      </c>
      <c r="N1004">
        <v>53</v>
      </c>
      <c r="O1004">
        <v>255</v>
      </c>
      <c r="P1004">
        <v>51</v>
      </c>
      <c r="Q1004" t="s">
        <v>31</v>
      </c>
      <c r="R1004" t="s">
        <v>41</v>
      </c>
      <c r="S1004">
        <v>2124</v>
      </c>
      <c r="T1004" t="s">
        <v>28</v>
      </c>
      <c r="U1004" t="str">
        <f t="shared" si="15"/>
        <v>Fail</v>
      </c>
    </row>
    <row r="1005" spans="1:21">
      <c r="A1005" t="s">
        <v>1970</v>
      </c>
      <c r="B1005" t="s">
        <v>151</v>
      </c>
      <c r="C1005" t="s">
        <v>37</v>
      </c>
      <c r="D1005">
        <v>7</v>
      </c>
      <c r="E1005" t="s">
        <v>23</v>
      </c>
      <c r="F1005">
        <v>13</v>
      </c>
      <c r="G1005" t="s">
        <v>58</v>
      </c>
      <c r="H1005" t="s">
        <v>1971</v>
      </c>
      <c r="I1005">
        <v>98</v>
      </c>
      <c r="J1005">
        <v>65</v>
      </c>
      <c r="K1005">
        <v>93</v>
      </c>
      <c r="L1005">
        <v>53</v>
      </c>
      <c r="M1005">
        <v>50</v>
      </c>
      <c r="N1005">
        <v>44</v>
      </c>
      <c r="O1005">
        <v>305</v>
      </c>
      <c r="P1005">
        <v>61</v>
      </c>
      <c r="Q1005" t="s">
        <v>26</v>
      </c>
      <c r="R1005" t="s">
        <v>41</v>
      </c>
      <c r="S1005">
        <v>1904</v>
      </c>
      <c r="T1005" t="s">
        <v>34</v>
      </c>
      <c r="U1005" t="str">
        <f t="shared" si="15"/>
        <v>Pass</v>
      </c>
    </row>
    <row r="1006" spans="1:21">
      <c r="A1006" t="s">
        <v>1972</v>
      </c>
      <c r="B1006" t="s">
        <v>219</v>
      </c>
      <c r="C1006" t="s">
        <v>22</v>
      </c>
      <c r="D1006">
        <v>2</v>
      </c>
      <c r="E1006" t="s">
        <v>47</v>
      </c>
      <c r="F1006">
        <v>8</v>
      </c>
      <c r="G1006" t="s">
        <v>38</v>
      </c>
      <c r="H1006" t="s">
        <v>794</v>
      </c>
      <c r="I1006">
        <v>60</v>
      </c>
      <c r="J1006">
        <v>75</v>
      </c>
      <c r="K1006">
        <v>41</v>
      </c>
      <c r="L1006">
        <v>35</v>
      </c>
      <c r="M1006">
        <v>88</v>
      </c>
      <c r="N1006">
        <v>59</v>
      </c>
      <c r="O1006">
        <v>298</v>
      </c>
      <c r="P1006">
        <v>59.6</v>
      </c>
      <c r="Q1006" t="s">
        <v>31</v>
      </c>
      <c r="R1006" t="s">
        <v>41</v>
      </c>
      <c r="S1006">
        <v>3333</v>
      </c>
      <c r="T1006" t="s">
        <v>28</v>
      </c>
      <c r="U1006" t="str">
        <f t="shared" si="15"/>
        <v>Pass</v>
      </c>
    </row>
    <row r="1007" spans="1:21">
      <c r="A1007" t="s">
        <v>1973</v>
      </c>
      <c r="B1007" t="s">
        <v>835</v>
      </c>
      <c r="C1007" t="s">
        <v>22</v>
      </c>
      <c r="D1007">
        <v>2</v>
      </c>
      <c r="E1007" t="s">
        <v>47</v>
      </c>
      <c r="F1007">
        <v>7</v>
      </c>
      <c r="G1007" t="s">
        <v>54</v>
      </c>
      <c r="H1007" t="s">
        <v>1446</v>
      </c>
      <c r="I1007">
        <v>64</v>
      </c>
      <c r="J1007">
        <v>46</v>
      </c>
      <c r="K1007">
        <v>97</v>
      </c>
      <c r="L1007">
        <v>95</v>
      </c>
      <c r="M1007">
        <v>76</v>
      </c>
      <c r="N1007">
        <v>91</v>
      </c>
      <c r="O1007">
        <v>405</v>
      </c>
      <c r="P1007">
        <v>81</v>
      </c>
      <c r="Q1007" t="s">
        <v>47</v>
      </c>
      <c r="R1007" t="s">
        <v>27</v>
      </c>
      <c r="S1007">
        <v>4110</v>
      </c>
      <c r="T1007" t="s">
        <v>48</v>
      </c>
      <c r="U1007" t="str">
        <f t="shared" si="15"/>
        <v>Pass</v>
      </c>
    </row>
    <row r="1008" spans="1:21">
      <c r="A1008" t="s">
        <v>1974</v>
      </c>
      <c r="B1008" t="s">
        <v>50</v>
      </c>
      <c r="C1008" t="s">
        <v>22</v>
      </c>
      <c r="D1008">
        <v>10</v>
      </c>
      <c r="E1008" t="s">
        <v>31</v>
      </c>
      <c r="F1008">
        <v>14</v>
      </c>
      <c r="G1008" t="s">
        <v>54</v>
      </c>
      <c r="H1008" t="s">
        <v>1975</v>
      </c>
      <c r="I1008">
        <v>61</v>
      </c>
      <c r="J1008">
        <v>78</v>
      </c>
      <c r="K1008">
        <v>81</v>
      </c>
      <c r="L1008">
        <v>74</v>
      </c>
      <c r="M1008">
        <v>55</v>
      </c>
      <c r="N1008">
        <v>41</v>
      </c>
      <c r="O1008">
        <v>329</v>
      </c>
      <c r="P1008">
        <v>65.8</v>
      </c>
      <c r="Q1008" t="s">
        <v>26</v>
      </c>
      <c r="R1008" t="s">
        <v>41</v>
      </c>
      <c r="S1008">
        <v>1963</v>
      </c>
      <c r="T1008" t="s">
        <v>42</v>
      </c>
      <c r="U1008" t="str">
        <f t="shared" si="15"/>
        <v>Pass</v>
      </c>
    </row>
    <row r="1009" spans="1:21">
      <c r="A1009" t="s">
        <v>1976</v>
      </c>
      <c r="B1009" t="s">
        <v>36</v>
      </c>
      <c r="C1009" t="s">
        <v>22</v>
      </c>
      <c r="D1009">
        <v>4</v>
      </c>
      <c r="E1009" t="s">
        <v>26</v>
      </c>
      <c r="F1009">
        <v>9</v>
      </c>
      <c r="G1009" t="s">
        <v>38</v>
      </c>
      <c r="H1009" t="s">
        <v>1977</v>
      </c>
      <c r="I1009">
        <v>73</v>
      </c>
      <c r="J1009">
        <v>54</v>
      </c>
      <c r="K1009">
        <v>35</v>
      </c>
      <c r="L1009">
        <v>53</v>
      </c>
      <c r="M1009">
        <v>59</v>
      </c>
      <c r="N1009">
        <v>58</v>
      </c>
      <c r="O1009">
        <v>259</v>
      </c>
      <c r="P1009">
        <v>51.8</v>
      </c>
      <c r="Q1009" t="s">
        <v>31</v>
      </c>
      <c r="R1009" t="s">
        <v>27</v>
      </c>
      <c r="S1009">
        <v>3111</v>
      </c>
      <c r="T1009" t="s">
        <v>66</v>
      </c>
      <c r="U1009" t="str">
        <f t="shared" si="15"/>
        <v>Fail</v>
      </c>
    </row>
    <row r="1010" spans="1:21">
      <c r="A1010" t="s">
        <v>1978</v>
      </c>
      <c r="B1010" t="s">
        <v>735</v>
      </c>
      <c r="C1010" t="s">
        <v>22</v>
      </c>
      <c r="D1010">
        <v>8</v>
      </c>
      <c r="E1010" t="s">
        <v>47</v>
      </c>
      <c r="F1010">
        <v>12</v>
      </c>
      <c r="G1010" t="s">
        <v>24</v>
      </c>
      <c r="H1010" t="s">
        <v>1979</v>
      </c>
      <c r="I1010">
        <v>65</v>
      </c>
      <c r="J1010">
        <v>71</v>
      </c>
      <c r="K1010">
        <v>46</v>
      </c>
      <c r="L1010">
        <v>60</v>
      </c>
      <c r="M1010">
        <v>69</v>
      </c>
      <c r="N1010">
        <v>91</v>
      </c>
      <c r="O1010">
        <v>337</v>
      </c>
      <c r="P1010">
        <v>67.400000000000006</v>
      </c>
      <c r="Q1010" t="s">
        <v>26</v>
      </c>
      <c r="R1010" t="s">
        <v>27</v>
      </c>
      <c r="S1010">
        <v>1875</v>
      </c>
      <c r="T1010" t="s">
        <v>42</v>
      </c>
      <c r="U1010" t="str">
        <f t="shared" si="15"/>
        <v>Pass</v>
      </c>
    </row>
    <row r="1011" spans="1:21">
      <c r="A1011" t="s">
        <v>1980</v>
      </c>
      <c r="B1011" t="s">
        <v>81</v>
      </c>
      <c r="C1011" t="s">
        <v>37</v>
      </c>
      <c r="D1011">
        <v>11</v>
      </c>
      <c r="E1011" t="s">
        <v>31</v>
      </c>
      <c r="F1011">
        <v>17</v>
      </c>
      <c r="G1011" t="s">
        <v>24</v>
      </c>
      <c r="H1011" t="s">
        <v>1981</v>
      </c>
      <c r="I1011">
        <v>84</v>
      </c>
      <c r="J1011">
        <v>97</v>
      </c>
      <c r="K1011">
        <v>35</v>
      </c>
      <c r="L1011">
        <v>63</v>
      </c>
      <c r="M1011">
        <v>60</v>
      </c>
      <c r="N1011">
        <v>69</v>
      </c>
      <c r="O1011">
        <v>324</v>
      </c>
      <c r="P1011">
        <v>64.8</v>
      </c>
      <c r="Q1011" t="s">
        <v>26</v>
      </c>
      <c r="R1011" t="s">
        <v>27</v>
      </c>
      <c r="S1011">
        <v>1941</v>
      </c>
      <c r="T1011" t="s">
        <v>42</v>
      </c>
      <c r="U1011" t="str">
        <f t="shared" si="15"/>
        <v>Pass</v>
      </c>
    </row>
    <row r="1012" spans="1:21">
      <c r="A1012" t="s">
        <v>1982</v>
      </c>
      <c r="B1012" t="s">
        <v>118</v>
      </c>
      <c r="C1012" t="s">
        <v>22</v>
      </c>
      <c r="D1012">
        <v>10</v>
      </c>
      <c r="E1012" t="s">
        <v>26</v>
      </c>
      <c r="F1012">
        <v>14</v>
      </c>
      <c r="G1012" t="s">
        <v>32</v>
      </c>
      <c r="H1012" t="s">
        <v>1983</v>
      </c>
      <c r="I1012">
        <v>77</v>
      </c>
      <c r="J1012">
        <v>77</v>
      </c>
      <c r="K1012">
        <v>77</v>
      </c>
      <c r="L1012">
        <v>47</v>
      </c>
      <c r="M1012">
        <v>80</v>
      </c>
      <c r="N1012">
        <v>59</v>
      </c>
      <c r="O1012">
        <v>340</v>
      </c>
      <c r="P1012">
        <v>68</v>
      </c>
      <c r="Q1012" t="s">
        <v>26</v>
      </c>
      <c r="R1012" t="s">
        <v>41</v>
      </c>
      <c r="S1012">
        <v>3937</v>
      </c>
      <c r="T1012" t="s">
        <v>34</v>
      </c>
      <c r="U1012" t="str">
        <f t="shared" si="15"/>
        <v>Pass</v>
      </c>
    </row>
    <row r="1013" spans="1:21">
      <c r="A1013" t="s">
        <v>1984</v>
      </c>
      <c r="B1013" t="s">
        <v>708</v>
      </c>
      <c r="C1013" t="s">
        <v>37</v>
      </c>
      <c r="D1013">
        <v>8</v>
      </c>
      <c r="E1013" t="s">
        <v>31</v>
      </c>
      <c r="F1013">
        <v>14</v>
      </c>
      <c r="G1013" t="s">
        <v>38</v>
      </c>
      <c r="H1013" t="s">
        <v>1985</v>
      </c>
      <c r="I1013">
        <v>91</v>
      </c>
      <c r="J1013">
        <v>79</v>
      </c>
      <c r="K1013">
        <v>73</v>
      </c>
      <c r="L1013">
        <v>36</v>
      </c>
      <c r="M1013">
        <v>65</v>
      </c>
      <c r="N1013">
        <v>84</v>
      </c>
      <c r="O1013">
        <v>337</v>
      </c>
      <c r="P1013">
        <v>67.400000000000006</v>
      </c>
      <c r="Q1013" t="s">
        <v>26</v>
      </c>
      <c r="R1013" t="s">
        <v>27</v>
      </c>
      <c r="S1013">
        <v>2040</v>
      </c>
      <c r="T1013" t="s">
        <v>48</v>
      </c>
      <c r="U1013" t="str">
        <f t="shared" si="15"/>
        <v>Pass</v>
      </c>
    </row>
    <row r="1014" spans="1:21">
      <c r="A1014" t="s">
        <v>1986</v>
      </c>
      <c r="B1014" t="s">
        <v>151</v>
      </c>
      <c r="C1014" t="s">
        <v>37</v>
      </c>
      <c r="D1014">
        <v>2</v>
      </c>
      <c r="E1014" t="s">
        <v>31</v>
      </c>
      <c r="F1014">
        <v>8</v>
      </c>
      <c r="G1014" t="s">
        <v>54</v>
      </c>
      <c r="H1014" t="s">
        <v>1987</v>
      </c>
      <c r="I1014">
        <v>81</v>
      </c>
      <c r="J1014">
        <v>45</v>
      </c>
      <c r="K1014">
        <v>71</v>
      </c>
      <c r="L1014">
        <v>45</v>
      </c>
      <c r="M1014">
        <v>61</v>
      </c>
      <c r="N1014">
        <v>91</v>
      </c>
      <c r="O1014">
        <v>313</v>
      </c>
      <c r="P1014">
        <v>62.6</v>
      </c>
      <c r="Q1014" t="s">
        <v>26</v>
      </c>
      <c r="R1014" t="s">
        <v>27</v>
      </c>
      <c r="S1014">
        <v>3777</v>
      </c>
      <c r="T1014" t="s">
        <v>42</v>
      </c>
      <c r="U1014" t="str">
        <f t="shared" si="15"/>
        <v>Pass</v>
      </c>
    </row>
    <row r="1015" spans="1:21">
      <c r="A1015" t="s">
        <v>1988</v>
      </c>
      <c r="B1015" t="s">
        <v>148</v>
      </c>
      <c r="C1015" t="s">
        <v>22</v>
      </c>
      <c r="D1015">
        <v>9</v>
      </c>
      <c r="E1015" t="s">
        <v>31</v>
      </c>
      <c r="F1015">
        <v>13</v>
      </c>
      <c r="G1015" t="s">
        <v>24</v>
      </c>
      <c r="H1015" t="s">
        <v>733</v>
      </c>
      <c r="I1015">
        <v>87</v>
      </c>
      <c r="J1015">
        <v>59</v>
      </c>
      <c r="K1015">
        <v>40</v>
      </c>
      <c r="L1015">
        <v>95</v>
      </c>
      <c r="M1015">
        <v>65</v>
      </c>
      <c r="N1015">
        <v>84</v>
      </c>
      <c r="O1015">
        <v>343</v>
      </c>
      <c r="P1015">
        <v>68.599999999999994</v>
      </c>
      <c r="Q1015" t="s">
        <v>26</v>
      </c>
      <c r="R1015" t="s">
        <v>27</v>
      </c>
      <c r="S1015">
        <v>3967</v>
      </c>
      <c r="T1015" t="s">
        <v>48</v>
      </c>
      <c r="U1015" t="str">
        <f t="shared" si="15"/>
        <v>Pass</v>
      </c>
    </row>
    <row r="1016" spans="1:21">
      <c r="A1016" t="s">
        <v>1989</v>
      </c>
      <c r="B1016" t="s">
        <v>256</v>
      </c>
      <c r="C1016" t="s">
        <v>37</v>
      </c>
      <c r="D1016">
        <v>6</v>
      </c>
      <c r="E1016" t="s">
        <v>31</v>
      </c>
      <c r="F1016">
        <v>10</v>
      </c>
      <c r="G1016" t="s">
        <v>54</v>
      </c>
      <c r="H1016" t="s">
        <v>1990</v>
      </c>
      <c r="I1016">
        <v>72</v>
      </c>
      <c r="J1016">
        <v>92</v>
      </c>
      <c r="K1016">
        <v>46</v>
      </c>
      <c r="L1016">
        <v>86</v>
      </c>
      <c r="M1016">
        <v>79</v>
      </c>
      <c r="N1016">
        <v>67</v>
      </c>
      <c r="O1016">
        <v>370</v>
      </c>
      <c r="P1016">
        <v>74</v>
      </c>
      <c r="Q1016" t="s">
        <v>40</v>
      </c>
      <c r="R1016" t="s">
        <v>41</v>
      </c>
      <c r="S1016">
        <v>2415</v>
      </c>
      <c r="T1016" t="s">
        <v>66</v>
      </c>
      <c r="U1016" t="str">
        <f t="shared" si="15"/>
        <v>Pass</v>
      </c>
    </row>
    <row r="1017" spans="1:21">
      <c r="A1017" t="s">
        <v>1991</v>
      </c>
      <c r="B1017" t="s">
        <v>913</v>
      </c>
      <c r="C1017" t="s">
        <v>22</v>
      </c>
      <c r="D1017">
        <v>10</v>
      </c>
      <c r="E1017" t="s">
        <v>31</v>
      </c>
      <c r="F1017">
        <v>15</v>
      </c>
      <c r="G1017" t="s">
        <v>24</v>
      </c>
      <c r="H1017" t="s">
        <v>1111</v>
      </c>
      <c r="I1017">
        <v>95</v>
      </c>
      <c r="J1017">
        <v>40</v>
      </c>
      <c r="K1017">
        <v>75</v>
      </c>
      <c r="L1017">
        <v>71</v>
      </c>
      <c r="M1017">
        <v>90</v>
      </c>
      <c r="N1017">
        <v>96</v>
      </c>
      <c r="O1017">
        <v>372</v>
      </c>
      <c r="P1017">
        <v>74.400000000000006</v>
      </c>
      <c r="Q1017" t="s">
        <v>40</v>
      </c>
      <c r="R1017" t="s">
        <v>27</v>
      </c>
      <c r="S1017">
        <v>2423</v>
      </c>
      <c r="T1017" t="s">
        <v>48</v>
      </c>
      <c r="U1017" t="str">
        <f t="shared" si="15"/>
        <v>Pass</v>
      </c>
    </row>
    <row r="1018" spans="1:21">
      <c r="A1018" t="s">
        <v>1992</v>
      </c>
      <c r="B1018" t="s">
        <v>151</v>
      </c>
      <c r="C1018" t="s">
        <v>37</v>
      </c>
      <c r="D1018">
        <v>12</v>
      </c>
      <c r="E1018" t="s">
        <v>26</v>
      </c>
      <c r="F1018">
        <v>17</v>
      </c>
      <c r="G1018" t="s">
        <v>58</v>
      </c>
      <c r="H1018" t="s">
        <v>1993</v>
      </c>
      <c r="I1018">
        <v>65</v>
      </c>
      <c r="J1018">
        <v>73</v>
      </c>
      <c r="K1018">
        <v>72</v>
      </c>
      <c r="L1018">
        <v>63</v>
      </c>
      <c r="M1018">
        <v>42</v>
      </c>
      <c r="N1018">
        <v>81</v>
      </c>
      <c r="O1018">
        <v>331</v>
      </c>
      <c r="P1018">
        <v>66.2</v>
      </c>
      <c r="Q1018" t="s">
        <v>26</v>
      </c>
      <c r="R1018" t="s">
        <v>41</v>
      </c>
      <c r="S1018">
        <v>2442</v>
      </c>
      <c r="T1018" t="s">
        <v>70</v>
      </c>
      <c r="U1018" t="str">
        <f t="shared" si="15"/>
        <v>Pass</v>
      </c>
    </row>
    <row r="1019" spans="1:21">
      <c r="A1019" t="s">
        <v>1994</v>
      </c>
      <c r="B1019" t="s">
        <v>202</v>
      </c>
      <c r="C1019" t="s">
        <v>37</v>
      </c>
      <c r="D1019">
        <v>5</v>
      </c>
      <c r="E1019" t="s">
        <v>23</v>
      </c>
      <c r="F1019">
        <v>10</v>
      </c>
      <c r="G1019" t="s">
        <v>24</v>
      </c>
      <c r="H1019" t="s">
        <v>1568</v>
      </c>
      <c r="I1019">
        <v>92</v>
      </c>
      <c r="J1019">
        <v>52</v>
      </c>
      <c r="K1019">
        <v>87</v>
      </c>
      <c r="L1019">
        <v>100</v>
      </c>
      <c r="M1019">
        <v>85</v>
      </c>
      <c r="N1019">
        <v>68</v>
      </c>
      <c r="O1019">
        <v>392</v>
      </c>
      <c r="P1019">
        <v>78.400000000000006</v>
      </c>
      <c r="Q1019" t="s">
        <v>40</v>
      </c>
      <c r="R1019" t="s">
        <v>27</v>
      </c>
      <c r="S1019">
        <v>4884</v>
      </c>
      <c r="T1019" t="s">
        <v>42</v>
      </c>
      <c r="U1019" t="str">
        <f t="shared" si="15"/>
        <v>Pass</v>
      </c>
    </row>
    <row r="1020" spans="1:21">
      <c r="A1020" t="s">
        <v>1995</v>
      </c>
      <c r="B1020" t="s">
        <v>884</v>
      </c>
      <c r="C1020" t="s">
        <v>37</v>
      </c>
      <c r="D1020">
        <v>10</v>
      </c>
      <c r="E1020" t="s">
        <v>31</v>
      </c>
      <c r="F1020">
        <v>16</v>
      </c>
      <c r="G1020" t="s">
        <v>54</v>
      </c>
      <c r="H1020" t="s">
        <v>1996</v>
      </c>
      <c r="I1020">
        <v>84</v>
      </c>
      <c r="J1020">
        <v>96</v>
      </c>
      <c r="K1020">
        <v>63</v>
      </c>
      <c r="L1020">
        <v>71</v>
      </c>
      <c r="M1020">
        <v>65</v>
      </c>
      <c r="N1020">
        <v>99</v>
      </c>
      <c r="O1020">
        <v>394</v>
      </c>
      <c r="P1020">
        <v>78.8</v>
      </c>
      <c r="Q1020" t="s">
        <v>40</v>
      </c>
      <c r="R1020" t="s">
        <v>27</v>
      </c>
      <c r="S1020">
        <v>4762</v>
      </c>
      <c r="T1020" t="s">
        <v>70</v>
      </c>
      <c r="U1020" t="str">
        <f t="shared" si="15"/>
        <v>Pass</v>
      </c>
    </row>
    <row r="1021" spans="1:21">
      <c r="A1021" t="s">
        <v>1997</v>
      </c>
      <c r="B1021" t="s">
        <v>445</v>
      </c>
      <c r="C1021" t="s">
        <v>37</v>
      </c>
      <c r="D1021">
        <v>4</v>
      </c>
      <c r="E1021" t="s">
        <v>47</v>
      </c>
      <c r="F1021">
        <v>8</v>
      </c>
      <c r="G1021" t="s">
        <v>54</v>
      </c>
      <c r="H1021" t="s">
        <v>1998</v>
      </c>
      <c r="I1021">
        <v>66</v>
      </c>
      <c r="J1021">
        <v>81</v>
      </c>
      <c r="K1021">
        <v>40</v>
      </c>
      <c r="L1021">
        <v>86</v>
      </c>
      <c r="M1021">
        <v>43</v>
      </c>
      <c r="N1021">
        <v>55</v>
      </c>
      <c r="O1021">
        <v>305</v>
      </c>
      <c r="P1021">
        <v>61</v>
      </c>
      <c r="Q1021" t="s">
        <v>26</v>
      </c>
      <c r="R1021" t="s">
        <v>41</v>
      </c>
      <c r="S1021">
        <v>4221</v>
      </c>
      <c r="T1021" t="s">
        <v>66</v>
      </c>
      <c r="U1021" t="str">
        <f t="shared" si="15"/>
        <v>Pass</v>
      </c>
    </row>
    <row r="1022" spans="1:21">
      <c r="A1022" t="s">
        <v>1999</v>
      </c>
      <c r="B1022" t="s">
        <v>562</v>
      </c>
      <c r="C1022" t="s">
        <v>22</v>
      </c>
      <c r="D1022">
        <v>9</v>
      </c>
      <c r="E1022" t="s">
        <v>23</v>
      </c>
      <c r="F1022">
        <v>13</v>
      </c>
      <c r="G1022" t="s">
        <v>32</v>
      </c>
      <c r="H1022" t="s">
        <v>2000</v>
      </c>
      <c r="I1022">
        <v>70</v>
      </c>
      <c r="J1022">
        <v>80</v>
      </c>
      <c r="K1022">
        <v>69</v>
      </c>
      <c r="L1022">
        <v>76</v>
      </c>
      <c r="M1022">
        <v>91</v>
      </c>
      <c r="N1022">
        <v>60</v>
      </c>
      <c r="O1022">
        <v>376</v>
      </c>
      <c r="P1022">
        <v>75.2</v>
      </c>
      <c r="Q1022" t="s">
        <v>40</v>
      </c>
      <c r="R1022" t="s">
        <v>41</v>
      </c>
      <c r="S1022">
        <v>1943</v>
      </c>
      <c r="T1022" t="s">
        <v>48</v>
      </c>
      <c r="U1022" t="str">
        <f t="shared" si="15"/>
        <v>Pass</v>
      </c>
    </row>
    <row r="1023" spans="1:21">
      <c r="A1023" t="s">
        <v>2001</v>
      </c>
      <c r="B1023" t="s">
        <v>375</v>
      </c>
      <c r="C1023" t="s">
        <v>37</v>
      </c>
      <c r="D1023">
        <v>12</v>
      </c>
      <c r="E1023" t="s">
        <v>26</v>
      </c>
      <c r="F1023">
        <v>18</v>
      </c>
      <c r="G1023" t="s">
        <v>58</v>
      </c>
      <c r="H1023" t="s">
        <v>2002</v>
      </c>
      <c r="I1023">
        <v>63</v>
      </c>
      <c r="J1023">
        <v>77</v>
      </c>
      <c r="K1023">
        <v>44</v>
      </c>
      <c r="L1023">
        <v>73</v>
      </c>
      <c r="M1023">
        <v>42</v>
      </c>
      <c r="N1023">
        <v>95</v>
      </c>
      <c r="O1023">
        <v>331</v>
      </c>
      <c r="P1023">
        <v>66.2</v>
      </c>
      <c r="Q1023" t="s">
        <v>26</v>
      </c>
      <c r="R1023" t="s">
        <v>27</v>
      </c>
      <c r="S1023">
        <v>1908</v>
      </c>
      <c r="T1023" t="s">
        <v>66</v>
      </c>
      <c r="U1023" t="str">
        <f t="shared" si="15"/>
        <v>Pass</v>
      </c>
    </row>
    <row r="1024" spans="1:21">
      <c r="A1024" t="s">
        <v>2003</v>
      </c>
      <c r="B1024" t="s">
        <v>389</v>
      </c>
      <c r="C1024" t="s">
        <v>22</v>
      </c>
      <c r="D1024">
        <v>8</v>
      </c>
      <c r="E1024" t="s">
        <v>47</v>
      </c>
      <c r="F1024">
        <v>13</v>
      </c>
      <c r="G1024" t="s">
        <v>64</v>
      </c>
      <c r="H1024" t="s">
        <v>1860</v>
      </c>
      <c r="I1024">
        <v>69</v>
      </c>
      <c r="J1024">
        <v>41</v>
      </c>
      <c r="K1024">
        <v>54</v>
      </c>
      <c r="L1024">
        <v>74</v>
      </c>
      <c r="M1024">
        <v>51</v>
      </c>
      <c r="N1024">
        <v>70</v>
      </c>
      <c r="O1024">
        <v>290</v>
      </c>
      <c r="P1024">
        <v>58</v>
      </c>
      <c r="Q1024" t="s">
        <v>31</v>
      </c>
      <c r="R1024" t="s">
        <v>27</v>
      </c>
      <c r="S1024">
        <v>3079</v>
      </c>
      <c r="T1024" t="s">
        <v>70</v>
      </c>
      <c r="U1024" t="str">
        <f t="shared" si="15"/>
        <v>Pass</v>
      </c>
    </row>
    <row r="1025" spans="1:21">
      <c r="A1025" t="s">
        <v>2004</v>
      </c>
      <c r="B1025" t="s">
        <v>190</v>
      </c>
      <c r="C1025" t="s">
        <v>37</v>
      </c>
      <c r="D1025">
        <v>8</v>
      </c>
      <c r="E1025" t="s">
        <v>47</v>
      </c>
      <c r="F1025">
        <v>14</v>
      </c>
      <c r="G1025" t="s">
        <v>45</v>
      </c>
      <c r="H1025" t="s">
        <v>1776</v>
      </c>
      <c r="I1025">
        <v>82</v>
      </c>
      <c r="J1025">
        <v>100</v>
      </c>
      <c r="K1025">
        <v>73</v>
      </c>
      <c r="L1025">
        <v>95</v>
      </c>
      <c r="M1025">
        <v>93</v>
      </c>
      <c r="N1025">
        <v>86</v>
      </c>
      <c r="O1025">
        <v>447</v>
      </c>
      <c r="P1025">
        <v>89.4</v>
      </c>
      <c r="Q1025" t="s">
        <v>47</v>
      </c>
      <c r="R1025" t="s">
        <v>27</v>
      </c>
      <c r="S1025">
        <v>3945</v>
      </c>
      <c r="T1025" t="s">
        <v>66</v>
      </c>
      <c r="U1025" t="str">
        <f t="shared" si="15"/>
        <v>Pass</v>
      </c>
    </row>
    <row r="1026" spans="1:21">
      <c r="A1026" t="s">
        <v>2005</v>
      </c>
      <c r="B1026" t="s">
        <v>819</v>
      </c>
      <c r="C1026" t="s">
        <v>37</v>
      </c>
      <c r="D1026">
        <v>9</v>
      </c>
      <c r="E1026" t="s">
        <v>26</v>
      </c>
      <c r="F1026">
        <v>15</v>
      </c>
      <c r="G1026" t="s">
        <v>24</v>
      </c>
      <c r="H1026" t="s">
        <v>1350</v>
      </c>
      <c r="I1026">
        <v>95</v>
      </c>
      <c r="J1026">
        <v>96</v>
      </c>
      <c r="K1026">
        <v>55</v>
      </c>
      <c r="L1026">
        <v>42</v>
      </c>
      <c r="M1026">
        <v>65</v>
      </c>
      <c r="N1026">
        <v>35</v>
      </c>
      <c r="O1026">
        <v>293</v>
      </c>
      <c r="P1026">
        <v>58.6</v>
      </c>
      <c r="Q1026" t="s">
        <v>31</v>
      </c>
      <c r="R1026" t="s">
        <v>41</v>
      </c>
      <c r="S1026">
        <v>3443</v>
      </c>
      <c r="T1026" t="s">
        <v>66</v>
      </c>
      <c r="U1026" t="str">
        <f t="shared" si="15"/>
        <v>Pass</v>
      </c>
    </row>
    <row r="1027" spans="1:21">
      <c r="A1027" t="s">
        <v>2006</v>
      </c>
      <c r="B1027" t="s">
        <v>107</v>
      </c>
      <c r="C1027" t="s">
        <v>22</v>
      </c>
      <c r="D1027">
        <v>3</v>
      </c>
      <c r="E1027" t="s">
        <v>26</v>
      </c>
      <c r="F1027">
        <v>7</v>
      </c>
      <c r="G1027" t="s">
        <v>38</v>
      </c>
      <c r="H1027" t="s">
        <v>538</v>
      </c>
      <c r="I1027">
        <v>73</v>
      </c>
      <c r="J1027">
        <v>78</v>
      </c>
      <c r="K1027">
        <v>47</v>
      </c>
      <c r="L1027">
        <v>78</v>
      </c>
      <c r="M1027">
        <v>70</v>
      </c>
      <c r="N1027">
        <v>74</v>
      </c>
      <c r="O1027">
        <v>347</v>
      </c>
      <c r="P1027">
        <v>69.400000000000006</v>
      </c>
      <c r="Q1027" t="s">
        <v>26</v>
      </c>
      <c r="R1027" t="s">
        <v>27</v>
      </c>
      <c r="S1027">
        <v>1958</v>
      </c>
      <c r="T1027" t="s">
        <v>28</v>
      </c>
      <c r="U1027" t="str">
        <f t="shared" ref="U1027:U1090" si="16">IF(P1027&gt;55,"Pass","Fail")</f>
        <v>Pass</v>
      </c>
    </row>
    <row r="1028" spans="1:21">
      <c r="A1028" t="s">
        <v>2007</v>
      </c>
      <c r="B1028" t="s">
        <v>582</v>
      </c>
      <c r="C1028" t="s">
        <v>22</v>
      </c>
      <c r="D1028">
        <v>11</v>
      </c>
      <c r="E1028" t="s">
        <v>23</v>
      </c>
      <c r="F1028">
        <v>17</v>
      </c>
      <c r="G1028" t="s">
        <v>54</v>
      </c>
      <c r="H1028" t="s">
        <v>1996</v>
      </c>
      <c r="I1028">
        <v>66</v>
      </c>
      <c r="J1028">
        <v>93</v>
      </c>
      <c r="K1028">
        <v>88</v>
      </c>
      <c r="L1028">
        <v>69</v>
      </c>
      <c r="M1028">
        <v>85</v>
      </c>
      <c r="N1028">
        <v>67</v>
      </c>
      <c r="O1028">
        <v>402</v>
      </c>
      <c r="P1028">
        <v>80.400000000000006</v>
      </c>
      <c r="Q1028" t="s">
        <v>47</v>
      </c>
      <c r="R1028" t="s">
        <v>27</v>
      </c>
      <c r="S1028">
        <v>2113</v>
      </c>
      <c r="T1028" t="s">
        <v>34</v>
      </c>
      <c r="U1028" t="str">
        <f t="shared" si="16"/>
        <v>Pass</v>
      </c>
    </row>
    <row r="1029" spans="1:21">
      <c r="A1029" t="s">
        <v>2008</v>
      </c>
      <c r="B1029" t="s">
        <v>50</v>
      </c>
      <c r="C1029" t="s">
        <v>22</v>
      </c>
      <c r="D1029">
        <v>7</v>
      </c>
      <c r="E1029" t="s">
        <v>31</v>
      </c>
      <c r="F1029">
        <v>11</v>
      </c>
      <c r="G1029" t="s">
        <v>58</v>
      </c>
      <c r="H1029" t="s">
        <v>1560</v>
      </c>
      <c r="I1029">
        <v>78</v>
      </c>
      <c r="J1029">
        <v>99</v>
      </c>
      <c r="K1029">
        <v>40</v>
      </c>
      <c r="L1029">
        <v>62</v>
      </c>
      <c r="M1029">
        <v>42</v>
      </c>
      <c r="N1029">
        <v>77</v>
      </c>
      <c r="O1029">
        <v>320</v>
      </c>
      <c r="P1029">
        <v>64</v>
      </c>
      <c r="Q1029" t="s">
        <v>26</v>
      </c>
      <c r="R1029" t="s">
        <v>41</v>
      </c>
      <c r="S1029">
        <v>4078</v>
      </c>
      <c r="T1029" t="s">
        <v>42</v>
      </c>
      <c r="U1029" t="str">
        <f t="shared" si="16"/>
        <v>Pass</v>
      </c>
    </row>
    <row r="1030" spans="1:21">
      <c r="A1030" t="s">
        <v>2009</v>
      </c>
      <c r="B1030" t="s">
        <v>735</v>
      </c>
      <c r="C1030" t="s">
        <v>37</v>
      </c>
      <c r="D1030">
        <v>5</v>
      </c>
      <c r="E1030" t="s">
        <v>47</v>
      </c>
      <c r="F1030">
        <v>11</v>
      </c>
      <c r="G1030" t="s">
        <v>58</v>
      </c>
      <c r="H1030" t="s">
        <v>2010</v>
      </c>
      <c r="I1030">
        <v>89</v>
      </c>
      <c r="J1030">
        <v>37</v>
      </c>
      <c r="K1030">
        <v>37</v>
      </c>
      <c r="L1030">
        <v>98</v>
      </c>
      <c r="M1030">
        <v>96</v>
      </c>
      <c r="N1030">
        <v>50</v>
      </c>
      <c r="O1030">
        <v>318</v>
      </c>
      <c r="P1030">
        <v>63.6</v>
      </c>
      <c r="Q1030" t="s">
        <v>26</v>
      </c>
      <c r="R1030" t="s">
        <v>41</v>
      </c>
      <c r="S1030">
        <v>3701</v>
      </c>
      <c r="T1030" t="s">
        <v>28</v>
      </c>
      <c r="U1030" t="str">
        <f t="shared" si="16"/>
        <v>Pass</v>
      </c>
    </row>
    <row r="1031" spans="1:21">
      <c r="A1031" t="s">
        <v>2011</v>
      </c>
      <c r="B1031" t="s">
        <v>126</v>
      </c>
      <c r="C1031" t="s">
        <v>37</v>
      </c>
      <c r="D1031">
        <v>7</v>
      </c>
      <c r="E1031" t="s">
        <v>23</v>
      </c>
      <c r="F1031">
        <v>11</v>
      </c>
      <c r="G1031" t="s">
        <v>38</v>
      </c>
      <c r="H1031" t="s">
        <v>2012</v>
      </c>
      <c r="I1031">
        <v>69</v>
      </c>
      <c r="J1031">
        <v>74</v>
      </c>
      <c r="K1031">
        <v>76</v>
      </c>
      <c r="L1031">
        <v>49</v>
      </c>
      <c r="M1031">
        <v>42</v>
      </c>
      <c r="N1031">
        <v>92</v>
      </c>
      <c r="O1031">
        <v>333</v>
      </c>
      <c r="P1031">
        <v>66.599999999999994</v>
      </c>
      <c r="Q1031" t="s">
        <v>26</v>
      </c>
      <c r="R1031" t="s">
        <v>41</v>
      </c>
      <c r="S1031">
        <v>3610</v>
      </c>
      <c r="T1031" t="s">
        <v>48</v>
      </c>
      <c r="U1031" t="str">
        <f t="shared" si="16"/>
        <v>Pass</v>
      </c>
    </row>
    <row r="1032" spans="1:21">
      <c r="A1032" t="s">
        <v>2013</v>
      </c>
      <c r="B1032" t="s">
        <v>175</v>
      </c>
      <c r="C1032" t="s">
        <v>37</v>
      </c>
      <c r="D1032">
        <v>8</v>
      </c>
      <c r="E1032" t="s">
        <v>23</v>
      </c>
      <c r="F1032">
        <v>12</v>
      </c>
      <c r="G1032" t="s">
        <v>45</v>
      </c>
      <c r="H1032" t="s">
        <v>725</v>
      </c>
      <c r="I1032">
        <v>90</v>
      </c>
      <c r="J1032">
        <v>70</v>
      </c>
      <c r="K1032">
        <v>41</v>
      </c>
      <c r="L1032">
        <v>49</v>
      </c>
      <c r="M1032">
        <v>52</v>
      </c>
      <c r="N1032">
        <v>98</v>
      </c>
      <c r="O1032">
        <v>310</v>
      </c>
      <c r="P1032">
        <v>62</v>
      </c>
      <c r="Q1032" t="s">
        <v>26</v>
      </c>
      <c r="R1032" t="s">
        <v>27</v>
      </c>
      <c r="S1032">
        <v>4035</v>
      </c>
      <c r="T1032" t="s">
        <v>42</v>
      </c>
      <c r="U1032" t="str">
        <f t="shared" si="16"/>
        <v>Pass</v>
      </c>
    </row>
    <row r="1033" spans="1:21">
      <c r="A1033" t="s">
        <v>2014</v>
      </c>
      <c r="B1033" t="s">
        <v>493</v>
      </c>
      <c r="C1033" t="s">
        <v>37</v>
      </c>
      <c r="D1033">
        <v>3</v>
      </c>
      <c r="E1033" t="s">
        <v>23</v>
      </c>
      <c r="F1033">
        <v>8</v>
      </c>
      <c r="G1033" t="s">
        <v>38</v>
      </c>
      <c r="H1033" t="s">
        <v>2015</v>
      </c>
      <c r="I1033">
        <v>69</v>
      </c>
      <c r="J1033">
        <v>76</v>
      </c>
      <c r="K1033">
        <v>48</v>
      </c>
      <c r="L1033">
        <v>48</v>
      </c>
      <c r="M1033">
        <v>37</v>
      </c>
      <c r="N1033">
        <v>82</v>
      </c>
      <c r="O1033">
        <v>291</v>
      </c>
      <c r="P1033">
        <v>58.2</v>
      </c>
      <c r="Q1033" t="s">
        <v>31</v>
      </c>
      <c r="R1033" t="s">
        <v>27</v>
      </c>
      <c r="S1033">
        <v>4567</v>
      </c>
      <c r="T1033" t="s">
        <v>42</v>
      </c>
      <c r="U1033" t="str">
        <f t="shared" si="16"/>
        <v>Pass</v>
      </c>
    </row>
    <row r="1034" spans="1:21">
      <c r="A1034" t="s">
        <v>2016</v>
      </c>
      <c r="B1034" t="s">
        <v>525</v>
      </c>
      <c r="C1034" t="s">
        <v>37</v>
      </c>
      <c r="D1034">
        <v>12</v>
      </c>
      <c r="E1034" t="s">
        <v>26</v>
      </c>
      <c r="F1034">
        <v>16</v>
      </c>
      <c r="G1034" t="s">
        <v>54</v>
      </c>
      <c r="H1034" t="s">
        <v>2017</v>
      </c>
      <c r="I1034">
        <v>72</v>
      </c>
      <c r="J1034">
        <v>70</v>
      </c>
      <c r="K1034">
        <v>83</v>
      </c>
      <c r="L1034">
        <v>57</v>
      </c>
      <c r="M1034">
        <v>53</v>
      </c>
      <c r="N1034">
        <v>57</v>
      </c>
      <c r="O1034">
        <v>320</v>
      </c>
      <c r="P1034">
        <v>64</v>
      </c>
      <c r="Q1034" t="s">
        <v>26</v>
      </c>
      <c r="R1034" t="s">
        <v>41</v>
      </c>
      <c r="S1034">
        <v>1726</v>
      </c>
      <c r="T1034" t="s">
        <v>70</v>
      </c>
      <c r="U1034" t="str">
        <f t="shared" si="16"/>
        <v>Pass</v>
      </c>
    </row>
    <row r="1035" spans="1:21">
      <c r="A1035" t="s">
        <v>2018</v>
      </c>
      <c r="B1035" t="s">
        <v>87</v>
      </c>
      <c r="C1035" t="s">
        <v>22</v>
      </c>
      <c r="D1035">
        <v>11</v>
      </c>
      <c r="E1035" t="s">
        <v>26</v>
      </c>
      <c r="F1035">
        <v>15</v>
      </c>
      <c r="G1035" t="s">
        <v>64</v>
      </c>
      <c r="H1035" t="s">
        <v>2019</v>
      </c>
      <c r="I1035">
        <v>60</v>
      </c>
      <c r="J1035">
        <v>76</v>
      </c>
      <c r="K1035">
        <v>56</v>
      </c>
      <c r="L1035">
        <v>93</v>
      </c>
      <c r="M1035">
        <v>78</v>
      </c>
      <c r="N1035">
        <v>96</v>
      </c>
      <c r="O1035">
        <v>399</v>
      </c>
      <c r="P1035">
        <v>79.8</v>
      </c>
      <c r="Q1035" t="s">
        <v>40</v>
      </c>
      <c r="R1035" t="s">
        <v>27</v>
      </c>
      <c r="S1035">
        <v>2666</v>
      </c>
      <c r="T1035" t="s">
        <v>48</v>
      </c>
      <c r="U1035" t="str">
        <f t="shared" si="16"/>
        <v>Pass</v>
      </c>
    </row>
    <row r="1036" spans="1:21">
      <c r="A1036" t="s">
        <v>2020</v>
      </c>
      <c r="B1036" t="s">
        <v>242</v>
      </c>
      <c r="C1036" t="s">
        <v>37</v>
      </c>
      <c r="D1036">
        <v>12</v>
      </c>
      <c r="E1036" t="s">
        <v>47</v>
      </c>
      <c r="F1036">
        <v>17</v>
      </c>
      <c r="G1036" t="s">
        <v>58</v>
      </c>
      <c r="H1036" t="s">
        <v>2021</v>
      </c>
      <c r="I1036">
        <v>70</v>
      </c>
      <c r="J1036">
        <v>51</v>
      </c>
      <c r="K1036">
        <v>85</v>
      </c>
      <c r="L1036">
        <v>68</v>
      </c>
      <c r="M1036">
        <v>75</v>
      </c>
      <c r="N1036">
        <v>51</v>
      </c>
      <c r="O1036">
        <v>330</v>
      </c>
      <c r="P1036">
        <v>66</v>
      </c>
      <c r="Q1036" t="s">
        <v>26</v>
      </c>
      <c r="R1036" t="s">
        <v>27</v>
      </c>
      <c r="S1036">
        <v>2073</v>
      </c>
      <c r="T1036" t="s">
        <v>34</v>
      </c>
      <c r="U1036" t="str">
        <f t="shared" si="16"/>
        <v>Pass</v>
      </c>
    </row>
    <row r="1037" spans="1:21">
      <c r="A1037" t="s">
        <v>2022</v>
      </c>
      <c r="B1037" t="s">
        <v>389</v>
      </c>
      <c r="C1037" t="s">
        <v>22</v>
      </c>
      <c r="D1037">
        <v>11</v>
      </c>
      <c r="E1037" t="s">
        <v>23</v>
      </c>
      <c r="F1037">
        <v>15</v>
      </c>
      <c r="G1037" t="s">
        <v>64</v>
      </c>
      <c r="H1037" t="s">
        <v>2023</v>
      </c>
      <c r="I1037">
        <v>95</v>
      </c>
      <c r="J1037">
        <v>99</v>
      </c>
      <c r="K1037">
        <v>63</v>
      </c>
      <c r="L1037">
        <v>71</v>
      </c>
      <c r="M1037">
        <v>39</v>
      </c>
      <c r="N1037">
        <v>42</v>
      </c>
      <c r="O1037">
        <v>314</v>
      </c>
      <c r="P1037">
        <v>62.8</v>
      </c>
      <c r="Q1037" t="s">
        <v>26</v>
      </c>
      <c r="R1037" t="s">
        <v>27</v>
      </c>
      <c r="S1037">
        <v>1552</v>
      </c>
      <c r="T1037" t="s">
        <v>66</v>
      </c>
      <c r="U1037" t="str">
        <f t="shared" si="16"/>
        <v>Pass</v>
      </c>
    </row>
    <row r="1038" spans="1:21">
      <c r="A1038" t="s">
        <v>2024</v>
      </c>
      <c r="B1038" t="s">
        <v>1417</v>
      </c>
      <c r="C1038" t="s">
        <v>37</v>
      </c>
      <c r="D1038">
        <v>5</v>
      </c>
      <c r="E1038" t="s">
        <v>47</v>
      </c>
      <c r="F1038">
        <v>11</v>
      </c>
      <c r="G1038" t="s">
        <v>64</v>
      </c>
      <c r="H1038" t="s">
        <v>2025</v>
      </c>
      <c r="I1038">
        <v>95</v>
      </c>
      <c r="J1038">
        <v>97</v>
      </c>
      <c r="K1038">
        <v>99</v>
      </c>
      <c r="L1038">
        <v>79</v>
      </c>
      <c r="M1038">
        <v>50</v>
      </c>
      <c r="N1038">
        <v>99</v>
      </c>
      <c r="O1038">
        <v>424</v>
      </c>
      <c r="P1038">
        <v>84.8</v>
      </c>
      <c r="Q1038" t="s">
        <v>47</v>
      </c>
      <c r="R1038" t="s">
        <v>27</v>
      </c>
      <c r="S1038">
        <v>4038</v>
      </c>
      <c r="T1038" t="s">
        <v>70</v>
      </c>
      <c r="U1038" t="str">
        <f t="shared" si="16"/>
        <v>Pass</v>
      </c>
    </row>
    <row r="1039" spans="1:21">
      <c r="A1039" t="s">
        <v>2026</v>
      </c>
      <c r="B1039" t="s">
        <v>123</v>
      </c>
      <c r="C1039" t="s">
        <v>22</v>
      </c>
      <c r="D1039">
        <v>4</v>
      </c>
      <c r="E1039" t="s">
        <v>23</v>
      </c>
      <c r="F1039">
        <v>9</v>
      </c>
      <c r="G1039" t="s">
        <v>24</v>
      </c>
      <c r="H1039" t="s">
        <v>647</v>
      </c>
      <c r="I1039">
        <v>67</v>
      </c>
      <c r="J1039">
        <v>42</v>
      </c>
      <c r="K1039">
        <v>48</v>
      </c>
      <c r="L1039">
        <v>83</v>
      </c>
      <c r="M1039">
        <v>85</v>
      </c>
      <c r="N1039">
        <v>62</v>
      </c>
      <c r="O1039">
        <v>320</v>
      </c>
      <c r="P1039">
        <v>64</v>
      </c>
      <c r="Q1039" t="s">
        <v>26</v>
      </c>
      <c r="R1039" t="s">
        <v>27</v>
      </c>
      <c r="S1039">
        <v>2472</v>
      </c>
      <c r="T1039" t="s">
        <v>28</v>
      </c>
      <c r="U1039" t="str">
        <f t="shared" si="16"/>
        <v>Pass</v>
      </c>
    </row>
    <row r="1040" spans="1:21">
      <c r="A1040" t="s">
        <v>2027</v>
      </c>
      <c r="B1040" t="s">
        <v>258</v>
      </c>
      <c r="C1040" t="s">
        <v>22</v>
      </c>
      <c r="D1040">
        <v>11</v>
      </c>
      <c r="E1040" t="s">
        <v>47</v>
      </c>
      <c r="F1040">
        <v>17</v>
      </c>
      <c r="G1040" t="s">
        <v>54</v>
      </c>
      <c r="H1040" t="s">
        <v>2028</v>
      </c>
      <c r="I1040">
        <v>75</v>
      </c>
      <c r="J1040">
        <v>41</v>
      </c>
      <c r="K1040">
        <v>74</v>
      </c>
      <c r="L1040">
        <v>64</v>
      </c>
      <c r="M1040">
        <v>68</v>
      </c>
      <c r="N1040">
        <v>100</v>
      </c>
      <c r="O1040">
        <v>347</v>
      </c>
      <c r="P1040">
        <v>69.400000000000006</v>
      </c>
      <c r="Q1040" t="s">
        <v>26</v>
      </c>
      <c r="R1040" t="s">
        <v>27</v>
      </c>
      <c r="S1040">
        <v>3039</v>
      </c>
      <c r="T1040" t="s">
        <v>66</v>
      </c>
      <c r="U1040" t="str">
        <f t="shared" si="16"/>
        <v>Pass</v>
      </c>
    </row>
    <row r="1041" spans="1:21">
      <c r="A1041" t="s">
        <v>2029</v>
      </c>
      <c r="B1041" t="s">
        <v>1088</v>
      </c>
      <c r="C1041" t="s">
        <v>22</v>
      </c>
      <c r="D1041">
        <v>7</v>
      </c>
      <c r="E1041" t="s">
        <v>47</v>
      </c>
      <c r="F1041">
        <v>13</v>
      </c>
      <c r="G1041" t="s">
        <v>32</v>
      </c>
      <c r="H1041" t="s">
        <v>2017</v>
      </c>
      <c r="I1041">
        <v>99</v>
      </c>
      <c r="J1041">
        <v>63</v>
      </c>
      <c r="K1041">
        <v>65</v>
      </c>
      <c r="L1041">
        <v>44</v>
      </c>
      <c r="M1041">
        <v>92</v>
      </c>
      <c r="N1041">
        <v>88</v>
      </c>
      <c r="O1041">
        <v>352</v>
      </c>
      <c r="P1041">
        <v>70.400000000000006</v>
      </c>
      <c r="Q1041" t="s">
        <v>40</v>
      </c>
      <c r="R1041" t="s">
        <v>27</v>
      </c>
      <c r="S1041">
        <v>2164</v>
      </c>
      <c r="T1041" t="s">
        <v>48</v>
      </c>
      <c r="U1041" t="str">
        <f t="shared" si="16"/>
        <v>Pass</v>
      </c>
    </row>
    <row r="1042" spans="1:21">
      <c r="A1042" t="s">
        <v>2030</v>
      </c>
      <c r="B1042" t="s">
        <v>68</v>
      </c>
      <c r="C1042" t="s">
        <v>22</v>
      </c>
      <c r="D1042">
        <v>8</v>
      </c>
      <c r="E1042" t="s">
        <v>26</v>
      </c>
      <c r="F1042">
        <v>12</v>
      </c>
      <c r="G1042" t="s">
        <v>54</v>
      </c>
      <c r="H1042" t="s">
        <v>1413</v>
      </c>
      <c r="I1042">
        <v>99</v>
      </c>
      <c r="J1042">
        <v>55</v>
      </c>
      <c r="K1042">
        <v>48</v>
      </c>
      <c r="L1042">
        <v>71</v>
      </c>
      <c r="M1042">
        <v>63</v>
      </c>
      <c r="N1042">
        <v>57</v>
      </c>
      <c r="O1042">
        <v>294</v>
      </c>
      <c r="P1042">
        <v>58.8</v>
      </c>
      <c r="Q1042" t="s">
        <v>31</v>
      </c>
      <c r="R1042" t="s">
        <v>27</v>
      </c>
      <c r="S1042">
        <v>4186</v>
      </c>
      <c r="T1042" t="s">
        <v>34</v>
      </c>
      <c r="U1042" t="str">
        <f t="shared" si="16"/>
        <v>Pass</v>
      </c>
    </row>
    <row r="1043" spans="1:21">
      <c r="A1043" t="s">
        <v>2031</v>
      </c>
      <c r="B1043" t="s">
        <v>426</v>
      </c>
      <c r="C1043" t="s">
        <v>22</v>
      </c>
      <c r="D1043">
        <v>10</v>
      </c>
      <c r="E1043" t="s">
        <v>31</v>
      </c>
      <c r="F1043">
        <v>15</v>
      </c>
      <c r="G1043" t="s">
        <v>54</v>
      </c>
      <c r="H1043" t="s">
        <v>1134</v>
      </c>
      <c r="I1043">
        <v>89</v>
      </c>
      <c r="J1043">
        <v>46</v>
      </c>
      <c r="K1043">
        <v>85</v>
      </c>
      <c r="L1043">
        <v>83</v>
      </c>
      <c r="M1043">
        <v>64</v>
      </c>
      <c r="N1043">
        <v>44</v>
      </c>
      <c r="O1043">
        <v>322</v>
      </c>
      <c r="P1043">
        <v>64.400000000000006</v>
      </c>
      <c r="Q1043" t="s">
        <v>26</v>
      </c>
      <c r="R1043" t="s">
        <v>27</v>
      </c>
      <c r="S1043">
        <v>2294</v>
      </c>
      <c r="T1043" t="s">
        <v>70</v>
      </c>
      <c r="U1043" t="str">
        <f t="shared" si="16"/>
        <v>Pass</v>
      </c>
    </row>
    <row r="1044" spans="1:21">
      <c r="A1044" t="s">
        <v>2032</v>
      </c>
      <c r="B1044" t="s">
        <v>280</v>
      </c>
      <c r="C1044" t="s">
        <v>37</v>
      </c>
      <c r="D1044">
        <v>9</v>
      </c>
      <c r="E1044" t="s">
        <v>47</v>
      </c>
      <c r="F1044">
        <v>15</v>
      </c>
      <c r="G1044" t="s">
        <v>54</v>
      </c>
      <c r="H1044" t="s">
        <v>1362</v>
      </c>
      <c r="I1044">
        <v>70</v>
      </c>
      <c r="J1044">
        <v>35</v>
      </c>
      <c r="K1044">
        <v>63</v>
      </c>
      <c r="L1044">
        <v>85</v>
      </c>
      <c r="M1044">
        <v>57</v>
      </c>
      <c r="N1044">
        <v>92</v>
      </c>
      <c r="O1044">
        <v>332</v>
      </c>
      <c r="P1044">
        <v>66.400000000000006</v>
      </c>
      <c r="Q1044" t="s">
        <v>26</v>
      </c>
      <c r="R1044" t="s">
        <v>41</v>
      </c>
      <c r="S1044">
        <v>4991</v>
      </c>
      <c r="T1044" t="s">
        <v>48</v>
      </c>
      <c r="U1044" t="str">
        <f t="shared" si="16"/>
        <v>Pass</v>
      </c>
    </row>
    <row r="1045" spans="1:21">
      <c r="A1045" t="s">
        <v>2033</v>
      </c>
      <c r="B1045" t="s">
        <v>607</v>
      </c>
      <c r="C1045" t="s">
        <v>22</v>
      </c>
      <c r="D1045">
        <v>11</v>
      </c>
      <c r="E1045" t="s">
        <v>31</v>
      </c>
      <c r="F1045">
        <v>17</v>
      </c>
      <c r="G1045" t="s">
        <v>54</v>
      </c>
      <c r="H1045" t="s">
        <v>2034</v>
      </c>
      <c r="I1045">
        <v>96</v>
      </c>
      <c r="J1045">
        <v>80</v>
      </c>
      <c r="K1045">
        <v>54</v>
      </c>
      <c r="L1045">
        <v>74</v>
      </c>
      <c r="M1045">
        <v>37</v>
      </c>
      <c r="N1045">
        <v>99</v>
      </c>
      <c r="O1045">
        <v>344</v>
      </c>
      <c r="P1045">
        <v>68.8</v>
      </c>
      <c r="Q1045" t="s">
        <v>26</v>
      </c>
      <c r="R1045" t="s">
        <v>41</v>
      </c>
      <c r="S1045">
        <v>3236</v>
      </c>
      <c r="T1045" t="s">
        <v>28</v>
      </c>
      <c r="U1045" t="str">
        <f t="shared" si="16"/>
        <v>Pass</v>
      </c>
    </row>
    <row r="1046" spans="1:21">
      <c r="A1046" t="s">
        <v>2035</v>
      </c>
      <c r="B1046" t="s">
        <v>193</v>
      </c>
      <c r="C1046" t="s">
        <v>37</v>
      </c>
      <c r="D1046">
        <v>9</v>
      </c>
      <c r="E1046" t="s">
        <v>31</v>
      </c>
      <c r="F1046">
        <v>13</v>
      </c>
      <c r="G1046" t="s">
        <v>54</v>
      </c>
      <c r="H1046" t="s">
        <v>664</v>
      </c>
      <c r="I1046">
        <v>66</v>
      </c>
      <c r="J1046">
        <v>100</v>
      </c>
      <c r="K1046">
        <v>72</v>
      </c>
      <c r="L1046">
        <v>36</v>
      </c>
      <c r="M1046">
        <v>69</v>
      </c>
      <c r="N1046">
        <v>81</v>
      </c>
      <c r="O1046">
        <v>358</v>
      </c>
      <c r="P1046">
        <v>71.599999999999994</v>
      </c>
      <c r="Q1046" t="s">
        <v>40</v>
      </c>
      <c r="R1046" t="s">
        <v>41</v>
      </c>
      <c r="S1046">
        <v>3928</v>
      </c>
      <c r="T1046" t="s">
        <v>42</v>
      </c>
      <c r="U1046" t="str">
        <f t="shared" si="16"/>
        <v>Pass</v>
      </c>
    </row>
    <row r="1047" spans="1:21">
      <c r="A1047" t="s">
        <v>2036</v>
      </c>
      <c r="B1047" t="s">
        <v>208</v>
      </c>
      <c r="C1047" t="s">
        <v>37</v>
      </c>
      <c r="D1047">
        <v>7</v>
      </c>
      <c r="E1047" t="s">
        <v>23</v>
      </c>
      <c r="F1047">
        <v>12</v>
      </c>
      <c r="G1047" t="s">
        <v>54</v>
      </c>
      <c r="H1047" t="s">
        <v>351</v>
      </c>
      <c r="I1047">
        <v>96</v>
      </c>
      <c r="J1047">
        <v>91</v>
      </c>
      <c r="K1047">
        <v>42</v>
      </c>
      <c r="L1047">
        <v>58</v>
      </c>
      <c r="M1047">
        <v>96</v>
      </c>
      <c r="N1047">
        <v>99</v>
      </c>
      <c r="O1047">
        <v>386</v>
      </c>
      <c r="P1047">
        <v>77.2</v>
      </c>
      <c r="Q1047" t="s">
        <v>40</v>
      </c>
      <c r="R1047" t="s">
        <v>41</v>
      </c>
      <c r="S1047">
        <v>3896</v>
      </c>
      <c r="T1047" t="s">
        <v>42</v>
      </c>
      <c r="U1047" t="str">
        <f t="shared" si="16"/>
        <v>Pass</v>
      </c>
    </row>
    <row r="1048" spans="1:21">
      <c r="A1048" t="s">
        <v>2037</v>
      </c>
      <c r="B1048" t="s">
        <v>389</v>
      </c>
      <c r="C1048" t="s">
        <v>37</v>
      </c>
      <c r="D1048">
        <v>5</v>
      </c>
      <c r="E1048" t="s">
        <v>47</v>
      </c>
      <c r="F1048">
        <v>9</v>
      </c>
      <c r="G1048" t="s">
        <v>64</v>
      </c>
      <c r="H1048" t="s">
        <v>2038</v>
      </c>
      <c r="I1048">
        <v>91</v>
      </c>
      <c r="J1048">
        <v>41</v>
      </c>
      <c r="K1048">
        <v>42</v>
      </c>
      <c r="L1048">
        <v>83</v>
      </c>
      <c r="M1048">
        <v>75</v>
      </c>
      <c r="N1048">
        <v>72</v>
      </c>
      <c r="O1048">
        <v>313</v>
      </c>
      <c r="P1048">
        <v>62.6</v>
      </c>
      <c r="Q1048" t="s">
        <v>26</v>
      </c>
      <c r="R1048" t="s">
        <v>27</v>
      </c>
      <c r="S1048">
        <v>3469</v>
      </c>
      <c r="T1048" t="s">
        <v>48</v>
      </c>
      <c r="U1048" t="str">
        <f t="shared" si="16"/>
        <v>Pass</v>
      </c>
    </row>
    <row r="1049" spans="1:21">
      <c r="A1049" t="s">
        <v>2039</v>
      </c>
      <c r="B1049" t="s">
        <v>140</v>
      </c>
      <c r="C1049" t="s">
        <v>37</v>
      </c>
      <c r="D1049">
        <v>3</v>
      </c>
      <c r="E1049" t="s">
        <v>31</v>
      </c>
      <c r="F1049">
        <v>7</v>
      </c>
      <c r="G1049" t="s">
        <v>32</v>
      </c>
      <c r="H1049" t="s">
        <v>1274</v>
      </c>
      <c r="I1049">
        <v>72</v>
      </c>
      <c r="J1049">
        <v>75</v>
      </c>
      <c r="K1049">
        <v>58</v>
      </c>
      <c r="L1049">
        <v>89</v>
      </c>
      <c r="M1049">
        <v>98</v>
      </c>
      <c r="N1049">
        <v>42</v>
      </c>
      <c r="O1049">
        <v>362</v>
      </c>
      <c r="P1049">
        <v>72.400000000000006</v>
      </c>
      <c r="Q1049" t="s">
        <v>40</v>
      </c>
      <c r="R1049" t="s">
        <v>27</v>
      </c>
      <c r="S1049">
        <v>2163</v>
      </c>
      <c r="T1049" t="s">
        <v>70</v>
      </c>
      <c r="U1049" t="str">
        <f t="shared" si="16"/>
        <v>Pass</v>
      </c>
    </row>
    <row r="1050" spans="1:21">
      <c r="A1050" t="s">
        <v>2040</v>
      </c>
      <c r="B1050" t="s">
        <v>250</v>
      </c>
      <c r="C1050" t="s">
        <v>37</v>
      </c>
      <c r="D1050">
        <v>5</v>
      </c>
      <c r="E1050" t="s">
        <v>26</v>
      </c>
      <c r="F1050">
        <v>11</v>
      </c>
      <c r="G1050" t="s">
        <v>64</v>
      </c>
      <c r="H1050" t="s">
        <v>2041</v>
      </c>
      <c r="I1050">
        <v>70</v>
      </c>
      <c r="J1050">
        <v>100</v>
      </c>
      <c r="K1050">
        <v>89</v>
      </c>
      <c r="L1050">
        <v>91</v>
      </c>
      <c r="M1050">
        <v>39</v>
      </c>
      <c r="N1050">
        <v>66</v>
      </c>
      <c r="O1050">
        <v>385</v>
      </c>
      <c r="P1050">
        <v>77</v>
      </c>
      <c r="Q1050" t="s">
        <v>40</v>
      </c>
      <c r="R1050" t="s">
        <v>27</v>
      </c>
      <c r="S1050">
        <v>1755</v>
      </c>
      <c r="T1050" t="s">
        <v>70</v>
      </c>
      <c r="U1050" t="str">
        <f t="shared" si="16"/>
        <v>Pass</v>
      </c>
    </row>
    <row r="1051" spans="1:21">
      <c r="A1051" t="s">
        <v>2042</v>
      </c>
      <c r="B1051" t="s">
        <v>113</v>
      </c>
      <c r="C1051" t="s">
        <v>37</v>
      </c>
      <c r="D1051">
        <v>4</v>
      </c>
      <c r="E1051" t="s">
        <v>23</v>
      </c>
      <c r="F1051">
        <v>9</v>
      </c>
      <c r="G1051" t="s">
        <v>32</v>
      </c>
      <c r="H1051" t="s">
        <v>2043</v>
      </c>
      <c r="I1051">
        <v>91</v>
      </c>
      <c r="J1051">
        <v>79</v>
      </c>
      <c r="K1051">
        <v>60</v>
      </c>
      <c r="L1051">
        <v>45</v>
      </c>
      <c r="M1051">
        <v>42</v>
      </c>
      <c r="N1051">
        <v>47</v>
      </c>
      <c r="O1051">
        <v>273</v>
      </c>
      <c r="P1051">
        <v>54.6</v>
      </c>
      <c r="Q1051" t="s">
        <v>31</v>
      </c>
      <c r="R1051" t="s">
        <v>27</v>
      </c>
      <c r="S1051">
        <v>2150</v>
      </c>
      <c r="T1051" t="s">
        <v>34</v>
      </c>
      <c r="U1051" t="str">
        <f t="shared" si="16"/>
        <v>Fail</v>
      </c>
    </row>
    <row r="1052" spans="1:21">
      <c r="A1052" t="s">
        <v>2044</v>
      </c>
      <c r="B1052" t="s">
        <v>544</v>
      </c>
      <c r="C1052" t="s">
        <v>22</v>
      </c>
      <c r="D1052">
        <v>12</v>
      </c>
      <c r="E1052" t="s">
        <v>26</v>
      </c>
      <c r="F1052">
        <v>16</v>
      </c>
      <c r="G1052" t="s">
        <v>58</v>
      </c>
      <c r="H1052" t="s">
        <v>733</v>
      </c>
      <c r="I1052">
        <v>90</v>
      </c>
      <c r="J1052">
        <v>47</v>
      </c>
      <c r="K1052">
        <v>87</v>
      </c>
      <c r="L1052">
        <v>70</v>
      </c>
      <c r="M1052">
        <v>76</v>
      </c>
      <c r="N1052">
        <v>79</v>
      </c>
      <c r="O1052">
        <v>359</v>
      </c>
      <c r="P1052">
        <v>71.8</v>
      </c>
      <c r="Q1052" t="s">
        <v>40</v>
      </c>
      <c r="R1052" t="s">
        <v>27</v>
      </c>
      <c r="S1052">
        <v>3479</v>
      </c>
      <c r="T1052" t="s">
        <v>28</v>
      </c>
      <c r="U1052" t="str">
        <f t="shared" si="16"/>
        <v>Pass</v>
      </c>
    </row>
    <row r="1053" spans="1:21">
      <c r="A1053" t="s">
        <v>2045</v>
      </c>
      <c r="B1053" t="s">
        <v>386</v>
      </c>
      <c r="C1053" t="s">
        <v>22</v>
      </c>
      <c r="D1053">
        <v>3</v>
      </c>
      <c r="E1053" t="s">
        <v>31</v>
      </c>
      <c r="F1053">
        <v>8</v>
      </c>
      <c r="G1053" t="s">
        <v>64</v>
      </c>
      <c r="H1053" t="s">
        <v>2046</v>
      </c>
      <c r="I1053">
        <v>96</v>
      </c>
      <c r="J1053">
        <v>39</v>
      </c>
      <c r="K1053">
        <v>87</v>
      </c>
      <c r="L1053">
        <v>79</v>
      </c>
      <c r="M1053">
        <v>88</v>
      </c>
      <c r="N1053">
        <v>62</v>
      </c>
      <c r="O1053">
        <v>355</v>
      </c>
      <c r="P1053">
        <v>71</v>
      </c>
      <c r="Q1053" t="s">
        <v>40</v>
      </c>
      <c r="R1053" t="s">
        <v>41</v>
      </c>
      <c r="S1053">
        <v>3912</v>
      </c>
      <c r="T1053" t="s">
        <v>70</v>
      </c>
      <c r="U1053" t="str">
        <f t="shared" si="16"/>
        <v>Pass</v>
      </c>
    </row>
    <row r="1054" spans="1:21">
      <c r="A1054" t="s">
        <v>2047</v>
      </c>
      <c r="B1054" t="s">
        <v>326</v>
      </c>
      <c r="C1054" t="s">
        <v>37</v>
      </c>
      <c r="D1054">
        <v>10</v>
      </c>
      <c r="E1054" t="s">
        <v>26</v>
      </c>
      <c r="F1054">
        <v>16</v>
      </c>
      <c r="G1054" t="s">
        <v>32</v>
      </c>
      <c r="H1054" t="s">
        <v>2048</v>
      </c>
      <c r="I1054">
        <v>73</v>
      </c>
      <c r="J1054">
        <v>74</v>
      </c>
      <c r="K1054">
        <v>49</v>
      </c>
      <c r="L1054">
        <v>46</v>
      </c>
      <c r="M1054">
        <v>76</v>
      </c>
      <c r="N1054">
        <v>75</v>
      </c>
      <c r="O1054">
        <v>320</v>
      </c>
      <c r="P1054">
        <v>64</v>
      </c>
      <c r="Q1054" t="s">
        <v>26</v>
      </c>
      <c r="R1054" t="s">
        <v>41</v>
      </c>
      <c r="S1054">
        <v>3500</v>
      </c>
      <c r="T1054" t="s">
        <v>28</v>
      </c>
      <c r="U1054" t="str">
        <f t="shared" si="16"/>
        <v>Pass</v>
      </c>
    </row>
    <row r="1055" spans="1:21">
      <c r="A1055" t="s">
        <v>2049</v>
      </c>
      <c r="B1055" t="s">
        <v>50</v>
      </c>
      <c r="C1055" t="s">
        <v>37</v>
      </c>
      <c r="D1055">
        <v>10</v>
      </c>
      <c r="E1055" t="s">
        <v>31</v>
      </c>
      <c r="F1055">
        <v>16</v>
      </c>
      <c r="G1055" t="s">
        <v>64</v>
      </c>
      <c r="H1055" t="s">
        <v>619</v>
      </c>
      <c r="I1055">
        <v>60</v>
      </c>
      <c r="J1055">
        <v>58</v>
      </c>
      <c r="K1055">
        <v>85</v>
      </c>
      <c r="L1055">
        <v>87</v>
      </c>
      <c r="M1055">
        <v>65</v>
      </c>
      <c r="N1055">
        <v>83</v>
      </c>
      <c r="O1055">
        <v>378</v>
      </c>
      <c r="P1055">
        <v>75.599999999999994</v>
      </c>
      <c r="Q1055" t="s">
        <v>40</v>
      </c>
      <c r="R1055" t="s">
        <v>27</v>
      </c>
      <c r="S1055">
        <v>4952</v>
      </c>
      <c r="T1055" t="s">
        <v>42</v>
      </c>
      <c r="U1055" t="str">
        <f t="shared" si="16"/>
        <v>Pass</v>
      </c>
    </row>
    <row r="1056" spans="1:21">
      <c r="A1056" t="s">
        <v>2050</v>
      </c>
      <c r="B1056" t="s">
        <v>247</v>
      </c>
      <c r="C1056" t="s">
        <v>22</v>
      </c>
      <c r="D1056">
        <v>3</v>
      </c>
      <c r="E1056" t="s">
        <v>31</v>
      </c>
      <c r="F1056">
        <v>8</v>
      </c>
      <c r="G1056" t="s">
        <v>54</v>
      </c>
      <c r="H1056" t="s">
        <v>1459</v>
      </c>
      <c r="I1056">
        <v>93</v>
      </c>
      <c r="J1056">
        <v>60</v>
      </c>
      <c r="K1056">
        <v>49</v>
      </c>
      <c r="L1056">
        <v>58</v>
      </c>
      <c r="M1056">
        <v>65</v>
      </c>
      <c r="N1056">
        <v>70</v>
      </c>
      <c r="O1056">
        <v>302</v>
      </c>
      <c r="P1056">
        <v>60.4</v>
      </c>
      <c r="Q1056" t="s">
        <v>26</v>
      </c>
      <c r="R1056" t="s">
        <v>27</v>
      </c>
      <c r="S1056">
        <v>4959</v>
      </c>
      <c r="T1056" t="s">
        <v>66</v>
      </c>
      <c r="U1056" t="str">
        <f t="shared" si="16"/>
        <v>Pass</v>
      </c>
    </row>
    <row r="1057" spans="1:21">
      <c r="A1057" t="s">
        <v>2051</v>
      </c>
      <c r="B1057" t="s">
        <v>335</v>
      </c>
      <c r="C1057" t="s">
        <v>37</v>
      </c>
      <c r="D1057">
        <v>2</v>
      </c>
      <c r="E1057" t="s">
        <v>47</v>
      </c>
      <c r="F1057">
        <v>6</v>
      </c>
      <c r="G1057" t="s">
        <v>24</v>
      </c>
      <c r="H1057" t="s">
        <v>2052</v>
      </c>
      <c r="I1057">
        <v>88</v>
      </c>
      <c r="J1057">
        <v>100</v>
      </c>
      <c r="K1057">
        <v>91</v>
      </c>
      <c r="L1057">
        <v>99</v>
      </c>
      <c r="M1057">
        <v>41</v>
      </c>
      <c r="N1057">
        <v>97</v>
      </c>
      <c r="O1057">
        <v>428</v>
      </c>
      <c r="P1057">
        <v>85.6</v>
      </c>
      <c r="Q1057" t="s">
        <v>47</v>
      </c>
      <c r="R1057" t="s">
        <v>27</v>
      </c>
      <c r="S1057">
        <v>2397</v>
      </c>
      <c r="T1057" t="s">
        <v>28</v>
      </c>
      <c r="U1057" t="str">
        <f t="shared" si="16"/>
        <v>Pass</v>
      </c>
    </row>
    <row r="1058" spans="1:21">
      <c r="A1058" t="s">
        <v>2053</v>
      </c>
      <c r="B1058" t="s">
        <v>168</v>
      </c>
      <c r="C1058" t="s">
        <v>37</v>
      </c>
      <c r="D1058">
        <v>3</v>
      </c>
      <c r="E1058" t="s">
        <v>31</v>
      </c>
      <c r="F1058">
        <v>7</v>
      </c>
      <c r="G1058" t="s">
        <v>24</v>
      </c>
      <c r="H1058" t="s">
        <v>573</v>
      </c>
      <c r="I1058">
        <v>96</v>
      </c>
      <c r="J1058">
        <v>53</v>
      </c>
      <c r="K1058">
        <v>56</v>
      </c>
      <c r="L1058">
        <v>83</v>
      </c>
      <c r="M1058">
        <v>36</v>
      </c>
      <c r="N1058">
        <v>65</v>
      </c>
      <c r="O1058">
        <v>293</v>
      </c>
      <c r="P1058">
        <v>58.6</v>
      </c>
      <c r="Q1058" t="s">
        <v>31</v>
      </c>
      <c r="R1058" t="s">
        <v>41</v>
      </c>
      <c r="S1058">
        <v>2439</v>
      </c>
      <c r="T1058" t="s">
        <v>28</v>
      </c>
      <c r="U1058" t="str">
        <f t="shared" si="16"/>
        <v>Pass</v>
      </c>
    </row>
    <row r="1059" spans="1:21">
      <c r="A1059" t="s">
        <v>2054</v>
      </c>
      <c r="B1059" t="s">
        <v>383</v>
      </c>
      <c r="C1059" t="s">
        <v>22</v>
      </c>
      <c r="D1059">
        <v>5</v>
      </c>
      <c r="E1059" t="s">
        <v>31</v>
      </c>
      <c r="F1059">
        <v>9</v>
      </c>
      <c r="G1059" t="s">
        <v>32</v>
      </c>
      <c r="H1059" t="s">
        <v>2055</v>
      </c>
      <c r="I1059">
        <v>76</v>
      </c>
      <c r="J1059">
        <v>40</v>
      </c>
      <c r="K1059">
        <v>36</v>
      </c>
      <c r="L1059">
        <v>80</v>
      </c>
      <c r="M1059">
        <v>40</v>
      </c>
      <c r="N1059">
        <v>97</v>
      </c>
      <c r="O1059">
        <v>293</v>
      </c>
      <c r="P1059">
        <v>58.6</v>
      </c>
      <c r="Q1059" t="s">
        <v>31</v>
      </c>
      <c r="R1059" t="s">
        <v>27</v>
      </c>
      <c r="S1059">
        <v>3607</v>
      </c>
      <c r="T1059" t="s">
        <v>70</v>
      </c>
      <c r="U1059" t="str">
        <f t="shared" si="16"/>
        <v>Pass</v>
      </c>
    </row>
    <row r="1060" spans="1:21">
      <c r="A1060" t="s">
        <v>2056</v>
      </c>
      <c r="B1060" t="s">
        <v>75</v>
      </c>
      <c r="C1060" t="s">
        <v>37</v>
      </c>
      <c r="D1060">
        <v>10</v>
      </c>
      <c r="E1060" t="s">
        <v>47</v>
      </c>
      <c r="F1060">
        <v>14</v>
      </c>
      <c r="G1060" t="s">
        <v>45</v>
      </c>
      <c r="H1060" t="s">
        <v>1708</v>
      </c>
      <c r="I1060">
        <v>65</v>
      </c>
      <c r="J1060">
        <v>72</v>
      </c>
      <c r="K1060">
        <v>67</v>
      </c>
      <c r="L1060">
        <v>52</v>
      </c>
      <c r="M1060">
        <v>58</v>
      </c>
      <c r="N1060">
        <v>79</v>
      </c>
      <c r="O1060">
        <v>328</v>
      </c>
      <c r="P1060">
        <v>65.599999999999994</v>
      </c>
      <c r="Q1060" t="s">
        <v>26</v>
      </c>
      <c r="R1060" t="s">
        <v>27</v>
      </c>
      <c r="S1060">
        <v>3398</v>
      </c>
      <c r="T1060" t="s">
        <v>28</v>
      </c>
      <c r="U1060" t="str">
        <f t="shared" si="16"/>
        <v>Pass</v>
      </c>
    </row>
    <row r="1061" spans="1:21">
      <c r="A1061" t="s">
        <v>2057</v>
      </c>
      <c r="B1061" t="s">
        <v>211</v>
      </c>
      <c r="C1061" t="s">
        <v>37</v>
      </c>
      <c r="D1061">
        <v>6</v>
      </c>
      <c r="E1061" t="s">
        <v>47</v>
      </c>
      <c r="F1061">
        <v>10</v>
      </c>
      <c r="G1061" t="s">
        <v>64</v>
      </c>
      <c r="H1061" t="s">
        <v>805</v>
      </c>
      <c r="I1061">
        <v>60</v>
      </c>
      <c r="J1061">
        <v>73</v>
      </c>
      <c r="K1061">
        <v>71</v>
      </c>
      <c r="L1061">
        <v>89</v>
      </c>
      <c r="M1061">
        <v>35</v>
      </c>
      <c r="N1061">
        <v>99</v>
      </c>
      <c r="O1061">
        <v>367</v>
      </c>
      <c r="P1061">
        <v>73.400000000000006</v>
      </c>
      <c r="Q1061" t="s">
        <v>40</v>
      </c>
      <c r="R1061" t="s">
        <v>27</v>
      </c>
      <c r="S1061">
        <v>3073</v>
      </c>
      <c r="T1061" t="s">
        <v>42</v>
      </c>
      <c r="U1061" t="str">
        <f t="shared" si="16"/>
        <v>Pass</v>
      </c>
    </row>
    <row r="1062" spans="1:21">
      <c r="A1062" t="s">
        <v>2058</v>
      </c>
      <c r="B1062" t="s">
        <v>226</v>
      </c>
      <c r="C1062" t="s">
        <v>37</v>
      </c>
      <c r="D1062">
        <v>12</v>
      </c>
      <c r="E1062" t="s">
        <v>23</v>
      </c>
      <c r="F1062">
        <v>18</v>
      </c>
      <c r="G1062" t="s">
        <v>38</v>
      </c>
      <c r="H1062" t="s">
        <v>132</v>
      </c>
      <c r="I1062">
        <v>77</v>
      </c>
      <c r="J1062">
        <v>53</v>
      </c>
      <c r="K1062">
        <v>94</v>
      </c>
      <c r="L1062">
        <v>73</v>
      </c>
      <c r="M1062">
        <v>82</v>
      </c>
      <c r="N1062">
        <v>51</v>
      </c>
      <c r="O1062">
        <v>353</v>
      </c>
      <c r="P1062">
        <v>70.599999999999994</v>
      </c>
      <c r="Q1062" t="s">
        <v>40</v>
      </c>
      <c r="R1062" t="s">
        <v>41</v>
      </c>
      <c r="S1062">
        <v>2832</v>
      </c>
      <c r="T1062" t="s">
        <v>66</v>
      </c>
      <c r="U1062" t="str">
        <f t="shared" si="16"/>
        <v>Pass</v>
      </c>
    </row>
    <row r="1063" spans="1:21">
      <c r="A1063" t="s">
        <v>2059</v>
      </c>
      <c r="B1063" t="s">
        <v>1142</v>
      </c>
      <c r="C1063" t="s">
        <v>37</v>
      </c>
      <c r="D1063">
        <v>6</v>
      </c>
      <c r="E1063" t="s">
        <v>31</v>
      </c>
      <c r="F1063">
        <v>12</v>
      </c>
      <c r="G1063" t="s">
        <v>45</v>
      </c>
      <c r="H1063" t="s">
        <v>2060</v>
      </c>
      <c r="I1063">
        <v>64</v>
      </c>
      <c r="J1063">
        <v>99</v>
      </c>
      <c r="K1063">
        <v>36</v>
      </c>
      <c r="L1063">
        <v>68</v>
      </c>
      <c r="M1063">
        <v>68</v>
      </c>
      <c r="N1063">
        <v>81</v>
      </c>
      <c r="O1063">
        <v>352</v>
      </c>
      <c r="P1063">
        <v>70.400000000000006</v>
      </c>
      <c r="Q1063" t="s">
        <v>40</v>
      </c>
      <c r="R1063" t="s">
        <v>41</v>
      </c>
      <c r="S1063">
        <v>4812</v>
      </c>
      <c r="T1063" t="s">
        <v>66</v>
      </c>
      <c r="U1063" t="str">
        <f t="shared" si="16"/>
        <v>Pass</v>
      </c>
    </row>
    <row r="1064" spans="1:21">
      <c r="A1064" t="s">
        <v>2061</v>
      </c>
      <c r="B1064" t="s">
        <v>508</v>
      </c>
      <c r="C1064" t="s">
        <v>22</v>
      </c>
      <c r="D1064">
        <v>8</v>
      </c>
      <c r="E1064" t="s">
        <v>26</v>
      </c>
      <c r="F1064">
        <v>14</v>
      </c>
      <c r="G1064" t="s">
        <v>45</v>
      </c>
      <c r="H1064" t="s">
        <v>991</v>
      </c>
      <c r="I1064">
        <v>95</v>
      </c>
      <c r="J1064">
        <v>96</v>
      </c>
      <c r="K1064">
        <v>93</v>
      </c>
      <c r="L1064">
        <v>42</v>
      </c>
      <c r="M1064">
        <v>68</v>
      </c>
      <c r="N1064">
        <v>98</v>
      </c>
      <c r="O1064">
        <v>397</v>
      </c>
      <c r="P1064">
        <v>79.400000000000006</v>
      </c>
      <c r="Q1064" t="s">
        <v>40</v>
      </c>
      <c r="R1064" t="s">
        <v>27</v>
      </c>
      <c r="S1064">
        <v>4206</v>
      </c>
      <c r="T1064" t="s">
        <v>66</v>
      </c>
      <c r="U1064" t="str">
        <f t="shared" si="16"/>
        <v>Pass</v>
      </c>
    </row>
    <row r="1065" spans="1:21">
      <c r="A1065" t="s">
        <v>2062</v>
      </c>
      <c r="B1065" t="s">
        <v>193</v>
      </c>
      <c r="C1065" t="s">
        <v>37</v>
      </c>
      <c r="D1065">
        <v>3</v>
      </c>
      <c r="E1065" t="s">
        <v>47</v>
      </c>
      <c r="F1065">
        <v>7</v>
      </c>
      <c r="G1065" t="s">
        <v>54</v>
      </c>
      <c r="H1065" t="s">
        <v>2063</v>
      </c>
      <c r="I1065">
        <v>92</v>
      </c>
      <c r="J1065">
        <v>54</v>
      </c>
      <c r="K1065">
        <v>95</v>
      </c>
      <c r="L1065">
        <v>51</v>
      </c>
      <c r="M1065">
        <v>46</v>
      </c>
      <c r="N1065">
        <v>80</v>
      </c>
      <c r="O1065">
        <v>326</v>
      </c>
      <c r="P1065">
        <v>65.2</v>
      </c>
      <c r="Q1065" t="s">
        <v>26</v>
      </c>
      <c r="R1065" t="s">
        <v>27</v>
      </c>
      <c r="S1065">
        <v>2105</v>
      </c>
      <c r="T1065" t="s">
        <v>42</v>
      </c>
      <c r="U1065" t="str">
        <f t="shared" si="16"/>
        <v>Pass</v>
      </c>
    </row>
    <row r="1066" spans="1:21">
      <c r="A1066" t="s">
        <v>2064</v>
      </c>
      <c r="B1066" t="s">
        <v>1207</v>
      </c>
      <c r="C1066" t="s">
        <v>22</v>
      </c>
      <c r="D1066">
        <v>12</v>
      </c>
      <c r="E1066" t="s">
        <v>26</v>
      </c>
      <c r="F1066">
        <v>17</v>
      </c>
      <c r="G1066" t="s">
        <v>58</v>
      </c>
      <c r="H1066" t="s">
        <v>2065</v>
      </c>
      <c r="I1066">
        <v>62</v>
      </c>
      <c r="J1066">
        <v>40</v>
      </c>
      <c r="K1066">
        <v>67</v>
      </c>
      <c r="L1066">
        <v>40</v>
      </c>
      <c r="M1066">
        <v>43</v>
      </c>
      <c r="N1066">
        <v>37</v>
      </c>
      <c r="O1066">
        <v>227</v>
      </c>
      <c r="P1066">
        <v>45.4</v>
      </c>
      <c r="Q1066" t="s">
        <v>23</v>
      </c>
      <c r="R1066" t="s">
        <v>27</v>
      </c>
      <c r="S1066">
        <v>3895</v>
      </c>
      <c r="T1066" t="s">
        <v>28</v>
      </c>
      <c r="U1066" t="str">
        <f t="shared" si="16"/>
        <v>Fail</v>
      </c>
    </row>
    <row r="1067" spans="1:21">
      <c r="A1067" t="s">
        <v>2066</v>
      </c>
      <c r="B1067" t="s">
        <v>148</v>
      </c>
      <c r="C1067" t="s">
        <v>22</v>
      </c>
      <c r="D1067">
        <v>8</v>
      </c>
      <c r="E1067" t="s">
        <v>31</v>
      </c>
      <c r="F1067">
        <v>13</v>
      </c>
      <c r="G1067" t="s">
        <v>64</v>
      </c>
      <c r="H1067" t="s">
        <v>2067</v>
      </c>
      <c r="I1067">
        <v>74</v>
      </c>
      <c r="J1067">
        <v>71</v>
      </c>
      <c r="K1067">
        <v>89</v>
      </c>
      <c r="L1067">
        <v>46</v>
      </c>
      <c r="M1067">
        <v>38</v>
      </c>
      <c r="N1067">
        <v>93</v>
      </c>
      <c r="O1067">
        <v>337</v>
      </c>
      <c r="P1067">
        <v>67.400000000000006</v>
      </c>
      <c r="Q1067" t="s">
        <v>26</v>
      </c>
      <c r="R1067" t="s">
        <v>41</v>
      </c>
      <c r="S1067">
        <v>4399</v>
      </c>
      <c r="T1067" t="s">
        <v>48</v>
      </c>
      <c r="U1067" t="str">
        <f t="shared" si="16"/>
        <v>Pass</v>
      </c>
    </row>
    <row r="1068" spans="1:21">
      <c r="A1068" t="s">
        <v>2068</v>
      </c>
      <c r="B1068" t="s">
        <v>274</v>
      </c>
      <c r="C1068" t="s">
        <v>37</v>
      </c>
      <c r="D1068">
        <v>4</v>
      </c>
      <c r="E1068" t="s">
        <v>47</v>
      </c>
      <c r="F1068">
        <v>9</v>
      </c>
      <c r="G1068" t="s">
        <v>64</v>
      </c>
      <c r="H1068" t="s">
        <v>2069</v>
      </c>
      <c r="I1068">
        <v>68</v>
      </c>
      <c r="J1068">
        <v>37</v>
      </c>
      <c r="K1068">
        <v>55</v>
      </c>
      <c r="L1068">
        <v>54</v>
      </c>
      <c r="M1068">
        <v>37</v>
      </c>
      <c r="N1068">
        <v>37</v>
      </c>
      <c r="O1068">
        <v>220</v>
      </c>
      <c r="P1068">
        <v>44</v>
      </c>
      <c r="Q1068" t="s">
        <v>23</v>
      </c>
      <c r="R1068" t="s">
        <v>41</v>
      </c>
      <c r="S1068">
        <v>4935</v>
      </c>
      <c r="T1068" t="s">
        <v>66</v>
      </c>
      <c r="U1068" t="str">
        <f t="shared" si="16"/>
        <v>Fail</v>
      </c>
    </row>
    <row r="1069" spans="1:21">
      <c r="A1069" t="s">
        <v>2070</v>
      </c>
      <c r="B1069" t="s">
        <v>748</v>
      </c>
      <c r="C1069" t="s">
        <v>37</v>
      </c>
      <c r="D1069">
        <v>1</v>
      </c>
      <c r="E1069" t="s">
        <v>23</v>
      </c>
      <c r="F1069">
        <v>6</v>
      </c>
      <c r="G1069" t="s">
        <v>45</v>
      </c>
      <c r="H1069" t="s">
        <v>2071</v>
      </c>
      <c r="I1069">
        <v>76</v>
      </c>
      <c r="J1069">
        <v>62</v>
      </c>
      <c r="K1069">
        <v>75</v>
      </c>
      <c r="L1069">
        <v>67</v>
      </c>
      <c r="M1069">
        <v>48</v>
      </c>
      <c r="N1069">
        <v>72</v>
      </c>
      <c r="O1069">
        <v>324</v>
      </c>
      <c r="P1069">
        <v>64.8</v>
      </c>
      <c r="Q1069" t="s">
        <v>26</v>
      </c>
      <c r="R1069" t="s">
        <v>41</v>
      </c>
      <c r="S1069">
        <v>4236</v>
      </c>
      <c r="T1069" t="s">
        <v>28</v>
      </c>
      <c r="U1069" t="str">
        <f t="shared" si="16"/>
        <v>Pass</v>
      </c>
    </row>
    <row r="1070" spans="1:21">
      <c r="A1070" t="s">
        <v>2072</v>
      </c>
      <c r="B1070" t="s">
        <v>247</v>
      </c>
      <c r="C1070" t="s">
        <v>22</v>
      </c>
      <c r="D1070">
        <v>6</v>
      </c>
      <c r="E1070" t="s">
        <v>26</v>
      </c>
      <c r="F1070">
        <v>11</v>
      </c>
      <c r="G1070" t="s">
        <v>45</v>
      </c>
      <c r="H1070" t="s">
        <v>346</v>
      </c>
      <c r="I1070">
        <v>75</v>
      </c>
      <c r="J1070">
        <v>95</v>
      </c>
      <c r="K1070">
        <v>60</v>
      </c>
      <c r="L1070">
        <v>43</v>
      </c>
      <c r="M1070">
        <v>84</v>
      </c>
      <c r="N1070">
        <v>43</v>
      </c>
      <c r="O1070">
        <v>325</v>
      </c>
      <c r="P1070">
        <v>65</v>
      </c>
      <c r="Q1070" t="s">
        <v>26</v>
      </c>
      <c r="R1070" t="s">
        <v>27</v>
      </c>
      <c r="S1070">
        <v>2250</v>
      </c>
      <c r="T1070" t="s">
        <v>34</v>
      </c>
      <c r="U1070" t="str">
        <f t="shared" si="16"/>
        <v>Pass</v>
      </c>
    </row>
    <row r="1071" spans="1:21">
      <c r="A1071" t="s">
        <v>2073</v>
      </c>
      <c r="B1071" t="s">
        <v>518</v>
      </c>
      <c r="C1071" t="s">
        <v>22</v>
      </c>
      <c r="D1071">
        <v>10</v>
      </c>
      <c r="E1071" t="s">
        <v>47</v>
      </c>
      <c r="F1071">
        <v>16</v>
      </c>
      <c r="G1071" t="s">
        <v>38</v>
      </c>
      <c r="H1071" t="s">
        <v>194</v>
      </c>
      <c r="I1071">
        <v>63</v>
      </c>
      <c r="J1071">
        <v>98</v>
      </c>
      <c r="K1071">
        <v>47</v>
      </c>
      <c r="L1071">
        <v>42</v>
      </c>
      <c r="M1071">
        <v>72</v>
      </c>
      <c r="N1071">
        <v>85</v>
      </c>
      <c r="O1071">
        <v>344</v>
      </c>
      <c r="P1071">
        <v>68.8</v>
      </c>
      <c r="Q1071" t="s">
        <v>26</v>
      </c>
      <c r="R1071" t="s">
        <v>27</v>
      </c>
      <c r="S1071">
        <v>4720</v>
      </c>
      <c r="T1071" t="s">
        <v>66</v>
      </c>
      <c r="U1071" t="str">
        <f t="shared" si="16"/>
        <v>Pass</v>
      </c>
    </row>
    <row r="1072" spans="1:21">
      <c r="A1072" t="s">
        <v>2074</v>
      </c>
      <c r="B1072" t="s">
        <v>151</v>
      </c>
      <c r="C1072" t="s">
        <v>22</v>
      </c>
      <c r="D1072">
        <v>6</v>
      </c>
      <c r="E1072" t="s">
        <v>26</v>
      </c>
      <c r="F1072">
        <v>12</v>
      </c>
      <c r="G1072" t="s">
        <v>64</v>
      </c>
      <c r="H1072" t="s">
        <v>2075</v>
      </c>
      <c r="I1072">
        <v>73</v>
      </c>
      <c r="J1072">
        <v>72</v>
      </c>
      <c r="K1072">
        <v>35</v>
      </c>
      <c r="L1072">
        <v>69</v>
      </c>
      <c r="M1072">
        <v>35</v>
      </c>
      <c r="N1072">
        <v>89</v>
      </c>
      <c r="O1072">
        <v>300</v>
      </c>
      <c r="P1072">
        <v>60</v>
      </c>
      <c r="Q1072" t="s">
        <v>26</v>
      </c>
      <c r="R1072" t="s">
        <v>27</v>
      </c>
      <c r="S1072">
        <v>4234</v>
      </c>
      <c r="T1072" t="s">
        <v>42</v>
      </c>
      <c r="U1072" t="str">
        <f t="shared" si="16"/>
        <v>Pass</v>
      </c>
    </row>
    <row r="1073" spans="1:21">
      <c r="A1073" t="s">
        <v>2076</v>
      </c>
      <c r="B1073" t="s">
        <v>214</v>
      </c>
      <c r="C1073" t="s">
        <v>37</v>
      </c>
      <c r="D1073">
        <v>2</v>
      </c>
      <c r="E1073" t="s">
        <v>47</v>
      </c>
      <c r="F1073">
        <v>6</v>
      </c>
      <c r="G1073" t="s">
        <v>45</v>
      </c>
      <c r="H1073" t="s">
        <v>664</v>
      </c>
      <c r="I1073">
        <v>74</v>
      </c>
      <c r="J1073">
        <v>100</v>
      </c>
      <c r="K1073">
        <v>41</v>
      </c>
      <c r="L1073">
        <v>44</v>
      </c>
      <c r="M1073">
        <v>39</v>
      </c>
      <c r="N1073">
        <v>84</v>
      </c>
      <c r="O1073">
        <v>308</v>
      </c>
      <c r="P1073">
        <v>61.6</v>
      </c>
      <c r="Q1073" t="s">
        <v>26</v>
      </c>
      <c r="R1073" t="s">
        <v>41</v>
      </c>
      <c r="S1073">
        <v>3341</v>
      </c>
      <c r="T1073" t="s">
        <v>48</v>
      </c>
      <c r="U1073" t="str">
        <f t="shared" si="16"/>
        <v>Pass</v>
      </c>
    </row>
    <row r="1074" spans="1:21">
      <c r="A1074" t="s">
        <v>2077</v>
      </c>
      <c r="B1074" t="s">
        <v>193</v>
      </c>
      <c r="C1074" t="s">
        <v>37</v>
      </c>
      <c r="D1074">
        <v>3</v>
      </c>
      <c r="E1074" t="s">
        <v>47</v>
      </c>
      <c r="F1074">
        <v>9</v>
      </c>
      <c r="G1074" t="s">
        <v>32</v>
      </c>
      <c r="H1074" t="s">
        <v>1950</v>
      </c>
      <c r="I1074">
        <v>88</v>
      </c>
      <c r="J1074">
        <v>99</v>
      </c>
      <c r="K1074">
        <v>90</v>
      </c>
      <c r="L1074">
        <v>98</v>
      </c>
      <c r="M1074">
        <v>44</v>
      </c>
      <c r="N1074">
        <v>92</v>
      </c>
      <c r="O1074">
        <v>423</v>
      </c>
      <c r="P1074">
        <v>84.6</v>
      </c>
      <c r="Q1074" t="s">
        <v>47</v>
      </c>
      <c r="R1074" t="s">
        <v>41</v>
      </c>
      <c r="S1074">
        <v>2683</v>
      </c>
      <c r="T1074" t="s">
        <v>70</v>
      </c>
      <c r="U1074" t="str">
        <f t="shared" si="16"/>
        <v>Pass</v>
      </c>
    </row>
    <row r="1075" spans="1:21">
      <c r="A1075" t="s">
        <v>2078</v>
      </c>
      <c r="B1075" t="s">
        <v>104</v>
      </c>
      <c r="C1075" t="s">
        <v>37</v>
      </c>
      <c r="D1075">
        <v>6</v>
      </c>
      <c r="E1075" t="s">
        <v>26</v>
      </c>
      <c r="F1075">
        <v>12</v>
      </c>
      <c r="G1075" t="s">
        <v>54</v>
      </c>
      <c r="H1075" t="s">
        <v>1268</v>
      </c>
      <c r="I1075">
        <v>67</v>
      </c>
      <c r="J1075">
        <v>78</v>
      </c>
      <c r="K1075">
        <v>45</v>
      </c>
      <c r="L1075">
        <v>83</v>
      </c>
      <c r="M1075">
        <v>65</v>
      </c>
      <c r="N1075">
        <v>36</v>
      </c>
      <c r="O1075">
        <v>307</v>
      </c>
      <c r="P1075">
        <v>61.4</v>
      </c>
      <c r="Q1075" t="s">
        <v>26</v>
      </c>
      <c r="R1075" t="s">
        <v>41</v>
      </c>
      <c r="S1075">
        <v>3906</v>
      </c>
      <c r="T1075" t="s">
        <v>34</v>
      </c>
      <c r="U1075" t="str">
        <f t="shared" si="16"/>
        <v>Pass</v>
      </c>
    </row>
    <row r="1076" spans="1:21">
      <c r="A1076" t="s">
        <v>2079</v>
      </c>
      <c r="B1076" t="s">
        <v>490</v>
      </c>
      <c r="C1076" t="s">
        <v>22</v>
      </c>
      <c r="D1076">
        <v>7</v>
      </c>
      <c r="E1076" t="s">
        <v>31</v>
      </c>
      <c r="F1076">
        <v>12</v>
      </c>
      <c r="G1076" t="s">
        <v>58</v>
      </c>
      <c r="H1076" t="s">
        <v>672</v>
      </c>
      <c r="I1076">
        <v>81</v>
      </c>
      <c r="J1076">
        <v>84</v>
      </c>
      <c r="K1076">
        <v>36</v>
      </c>
      <c r="L1076">
        <v>91</v>
      </c>
      <c r="M1076">
        <v>95</v>
      </c>
      <c r="N1076">
        <v>80</v>
      </c>
      <c r="O1076">
        <v>386</v>
      </c>
      <c r="P1076">
        <v>77.2</v>
      </c>
      <c r="Q1076" t="s">
        <v>40</v>
      </c>
      <c r="R1076" t="s">
        <v>27</v>
      </c>
      <c r="S1076">
        <v>4419</v>
      </c>
      <c r="T1076" t="s">
        <v>28</v>
      </c>
      <c r="U1076" t="str">
        <f t="shared" si="16"/>
        <v>Pass</v>
      </c>
    </row>
    <row r="1077" spans="1:21">
      <c r="A1077" t="s">
        <v>2080</v>
      </c>
      <c r="B1077" t="s">
        <v>651</v>
      </c>
      <c r="C1077" t="s">
        <v>22</v>
      </c>
      <c r="D1077">
        <v>9</v>
      </c>
      <c r="E1077" t="s">
        <v>23</v>
      </c>
      <c r="F1077">
        <v>15</v>
      </c>
      <c r="G1077" t="s">
        <v>54</v>
      </c>
      <c r="H1077" t="s">
        <v>2081</v>
      </c>
      <c r="I1077">
        <v>69</v>
      </c>
      <c r="J1077">
        <v>43</v>
      </c>
      <c r="K1077">
        <v>65</v>
      </c>
      <c r="L1077">
        <v>44</v>
      </c>
      <c r="M1077">
        <v>79</v>
      </c>
      <c r="N1077">
        <v>91</v>
      </c>
      <c r="O1077">
        <v>322</v>
      </c>
      <c r="P1077">
        <v>64.400000000000006</v>
      </c>
      <c r="Q1077" t="s">
        <v>26</v>
      </c>
      <c r="R1077" t="s">
        <v>27</v>
      </c>
      <c r="S1077">
        <v>4886</v>
      </c>
      <c r="T1077" t="s">
        <v>28</v>
      </c>
      <c r="U1077" t="str">
        <f t="shared" si="16"/>
        <v>Pass</v>
      </c>
    </row>
    <row r="1078" spans="1:21">
      <c r="A1078" t="s">
        <v>2082</v>
      </c>
      <c r="B1078" t="s">
        <v>261</v>
      </c>
      <c r="C1078" t="s">
        <v>37</v>
      </c>
      <c r="D1078">
        <v>2</v>
      </c>
      <c r="E1078" t="s">
        <v>26</v>
      </c>
      <c r="F1078">
        <v>6</v>
      </c>
      <c r="G1078" t="s">
        <v>24</v>
      </c>
      <c r="H1078" t="s">
        <v>1164</v>
      </c>
      <c r="I1078">
        <v>86</v>
      </c>
      <c r="J1078">
        <v>37</v>
      </c>
      <c r="K1078">
        <v>95</v>
      </c>
      <c r="L1078">
        <v>80</v>
      </c>
      <c r="M1078">
        <v>83</v>
      </c>
      <c r="N1078">
        <v>56</v>
      </c>
      <c r="O1078">
        <v>351</v>
      </c>
      <c r="P1078">
        <v>70.2</v>
      </c>
      <c r="Q1078" t="s">
        <v>40</v>
      </c>
      <c r="R1078" t="s">
        <v>27</v>
      </c>
      <c r="S1078">
        <v>3195</v>
      </c>
      <c r="T1078" t="s">
        <v>42</v>
      </c>
      <c r="U1078" t="str">
        <f t="shared" si="16"/>
        <v>Pass</v>
      </c>
    </row>
    <row r="1079" spans="1:21">
      <c r="A1079" t="s">
        <v>2083</v>
      </c>
      <c r="B1079" t="s">
        <v>154</v>
      </c>
      <c r="C1079" t="s">
        <v>22</v>
      </c>
      <c r="D1079">
        <v>11</v>
      </c>
      <c r="E1079" t="s">
        <v>26</v>
      </c>
      <c r="F1079">
        <v>15</v>
      </c>
      <c r="G1079" t="s">
        <v>54</v>
      </c>
      <c r="H1079" t="s">
        <v>2084</v>
      </c>
      <c r="I1079">
        <v>83</v>
      </c>
      <c r="J1079">
        <v>98</v>
      </c>
      <c r="K1079">
        <v>82</v>
      </c>
      <c r="L1079">
        <v>37</v>
      </c>
      <c r="M1079">
        <v>50</v>
      </c>
      <c r="N1079">
        <v>98</v>
      </c>
      <c r="O1079">
        <v>365</v>
      </c>
      <c r="P1079">
        <v>73</v>
      </c>
      <c r="Q1079" t="s">
        <v>40</v>
      </c>
      <c r="R1079" t="s">
        <v>27</v>
      </c>
      <c r="S1079">
        <v>1506</v>
      </c>
      <c r="T1079" t="s">
        <v>66</v>
      </c>
      <c r="U1079" t="str">
        <f t="shared" si="16"/>
        <v>Pass</v>
      </c>
    </row>
    <row r="1080" spans="1:21">
      <c r="A1080" t="s">
        <v>2085</v>
      </c>
      <c r="B1080" t="s">
        <v>375</v>
      </c>
      <c r="C1080" t="s">
        <v>22</v>
      </c>
      <c r="D1080">
        <v>10</v>
      </c>
      <c r="E1080" t="s">
        <v>26</v>
      </c>
      <c r="F1080">
        <v>16</v>
      </c>
      <c r="G1080" t="s">
        <v>24</v>
      </c>
      <c r="H1080" t="s">
        <v>2086</v>
      </c>
      <c r="I1080">
        <v>89</v>
      </c>
      <c r="J1080">
        <v>44</v>
      </c>
      <c r="K1080">
        <v>50</v>
      </c>
      <c r="L1080">
        <v>45</v>
      </c>
      <c r="M1080">
        <v>39</v>
      </c>
      <c r="N1080">
        <v>71</v>
      </c>
      <c r="O1080">
        <v>249</v>
      </c>
      <c r="P1080">
        <v>49.8</v>
      </c>
      <c r="Q1080" t="s">
        <v>23</v>
      </c>
      <c r="R1080" t="s">
        <v>41</v>
      </c>
      <c r="S1080">
        <v>4308</v>
      </c>
      <c r="T1080" t="s">
        <v>34</v>
      </c>
      <c r="U1080" t="str">
        <f t="shared" si="16"/>
        <v>Fail</v>
      </c>
    </row>
    <row r="1081" spans="1:21">
      <c r="A1081" t="s">
        <v>2087</v>
      </c>
      <c r="B1081" t="s">
        <v>1644</v>
      </c>
      <c r="C1081" t="s">
        <v>37</v>
      </c>
      <c r="D1081">
        <v>2</v>
      </c>
      <c r="E1081" t="s">
        <v>26</v>
      </c>
      <c r="F1081">
        <v>6</v>
      </c>
      <c r="G1081" t="s">
        <v>54</v>
      </c>
      <c r="H1081" t="s">
        <v>2088</v>
      </c>
      <c r="I1081">
        <v>69</v>
      </c>
      <c r="J1081">
        <v>94</v>
      </c>
      <c r="K1081">
        <v>63</v>
      </c>
      <c r="L1081">
        <v>35</v>
      </c>
      <c r="M1081">
        <v>37</v>
      </c>
      <c r="N1081">
        <v>68</v>
      </c>
      <c r="O1081">
        <v>297</v>
      </c>
      <c r="P1081">
        <v>59.4</v>
      </c>
      <c r="Q1081" t="s">
        <v>31</v>
      </c>
      <c r="R1081" t="s">
        <v>27</v>
      </c>
      <c r="S1081">
        <v>2437</v>
      </c>
      <c r="T1081" t="s">
        <v>34</v>
      </c>
      <c r="U1081" t="str">
        <f t="shared" si="16"/>
        <v>Pass</v>
      </c>
    </row>
    <row r="1082" spans="1:21">
      <c r="A1082" t="s">
        <v>2089</v>
      </c>
      <c r="B1082" t="s">
        <v>165</v>
      </c>
      <c r="C1082" t="s">
        <v>37</v>
      </c>
      <c r="D1082">
        <v>9</v>
      </c>
      <c r="E1082" t="s">
        <v>23</v>
      </c>
      <c r="F1082">
        <v>15</v>
      </c>
      <c r="G1082" t="s">
        <v>64</v>
      </c>
      <c r="H1082" t="s">
        <v>2090</v>
      </c>
      <c r="I1082">
        <v>78</v>
      </c>
      <c r="J1082">
        <v>100</v>
      </c>
      <c r="K1082">
        <v>45</v>
      </c>
      <c r="L1082">
        <v>64</v>
      </c>
      <c r="M1082">
        <v>62</v>
      </c>
      <c r="N1082">
        <v>42</v>
      </c>
      <c r="O1082">
        <v>313</v>
      </c>
      <c r="P1082">
        <v>62.6</v>
      </c>
      <c r="Q1082" t="s">
        <v>26</v>
      </c>
      <c r="R1082" t="s">
        <v>41</v>
      </c>
      <c r="S1082">
        <v>4950</v>
      </c>
      <c r="T1082" t="s">
        <v>42</v>
      </c>
      <c r="U1082" t="str">
        <f t="shared" si="16"/>
        <v>Pass</v>
      </c>
    </row>
    <row r="1083" spans="1:21">
      <c r="A1083" t="s">
        <v>2091</v>
      </c>
      <c r="B1083" t="s">
        <v>982</v>
      </c>
      <c r="C1083" t="s">
        <v>37</v>
      </c>
      <c r="D1083">
        <v>1</v>
      </c>
      <c r="E1083" t="s">
        <v>23</v>
      </c>
      <c r="F1083">
        <v>6</v>
      </c>
      <c r="G1083" t="s">
        <v>24</v>
      </c>
      <c r="H1083" t="s">
        <v>901</v>
      </c>
      <c r="I1083">
        <v>66</v>
      </c>
      <c r="J1083">
        <v>85</v>
      </c>
      <c r="K1083">
        <v>91</v>
      </c>
      <c r="L1083">
        <v>72</v>
      </c>
      <c r="M1083">
        <v>58</v>
      </c>
      <c r="N1083">
        <v>95</v>
      </c>
      <c r="O1083">
        <v>401</v>
      </c>
      <c r="P1083">
        <v>80.2</v>
      </c>
      <c r="Q1083" t="s">
        <v>47</v>
      </c>
      <c r="R1083" t="s">
        <v>27</v>
      </c>
      <c r="S1083">
        <v>2155</v>
      </c>
      <c r="T1083" t="s">
        <v>42</v>
      </c>
      <c r="U1083" t="str">
        <f t="shared" si="16"/>
        <v>Pass</v>
      </c>
    </row>
    <row r="1084" spans="1:21">
      <c r="A1084" t="s">
        <v>2092</v>
      </c>
      <c r="B1084" t="s">
        <v>61</v>
      </c>
      <c r="C1084" t="s">
        <v>22</v>
      </c>
      <c r="D1084">
        <v>9</v>
      </c>
      <c r="E1084" t="s">
        <v>23</v>
      </c>
      <c r="F1084">
        <v>14</v>
      </c>
      <c r="G1084" t="s">
        <v>54</v>
      </c>
      <c r="H1084" t="s">
        <v>2093</v>
      </c>
      <c r="I1084">
        <v>98</v>
      </c>
      <c r="J1084">
        <v>48</v>
      </c>
      <c r="K1084">
        <v>96</v>
      </c>
      <c r="L1084">
        <v>92</v>
      </c>
      <c r="M1084">
        <v>54</v>
      </c>
      <c r="N1084">
        <v>84</v>
      </c>
      <c r="O1084">
        <v>374</v>
      </c>
      <c r="P1084">
        <v>74.8</v>
      </c>
      <c r="Q1084" t="s">
        <v>40</v>
      </c>
      <c r="R1084" t="s">
        <v>41</v>
      </c>
      <c r="S1084">
        <v>2393</v>
      </c>
      <c r="T1084" t="s">
        <v>42</v>
      </c>
      <c r="U1084" t="str">
        <f t="shared" si="16"/>
        <v>Pass</v>
      </c>
    </row>
    <row r="1085" spans="1:21">
      <c r="A1085" t="s">
        <v>2094</v>
      </c>
      <c r="B1085" t="s">
        <v>824</v>
      </c>
      <c r="C1085" t="s">
        <v>22</v>
      </c>
      <c r="D1085">
        <v>1</v>
      </c>
      <c r="E1085" t="s">
        <v>47</v>
      </c>
      <c r="F1085">
        <v>7</v>
      </c>
      <c r="G1085" t="s">
        <v>24</v>
      </c>
      <c r="H1085" t="s">
        <v>1456</v>
      </c>
      <c r="I1085">
        <v>68</v>
      </c>
      <c r="J1085">
        <v>71</v>
      </c>
      <c r="K1085">
        <v>90</v>
      </c>
      <c r="L1085">
        <v>88</v>
      </c>
      <c r="M1085">
        <v>38</v>
      </c>
      <c r="N1085">
        <v>68</v>
      </c>
      <c r="O1085">
        <v>355</v>
      </c>
      <c r="P1085">
        <v>71</v>
      </c>
      <c r="Q1085" t="s">
        <v>40</v>
      </c>
      <c r="R1085" t="s">
        <v>41</v>
      </c>
      <c r="S1085">
        <v>3087</v>
      </c>
      <c r="T1085" t="s">
        <v>34</v>
      </c>
      <c r="U1085" t="str">
        <f t="shared" si="16"/>
        <v>Pass</v>
      </c>
    </row>
    <row r="1086" spans="1:21">
      <c r="A1086" t="s">
        <v>2095</v>
      </c>
      <c r="B1086" t="s">
        <v>140</v>
      </c>
      <c r="C1086" t="s">
        <v>37</v>
      </c>
      <c r="D1086">
        <v>12</v>
      </c>
      <c r="E1086" t="s">
        <v>26</v>
      </c>
      <c r="F1086">
        <v>17</v>
      </c>
      <c r="G1086" t="s">
        <v>54</v>
      </c>
      <c r="H1086" t="s">
        <v>2096</v>
      </c>
      <c r="I1086">
        <v>80</v>
      </c>
      <c r="J1086">
        <v>80</v>
      </c>
      <c r="K1086">
        <v>72</v>
      </c>
      <c r="L1086">
        <v>100</v>
      </c>
      <c r="M1086">
        <v>56</v>
      </c>
      <c r="N1086">
        <v>96</v>
      </c>
      <c r="O1086">
        <v>404</v>
      </c>
      <c r="P1086">
        <v>80.8</v>
      </c>
      <c r="Q1086" t="s">
        <v>47</v>
      </c>
      <c r="R1086" t="s">
        <v>27</v>
      </c>
      <c r="S1086">
        <v>1946</v>
      </c>
      <c r="T1086" t="s">
        <v>48</v>
      </c>
      <c r="U1086" t="str">
        <f t="shared" si="16"/>
        <v>Pass</v>
      </c>
    </row>
    <row r="1087" spans="1:21">
      <c r="A1087" t="s">
        <v>2097</v>
      </c>
      <c r="B1087" t="s">
        <v>419</v>
      </c>
      <c r="C1087" t="s">
        <v>37</v>
      </c>
      <c r="D1087">
        <v>4</v>
      </c>
      <c r="E1087" t="s">
        <v>47</v>
      </c>
      <c r="F1087">
        <v>8</v>
      </c>
      <c r="G1087" t="s">
        <v>64</v>
      </c>
      <c r="H1087" t="s">
        <v>2067</v>
      </c>
      <c r="I1087">
        <v>69</v>
      </c>
      <c r="J1087">
        <v>66</v>
      </c>
      <c r="K1087">
        <v>38</v>
      </c>
      <c r="L1087">
        <v>50</v>
      </c>
      <c r="M1087">
        <v>37</v>
      </c>
      <c r="N1087">
        <v>95</v>
      </c>
      <c r="O1087">
        <v>286</v>
      </c>
      <c r="P1087">
        <v>57.2</v>
      </c>
      <c r="Q1087" t="s">
        <v>31</v>
      </c>
      <c r="R1087" t="s">
        <v>27</v>
      </c>
      <c r="S1087">
        <v>4638</v>
      </c>
      <c r="T1087" t="s">
        <v>28</v>
      </c>
      <c r="U1087" t="str">
        <f t="shared" si="16"/>
        <v>Pass</v>
      </c>
    </row>
    <row r="1088" spans="1:21">
      <c r="A1088" t="s">
        <v>2098</v>
      </c>
      <c r="B1088" t="s">
        <v>579</v>
      </c>
      <c r="C1088" t="s">
        <v>37</v>
      </c>
      <c r="D1088">
        <v>9</v>
      </c>
      <c r="E1088" t="s">
        <v>31</v>
      </c>
      <c r="F1088">
        <v>13</v>
      </c>
      <c r="G1088" t="s">
        <v>38</v>
      </c>
      <c r="H1088" t="s">
        <v>1317</v>
      </c>
      <c r="I1088">
        <v>96</v>
      </c>
      <c r="J1088">
        <v>96</v>
      </c>
      <c r="K1088">
        <v>79</v>
      </c>
      <c r="L1088">
        <v>64</v>
      </c>
      <c r="M1088">
        <v>81</v>
      </c>
      <c r="N1088">
        <v>94</v>
      </c>
      <c r="O1088">
        <v>414</v>
      </c>
      <c r="P1088">
        <v>82.8</v>
      </c>
      <c r="Q1088" t="s">
        <v>47</v>
      </c>
      <c r="R1088" t="s">
        <v>41</v>
      </c>
      <c r="S1088">
        <v>1552</v>
      </c>
      <c r="T1088" t="s">
        <v>70</v>
      </c>
      <c r="U1088" t="str">
        <f t="shared" si="16"/>
        <v>Pass</v>
      </c>
    </row>
    <row r="1089" spans="1:21">
      <c r="A1089" t="s">
        <v>2099</v>
      </c>
      <c r="B1089" t="s">
        <v>137</v>
      </c>
      <c r="C1089" t="s">
        <v>37</v>
      </c>
      <c r="D1089">
        <v>8</v>
      </c>
      <c r="E1089" t="s">
        <v>23</v>
      </c>
      <c r="F1089">
        <v>14</v>
      </c>
      <c r="G1089" t="s">
        <v>64</v>
      </c>
      <c r="H1089" t="s">
        <v>2100</v>
      </c>
      <c r="I1089">
        <v>67</v>
      </c>
      <c r="J1089">
        <v>91</v>
      </c>
      <c r="K1089">
        <v>95</v>
      </c>
      <c r="L1089">
        <v>65</v>
      </c>
      <c r="M1089">
        <v>49</v>
      </c>
      <c r="N1089">
        <v>81</v>
      </c>
      <c r="O1089">
        <v>381</v>
      </c>
      <c r="P1089">
        <v>76.2</v>
      </c>
      <c r="Q1089" t="s">
        <v>40</v>
      </c>
      <c r="R1089" t="s">
        <v>27</v>
      </c>
      <c r="S1089">
        <v>3389</v>
      </c>
      <c r="T1089" t="s">
        <v>66</v>
      </c>
      <c r="U1089" t="str">
        <f t="shared" si="16"/>
        <v>Pass</v>
      </c>
    </row>
    <row r="1090" spans="1:21">
      <c r="A1090" t="s">
        <v>2101</v>
      </c>
      <c r="B1090" t="s">
        <v>107</v>
      </c>
      <c r="C1090" t="s">
        <v>37</v>
      </c>
      <c r="D1090">
        <v>2</v>
      </c>
      <c r="E1090" t="s">
        <v>26</v>
      </c>
      <c r="F1090">
        <v>6</v>
      </c>
      <c r="G1090" t="s">
        <v>32</v>
      </c>
      <c r="H1090" t="s">
        <v>1276</v>
      </c>
      <c r="I1090">
        <v>87</v>
      </c>
      <c r="J1090">
        <v>80</v>
      </c>
      <c r="K1090">
        <v>52</v>
      </c>
      <c r="L1090">
        <v>61</v>
      </c>
      <c r="M1090">
        <v>96</v>
      </c>
      <c r="N1090">
        <v>94</v>
      </c>
      <c r="O1090">
        <v>383</v>
      </c>
      <c r="P1090">
        <v>76.599999999999994</v>
      </c>
      <c r="Q1090" t="s">
        <v>40</v>
      </c>
      <c r="R1090" t="s">
        <v>27</v>
      </c>
      <c r="S1090">
        <v>2451</v>
      </c>
      <c r="T1090" t="s">
        <v>48</v>
      </c>
      <c r="U1090" t="str">
        <f t="shared" si="16"/>
        <v>Pass</v>
      </c>
    </row>
    <row r="1091" spans="1:21">
      <c r="A1091" t="s">
        <v>2102</v>
      </c>
      <c r="B1091" t="s">
        <v>239</v>
      </c>
      <c r="C1091" t="s">
        <v>37</v>
      </c>
      <c r="D1091">
        <v>7</v>
      </c>
      <c r="E1091" t="s">
        <v>26</v>
      </c>
      <c r="F1091">
        <v>11</v>
      </c>
      <c r="G1091" t="s">
        <v>45</v>
      </c>
      <c r="H1091" t="s">
        <v>1128</v>
      </c>
      <c r="I1091">
        <v>91</v>
      </c>
      <c r="J1091">
        <v>86</v>
      </c>
      <c r="K1091">
        <v>95</v>
      </c>
      <c r="L1091">
        <v>44</v>
      </c>
      <c r="M1091">
        <v>57</v>
      </c>
      <c r="N1091">
        <v>99</v>
      </c>
      <c r="O1091">
        <v>381</v>
      </c>
      <c r="P1091">
        <v>76.2</v>
      </c>
      <c r="Q1091" t="s">
        <v>40</v>
      </c>
      <c r="R1091" t="s">
        <v>41</v>
      </c>
      <c r="S1091">
        <v>4214</v>
      </c>
      <c r="T1091" t="s">
        <v>28</v>
      </c>
      <c r="U1091" t="str">
        <f t="shared" ref="U1091:U1154" si="17">IF(P1091&gt;55,"Pass","Fail")</f>
        <v>Pass</v>
      </c>
    </row>
    <row r="1092" spans="1:21">
      <c r="A1092" t="s">
        <v>2103</v>
      </c>
      <c r="B1092" t="s">
        <v>389</v>
      </c>
      <c r="C1092" t="s">
        <v>37</v>
      </c>
      <c r="D1092">
        <v>7</v>
      </c>
      <c r="E1092" t="s">
        <v>31</v>
      </c>
      <c r="F1092">
        <v>13</v>
      </c>
      <c r="G1092" t="s">
        <v>45</v>
      </c>
      <c r="H1092" t="s">
        <v>2104</v>
      </c>
      <c r="I1092">
        <v>98</v>
      </c>
      <c r="J1092">
        <v>90</v>
      </c>
      <c r="K1092">
        <v>36</v>
      </c>
      <c r="L1092">
        <v>48</v>
      </c>
      <c r="M1092">
        <v>82</v>
      </c>
      <c r="N1092">
        <v>99</v>
      </c>
      <c r="O1092">
        <v>355</v>
      </c>
      <c r="P1092">
        <v>71</v>
      </c>
      <c r="Q1092" t="s">
        <v>40</v>
      </c>
      <c r="R1092" t="s">
        <v>27</v>
      </c>
      <c r="S1092">
        <v>1989</v>
      </c>
      <c r="T1092" t="s">
        <v>42</v>
      </c>
      <c r="U1092" t="str">
        <f t="shared" si="17"/>
        <v>Pass</v>
      </c>
    </row>
    <row r="1093" spans="1:21">
      <c r="A1093" t="s">
        <v>2105</v>
      </c>
      <c r="B1093" t="s">
        <v>302</v>
      </c>
      <c r="C1093" t="s">
        <v>37</v>
      </c>
      <c r="D1093">
        <v>10</v>
      </c>
      <c r="E1093" t="s">
        <v>47</v>
      </c>
      <c r="F1093">
        <v>15</v>
      </c>
      <c r="G1093" t="s">
        <v>64</v>
      </c>
      <c r="H1093" t="s">
        <v>2106</v>
      </c>
      <c r="I1093">
        <v>70</v>
      </c>
      <c r="J1093">
        <v>76</v>
      </c>
      <c r="K1093">
        <v>41</v>
      </c>
      <c r="L1093">
        <v>93</v>
      </c>
      <c r="M1093">
        <v>81</v>
      </c>
      <c r="N1093">
        <v>51</v>
      </c>
      <c r="O1093">
        <v>342</v>
      </c>
      <c r="P1093">
        <v>68.400000000000006</v>
      </c>
      <c r="Q1093" t="s">
        <v>26</v>
      </c>
      <c r="R1093" t="s">
        <v>41</v>
      </c>
      <c r="S1093">
        <v>4335</v>
      </c>
      <c r="T1093" t="s">
        <v>48</v>
      </c>
      <c r="U1093" t="str">
        <f t="shared" si="17"/>
        <v>Pass</v>
      </c>
    </row>
    <row r="1094" spans="1:21">
      <c r="A1094" t="s">
        <v>2107</v>
      </c>
      <c r="B1094" t="s">
        <v>332</v>
      </c>
      <c r="C1094" t="s">
        <v>22</v>
      </c>
      <c r="D1094">
        <v>11</v>
      </c>
      <c r="E1094" t="s">
        <v>26</v>
      </c>
      <c r="F1094">
        <v>17</v>
      </c>
      <c r="G1094" t="s">
        <v>45</v>
      </c>
      <c r="H1094" t="s">
        <v>2108</v>
      </c>
      <c r="I1094">
        <v>79</v>
      </c>
      <c r="J1094">
        <v>37</v>
      </c>
      <c r="K1094">
        <v>41</v>
      </c>
      <c r="L1094">
        <v>87</v>
      </c>
      <c r="M1094">
        <v>69</v>
      </c>
      <c r="N1094">
        <v>38</v>
      </c>
      <c r="O1094">
        <v>272</v>
      </c>
      <c r="P1094">
        <v>54.4</v>
      </c>
      <c r="Q1094" t="s">
        <v>31</v>
      </c>
      <c r="R1094" t="s">
        <v>27</v>
      </c>
      <c r="S1094">
        <v>2646</v>
      </c>
      <c r="T1094" t="s">
        <v>70</v>
      </c>
      <c r="U1094" t="str">
        <f t="shared" si="17"/>
        <v>Fail</v>
      </c>
    </row>
    <row r="1095" spans="1:21">
      <c r="A1095" t="s">
        <v>2109</v>
      </c>
      <c r="B1095" t="s">
        <v>151</v>
      </c>
      <c r="C1095" t="s">
        <v>37</v>
      </c>
      <c r="D1095">
        <v>10</v>
      </c>
      <c r="E1095" t="s">
        <v>26</v>
      </c>
      <c r="F1095">
        <v>14</v>
      </c>
      <c r="G1095" t="s">
        <v>54</v>
      </c>
      <c r="H1095" t="s">
        <v>384</v>
      </c>
      <c r="I1095">
        <v>99</v>
      </c>
      <c r="J1095">
        <v>94</v>
      </c>
      <c r="K1095">
        <v>41</v>
      </c>
      <c r="L1095">
        <v>76</v>
      </c>
      <c r="M1095">
        <v>73</v>
      </c>
      <c r="N1095">
        <v>41</v>
      </c>
      <c r="O1095">
        <v>325</v>
      </c>
      <c r="P1095">
        <v>65</v>
      </c>
      <c r="Q1095" t="s">
        <v>26</v>
      </c>
      <c r="R1095" t="s">
        <v>27</v>
      </c>
      <c r="S1095">
        <v>1771</v>
      </c>
      <c r="T1095" t="s">
        <v>34</v>
      </c>
      <c r="U1095" t="str">
        <f t="shared" si="17"/>
        <v>Pass</v>
      </c>
    </row>
    <row r="1096" spans="1:21">
      <c r="A1096" t="s">
        <v>2110</v>
      </c>
      <c r="B1096" t="s">
        <v>748</v>
      </c>
      <c r="C1096" t="s">
        <v>37</v>
      </c>
      <c r="D1096">
        <v>2</v>
      </c>
      <c r="E1096" t="s">
        <v>31</v>
      </c>
      <c r="F1096">
        <v>7</v>
      </c>
      <c r="G1096" t="s">
        <v>58</v>
      </c>
      <c r="H1096" t="s">
        <v>2111</v>
      </c>
      <c r="I1096">
        <v>65</v>
      </c>
      <c r="J1096">
        <v>97</v>
      </c>
      <c r="K1096">
        <v>74</v>
      </c>
      <c r="L1096">
        <v>62</v>
      </c>
      <c r="M1096">
        <v>91</v>
      </c>
      <c r="N1096">
        <v>69</v>
      </c>
      <c r="O1096">
        <v>393</v>
      </c>
      <c r="P1096">
        <v>78.599999999999994</v>
      </c>
      <c r="Q1096" t="s">
        <v>40</v>
      </c>
      <c r="R1096" t="s">
        <v>41</v>
      </c>
      <c r="S1096">
        <v>3275</v>
      </c>
      <c r="T1096" t="s">
        <v>66</v>
      </c>
      <c r="U1096" t="str">
        <f t="shared" si="17"/>
        <v>Pass</v>
      </c>
    </row>
    <row r="1097" spans="1:21">
      <c r="A1097" t="s">
        <v>2112</v>
      </c>
      <c r="B1097" t="s">
        <v>879</v>
      </c>
      <c r="C1097" t="s">
        <v>37</v>
      </c>
      <c r="D1097">
        <v>1</v>
      </c>
      <c r="E1097" t="s">
        <v>31</v>
      </c>
      <c r="F1097">
        <v>7</v>
      </c>
      <c r="G1097" t="s">
        <v>58</v>
      </c>
      <c r="H1097" t="s">
        <v>2113</v>
      </c>
      <c r="I1097">
        <v>65</v>
      </c>
      <c r="J1097">
        <v>44</v>
      </c>
      <c r="K1097">
        <v>68</v>
      </c>
      <c r="L1097">
        <v>40</v>
      </c>
      <c r="M1097">
        <v>77</v>
      </c>
      <c r="N1097">
        <v>43</v>
      </c>
      <c r="O1097">
        <v>272</v>
      </c>
      <c r="P1097">
        <v>54.4</v>
      </c>
      <c r="Q1097" t="s">
        <v>31</v>
      </c>
      <c r="R1097" t="s">
        <v>27</v>
      </c>
      <c r="S1097">
        <v>2002</v>
      </c>
      <c r="T1097" t="s">
        <v>48</v>
      </c>
      <c r="U1097" t="str">
        <f t="shared" si="17"/>
        <v>Fail</v>
      </c>
    </row>
    <row r="1098" spans="1:21">
      <c r="A1098" t="s">
        <v>2114</v>
      </c>
      <c r="B1098" t="s">
        <v>426</v>
      </c>
      <c r="C1098" t="s">
        <v>37</v>
      </c>
      <c r="D1098">
        <v>5</v>
      </c>
      <c r="E1098" t="s">
        <v>31</v>
      </c>
      <c r="F1098">
        <v>9</v>
      </c>
      <c r="G1098" t="s">
        <v>45</v>
      </c>
      <c r="H1098" t="s">
        <v>1582</v>
      </c>
      <c r="I1098">
        <v>93</v>
      </c>
      <c r="J1098">
        <v>35</v>
      </c>
      <c r="K1098">
        <v>100</v>
      </c>
      <c r="L1098">
        <v>87</v>
      </c>
      <c r="M1098">
        <v>72</v>
      </c>
      <c r="N1098">
        <v>61</v>
      </c>
      <c r="O1098">
        <v>355</v>
      </c>
      <c r="P1098">
        <v>71</v>
      </c>
      <c r="Q1098" t="s">
        <v>40</v>
      </c>
      <c r="R1098" t="s">
        <v>41</v>
      </c>
      <c r="S1098">
        <v>3474</v>
      </c>
      <c r="T1098" t="s">
        <v>70</v>
      </c>
      <c r="U1098" t="str">
        <f t="shared" si="17"/>
        <v>Pass</v>
      </c>
    </row>
    <row r="1099" spans="1:21">
      <c r="A1099" t="s">
        <v>2115</v>
      </c>
      <c r="B1099" t="s">
        <v>518</v>
      </c>
      <c r="C1099" t="s">
        <v>22</v>
      </c>
      <c r="D1099">
        <v>4</v>
      </c>
      <c r="E1099" t="s">
        <v>47</v>
      </c>
      <c r="F1099">
        <v>10</v>
      </c>
      <c r="G1099" t="s">
        <v>64</v>
      </c>
      <c r="H1099" t="s">
        <v>2116</v>
      </c>
      <c r="I1099">
        <v>60</v>
      </c>
      <c r="J1099">
        <v>42</v>
      </c>
      <c r="K1099">
        <v>83</v>
      </c>
      <c r="L1099">
        <v>66</v>
      </c>
      <c r="M1099">
        <v>68</v>
      </c>
      <c r="N1099">
        <v>86</v>
      </c>
      <c r="O1099">
        <v>345</v>
      </c>
      <c r="P1099">
        <v>69</v>
      </c>
      <c r="Q1099" t="s">
        <v>26</v>
      </c>
      <c r="R1099" t="s">
        <v>41</v>
      </c>
      <c r="S1099">
        <v>4549</v>
      </c>
      <c r="T1099" t="s">
        <v>34</v>
      </c>
      <c r="U1099" t="str">
        <f t="shared" si="17"/>
        <v>Pass</v>
      </c>
    </row>
    <row r="1100" spans="1:21">
      <c r="A1100" t="s">
        <v>2117</v>
      </c>
      <c r="B1100" t="s">
        <v>1142</v>
      </c>
      <c r="C1100" t="s">
        <v>22</v>
      </c>
      <c r="D1100">
        <v>3</v>
      </c>
      <c r="E1100" t="s">
        <v>23</v>
      </c>
      <c r="F1100">
        <v>7</v>
      </c>
      <c r="G1100" t="s">
        <v>45</v>
      </c>
      <c r="H1100" t="s">
        <v>2118</v>
      </c>
      <c r="I1100">
        <v>88</v>
      </c>
      <c r="J1100">
        <v>91</v>
      </c>
      <c r="K1100">
        <v>59</v>
      </c>
      <c r="L1100">
        <v>65</v>
      </c>
      <c r="M1100">
        <v>80</v>
      </c>
      <c r="N1100">
        <v>87</v>
      </c>
      <c r="O1100">
        <v>382</v>
      </c>
      <c r="P1100">
        <v>76.400000000000006</v>
      </c>
      <c r="Q1100" t="s">
        <v>40</v>
      </c>
      <c r="R1100" t="s">
        <v>41</v>
      </c>
      <c r="S1100">
        <v>2701</v>
      </c>
      <c r="T1100" t="s">
        <v>34</v>
      </c>
      <c r="U1100" t="str">
        <f t="shared" si="17"/>
        <v>Pass</v>
      </c>
    </row>
    <row r="1101" spans="1:21">
      <c r="A1101" t="s">
        <v>2119</v>
      </c>
      <c r="B1101" t="s">
        <v>1281</v>
      </c>
      <c r="C1101" t="s">
        <v>37</v>
      </c>
      <c r="D1101">
        <v>8</v>
      </c>
      <c r="E1101" t="s">
        <v>26</v>
      </c>
      <c r="F1101">
        <v>14</v>
      </c>
      <c r="G1101" t="s">
        <v>64</v>
      </c>
      <c r="H1101" t="s">
        <v>1352</v>
      </c>
      <c r="I1101">
        <v>94</v>
      </c>
      <c r="J1101">
        <v>99</v>
      </c>
      <c r="K1101">
        <v>58</v>
      </c>
      <c r="L1101">
        <v>46</v>
      </c>
      <c r="M1101">
        <v>81</v>
      </c>
      <c r="N1101">
        <v>68</v>
      </c>
      <c r="O1101">
        <v>352</v>
      </c>
      <c r="P1101">
        <v>70.400000000000006</v>
      </c>
      <c r="Q1101" t="s">
        <v>40</v>
      </c>
      <c r="R1101" t="s">
        <v>41</v>
      </c>
      <c r="S1101">
        <v>4536</v>
      </c>
      <c r="T1101" t="s">
        <v>48</v>
      </c>
      <c r="U1101" t="str">
        <f t="shared" si="17"/>
        <v>Pass</v>
      </c>
    </row>
    <row r="1102" spans="1:21">
      <c r="A1102" t="s">
        <v>2120</v>
      </c>
      <c r="B1102" t="s">
        <v>525</v>
      </c>
      <c r="C1102" t="s">
        <v>22</v>
      </c>
      <c r="D1102">
        <v>9</v>
      </c>
      <c r="E1102" t="s">
        <v>47</v>
      </c>
      <c r="F1102">
        <v>14</v>
      </c>
      <c r="G1102" t="s">
        <v>54</v>
      </c>
      <c r="H1102" t="s">
        <v>2121</v>
      </c>
      <c r="I1102">
        <v>62</v>
      </c>
      <c r="J1102">
        <v>80</v>
      </c>
      <c r="K1102">
        <v>80</v>
      </c>
      <c r="L1102">
        <v>50</v>
      </c>
      <c r="M1102">
        <v>51</v>
      </c>
      <c r="N1102">
        <v>45</v>
      </c>
      <c r="O1102">
        <v>306</v>
      </c>
      <c r="P1102">
        <v>61.2</v>
      </c>
      <c r="Q1102" t="s">
        <v>26</v>
      </c>
      <c r="R1102" t="s">
        <v>41</v>
      </c>
      <c r="S1102">
        <v>4448</v>
      </c>
      <c r="T1102" t="s">
        <v>34</v>
      </c>
      <c r="U1102" t="str">
        <f t="shared" si="17"/>
        <v>Pass</v>
      </c>
    </row>
    <row r="1103" spans="1:21">
      <c r="A1103" t="s">
        <v>2122</v>
      </c>
      <c r="B1103" t="s">
        <v>879</v>
      </c>
      <c r="C1103" t="s">
        <v>37</v>
      </c>
      <c r="D1103">
        <v>9</v>
      </c>
      <c r="E1103" t="s">
        <v>31</v>
      </c>
      <c r="F1103">
        <v>15</v>
      </c>
      <c r="G1103" t="s">
        <v>54</v>
      </c>
      <c r="H1103" t="s">
        <v>1555</v>
      </c>
      <c r="I1103">
        <v>92</v>
      </c>
      <c r="J1103">
        <v>41</v>
      </c>
      <c r="K1103">
        <v>65</v>
      </c>
      <c r="L1103">
        <v>88</v>
      </c>
      <c r="M1103">
        <v>38</v>
      </c>
      <c r="N1103">
        <v>55</v>
      </c>
      <c r="O1103">
        <v>287</v>
      </c>
      <c r="P1103">
        <v>57.4</v>
      </c>
      <c r="Q1103" t="s">
        <v>31</v>
      </c>
      <c r="R1103" t="s">
        <v>27</v>
      </c>
      <c r="S1103">
        <v>3637</v>
      </c>
      <c r="T1103" t="s">
        <v>70</v>
      </c>
      <c r="U1103" t="str">
        <f t="shared" si="17"/>
        <v>Pass</v>
      </c>
    </row>
    <row r="1104" spans="1:21">
      <c r="A1104" t="s">
        <v>2123</v>
      </c>
      <c r="B1104" t="s">
        <v>250</v>
      </c>
      <c r="C1104" t="s">
        <v>22</v>
      </c>
      <c r="D1104">
        <v>9</v>
      </c>
      <c r="E1104" t="s">
        <v>31</v>
      </c>
      <c r="F1104">
        <v>15</v>
      </c>
      <c r="G1104" t="s">
        <v>24</v>
      </c>
      <c r="H1104" t="s">
        <v>2124</v>
      </c>
      <c r="I1104">
        <v>67</v>
      </c>
      <c r="J1104">
        <v>53</v>
      </c>
      <c r="K1104">
        <v>58</v>
      </c>
      <c r="L1104">
        <v>99</v>
      </c>
      <c r="M1104">
        <v>97</v>
      </c>
      <c r="N1104">
        <v>68</v>
      </c>
      <c r="O1104">
        <v>375</v>
      </c>
      <c r="P1104">
        <v>75</v>
      </c>
      <c r="Q1104" t="s">
        <v>40</v>
      </c>
      <c r="R1104" t="s">
        <v>41</v>
      </c>
      <c r="S1104">
        <v>4302</v>
      </c>
      <c r="T1104" t="s">
        <v>28</v>
      </c>
      <c r="U1104" t="str">
        <f t="shared" si="17"/>
        <v>Pass</v>
      </c>
    </row>
    <row r="1105" spans="1:21">
      <c r="A1105" t="s">
        <v>2125</v>
      </c>
      <c r="B1105" t="s">
        <v>490</v>
      </c>
      <c r="C1105" t="s">
        <v>22</v>
      </c>
      <c r="D1105">
        <v>5</v>
      </c>
      <c r="E1105" t="s">
        <v>31</v>
      </c>
      <c r="F1105">
        <v>10</v>
      </c>
      <c r="G1105" t="s">
        <v>58</v>
      </c>
      <c r="H1105" t="s">
        <v>2126</v>
      </c>
      <c r="I1105">
        <v>65</v>
      </c>
      <c r="J1105">
        <v>79</v>
      </c>
      <c r="K1105">
        <v>55</v>
      </c>
      <c r="L1105">
        <v>65</v>
      </c>
      <c r="M1105">
        <v>83</v>
      </c>
      <c r="N1105">
        <v>56</v>
      </c>
      <c r="O1105">
        <v>338</v>
      </c>
      <c r="P1105">
        <v>67.599999999999994</v>
      </c>
      <c r="Q1105" t="s">
        <v>26</v>
      </c>
      <c r="R1105" t="s">
        <v>27</v>
      </c>
      <c r="S1105">
        <v>1635</v>
      </c>
      <c r="T1105" t="s">
        <v>42</v>
      </c>
      <c r="U1105" t="str">
        <f t="shared" si="17"/>
        <v>Pass</v>
      </c>
    </row>
    <row r="1106" spans="1:21">
      <c r="A1106" t="s">
        <v>2127</v>
      </c>
      <c r="B1106" t="s">
        <v>277</v>
      </c>
      <c r="C1106" t="s">
        <v>37</v>
      </c>
      <c r="D1106">
        <v>8</v>
      </c>
      <c r="E1106" t="s">
        <v>26</v>
      </c>
      <c r="F1106">
        <v>14</v>
      </c>
      <c r="G1106" t="s">
        <v>24</v>
      </c>
      <c r="H1106" t="s">
        <v>2128</v>
      </c>
      <c r="I1106">
        <v>73</v>
      </c>
      <c r="J1106">
        <v>38</v>
      </c>
      <c r="K1106">
        <v>54</v>
      </c>
      <c r="L1106">
        <v>60</v>
      </c>
      <c r="M1106">
        <v>69</v>
      </c>
      <c r="N1106">
        <v>82</v>
      </c>
      <c r="O1106">
        <v>303</v>
      </c>
      <c r="P1106">
        <v>60.6</v>
      </c>
      <c r="Q1106" t="s">
        <v>26</v>
      </c>
      <c r="R1106" t="s">
        <v>27</v>
      </c>
      <c r="S1106">
        <v>4244</v>
      </c>
      <c r="T1106" t="s">
        <v>48</v>
      </c>
      <c r="U1106" t="str">
        <f t="shared" si="17"/>
        <v>Pass</v>
      </c>
    </row>
    <row r="1107" spans="1:21">
      <c r="A1107" t="s">
        <v>2129</v>
      </c>
      <c r="B1107" t="s">
        <v>844</v>
      </c>
      <c r="C1107" t="s">
        <v>37</v>
      </c>
      <c r="D1107">
        <v>5</v>
      </c>
      <c r="E1107" t="s">
        <v>23</v>
      </c>
      <c r="F1107">
        <v>10</v>
      </c>
      <c r="G1107" t="s">
        <v>32</v>
      </c>
      <c r="H1107" t="s">
        <v>1587</v>
      </c>
      <c r="I1107">
        <v>62</v>
      </c>
      <c r="J1107">
        <v>98</v>
      </c>
      <c r="K1107">
        <v>88</v>
      </c>
      <c r="L1107">
        <v>41</v>
      </c>
      <c r="M1107">
        <v>89</v>
      </c>
      <c r="N1107">
        <v>69</v>
      </c>
      <c r="O1107">
        <v>385</v>
      </c>
      <c r="P1107">
        <v>77</v>
      </c>
      <c r="Q1107" t="s">
        <v>40</v>
      </c>
      <c r="R1107" t="s">
        <v>41</v>
      </c>
      <c r="S1107">
        <v>3013</v>
      </c>
      <c r="T1107" t="s">
        <v>28</v>
      </c>
      <c r="U1107" t="str">
        <f t="shared" si="17"/>
        <v>Pass</v>
      </c>
    </row>
    <row r="1108" spans="1:21">
      <c r="A1108" t="s">
        <v>2130</v>
      </c>
      <c r="B1108" t="s">
        <v>1410</v>
      </c>
      <c r="C1108" t="s">
        <v>37</v>
      </c>
      <c r="D1108">
        <v>1</v>
      </c>
      <c r="E1108" t="s">
        <v>26</v>
      </c>
      <c r="F1108">
        <v>6</v>
      </c>
      <c r="G1108" t="s">
        <v>32</v>
      </c>
      <c r="H1108" t="s">
        <v>2131</v>
      </c>
      <c r="I1108">
        <v>70</v>
      </c>
      <c r="J1108">
        <v>63</v>
      </c>
      <c r="K1108">
        <v>91</v>
      </c>
      <c r="L1108">
        <v>62</v>
      </c>
      <c r="M1108">
        <v>55</v>
      </c>
      <c r="N1108">
        <v>77</v>
      </c>
      <c r="O1108">
        <v>348</v>
      </c>
      <c r="P1108">
        <v>69.599999999999994</v>
      </c>
      <c r="Q1108" t="s">
        <v>26</v>
      </c>
      <c r="R1108" t="s">
        <v>27</v>
      </c>
      <c r="S1108">
        <v>3423</v>
      </c>
      <c r="T1108" t="s">
        <v>34</v>
      </c>
      <c r="U1108" t="str">
        <f t="shared" si="17"/>
        <v>Pass</v>
      </c>
    </row>
    <row r="1109" spans="1:21">
      <c r="A1109" t="s">
        <v>2132</v>
      </c>
      <c r="B1109" t="s">
        <v>582</v>
      </c>
      <c r="C1109" t="s">
        <v>22</v>
      </c>
      <c r="D1109">
        <v>2</v>
      </c>
      <c r="E1109" t="s">
        <v>23</v>
      </c>
      <c r="F1109">
        <v>8</v>
      </c>
      <c r="G1109" t="s">
        <v>24</v>
      </c>
      <c r="H1109" t="s">
        <v>2133</v>
      </c>
      <c r="I1109">
        <v>60</v>
      </c>
      <c r="J1109">
        <v>92</v>
      </c>
      <c r="K1109">
        <v>43</v>
      </c>
      <c r="L1109">
        <v>98</v>
      </c>
      <c r="M1109">
        <v>36</v>
      </c>
      <c r="N1109">
        <v>53</v>
      </c>
      <c r="O1109">
        <v>322</v>
      </c>
      <c r="P1109">
        <v>64.400000000000006</v>
      </c>
      <c r="Q1109" t="s">
        <v>26</v>
      </c>
      <c r="R1109" t="s">
        <v>41</v>
      </c>
      <c r="S1109">
        <v>3384</v>
      </c>
      <c r="T1109" t="s">
        <v>48</v>
      </c>
      <c r="U1109" t="str">
        <f t="shared" si="17"/>
        <v>Pass</v>
      </c>
    </row>
    <row r="1110" spans="1:21">
      <c r="A1110" t="s">
        <v>2134</v>
      </c>
      <c r="B1110" t="s">
        <v>107</v>
      </c>
      <c r="C1110" t="s">
        <v>37</v>
      </c>
      <c r="D1110">
        <v>4</v>
      </c>
      <c r="E1110" t="s">
        <v>23</v>
      </c>
      <c r="F1110">
        <v>8</v>
      </c>
      <c r="G1110" t="s">
        <v>38</v>
      </c>
      <c r="H1110" t="s">
        <v>670</v>
      </c>
      <c r="I1110">
        <v>79</v>
      </c>
      <c r="J1110">
        <v>84</v>
      </c>
      <c r="K1110">
        <v>74</v>
      </c>
      <c r="L1110">
        <v>42</v>
      </c>
      <c r="M1110">
        <v>67</v>
      </c>
      <c r="N1110">
        <v>69</v>
      </c>
      <c r="O1110">
        <v>336</v>
      </c>
      <c r="P1110">
        <v>67.2</v>
      </c>
      <c r="Q1110" t="s">
        <v>26</v>
      </c>
      <c r="R1110" t="s">
        <v>27</v>
      </c>
      <c r="S1110">
        <v>2443</v>
      </c>
      <c r="T1110" t="s">
        <v>28</v>
      </c>
      <c r="U1110" t="str">
        <f t="shared" si="17"/>
        <v>Pass</v>
      </c>
    </row>
    <row r="1111" spans="1:21">
      <c r="A1111" t="s">
        <v>2135</v>
      </c>
      <c r="B1111" t="s">
        <v>622</v>
      </c>
      <c r="C1111" t="s">
        <v>22</v>
      </c>
      <c r="D1111">
        <v>10</v>
      </c>
      <c r="E1111" t="s">
        <v>23</v>
      </c>
      <c r="F1111">
        <v>16</v>
      </c>
      <c r="G1111" t="s">
        <v>58</v>
      </c>
      <c r="H1111" t="s">
        <v>610</v>
      </c>
      <c r="I1111">
        <v>94</v>
      </c>
      <c r="J1111">
        <v>39</v>
      </c>
      <c r="K1111">
        <v>73</v>
      </c>
      <c r="L1111">
        <v>46</v>
      </c>
      <c r="M1111">
        <v>49</v>
      </c>
      <c r="N1111">
        <v>63</v>
      </c>
      <c r="O1111">
        <v>270</v>
      </c>
      <c r="P1111">
        <v>54</v>
      </c>
      <c r="Q1111" t="s">
        <v>31</v>
      </c>
      <c r="R1111" t="s">
        <v>27</v>
      </c>
      <c r="S1111">
        <v>3531</v>
      </c>
      <c r="T1111" t="s">
        <v>28</v>
      </c>
      <c r="U1111" t="str">
        <f t="shared" si="17"/>
        <v>Fail</v>
      </c>
    </row>
    <row r="1112" spans="1:21">
      <c r="A1112" t="s">
        <v>2136</v>
      </c>
      <c r="B1112" t="s">
        <v>445</v>
      </c>
      <c r="C1112" t="s">
        <v>37</v>
      </c>
      <c r="D1112">
        <v>4</v>
      </c>
      <c r="E1112" t="s">
        <v>23</v>
      </c>
      <c r="F1112">
        <v>8</v>
      </c>
      <c r="G1112" t="s">
        <v>32</v>
      </c>
      <c r="H1112" t="s">
        <v>2137</v>
      </c>
      <c r="I1112">
        <v>70</v>
      </c>
      <c r="J1112">
        <v>86</v>
      </c>
      <c r="K1112">
        <v>61</v>
      </c>
      <c r="L1112">
        <v>92</v>
      </c>
      <c r="M1112">
        <v>78</v>
      </c>
      <c r="N1112">
        <v>76</v>
      </c>
      <c r="O1112">
        <v>393</v>
      </c>
      <c r="P1112">
        <v>78.599999999999994</v>
      </c>
      <c r="Q1112" t="s">
        <v>40</v>
      </c>
      <c r="R1112" t="s">
        <v>27</v>
      </c>
      <c r="S1112">
        <v>4476</v>
      </c>
      <c r="T1112" t="s">
        <v>42</v>
      </c>
      <c r="U1112" t="str">
        <f t="shared" si="17"/>
        <v>Pass</v>
      </c>
    </row>
    <row r="1113" spans="1:21">
      <c r="A1113" t="s">
        <v>2138</v>
      </c>
      <c r="B1113" t="s">
        <v>582</v>
      </c>
      <c r="C1113" t="s">
        <v>37</v>
      </c>
      <c r="D1113">
        <v>12</v>
      </c>
      <c r="E1113" t="s">
        <v>23</v>
      </c>
      <c r="F1113">
        <v>16</v>
      </c>
      <c r="G1113" t="s">
        <v>45</v>
      </c>
      <c r="H1113" t="s">
        <v>1126</v>
      </c>
      <c r="I1113">
        <v>63</v>
      </c>
      <c r="J1113">
        <v>36</v>
      </c>
      <c r="K1113">
        <v>70</v>
      </c>
      <c r="L1113">
        <v>57</v>
      </c>
      <c r="M1113">
        <v>85</v>
      </c>
      <c r="N1113">
        <v>82</v>
      </c>
      <c r="O1113">
        <v>330</v>
      </c>
      <c r="P1113">
        <v>66</v>
      </c>
      <c r="Q1113" t="s">
        <v>26</v>
      </c>
      <c r="R1113" t="s">
        <v>41</v>
      </c>
      <c r="S1113">
        <v>4369</v>
      </c>
      <c r="T1113" t="s">
        <v>42</v>
      </c>
      <c r="U1113" t="str">
        <f t="shared" si="17"/>
        <v>Pass</v>
      </c>
    </row>
    <row r="1114" spans="1:21">
      <c r="A1114" t="s">
        <v>2139</v>
      </c>
      <c r="B1114" t="s">
        <v>113</v>
      </c>
      <c r="C1114" t="s">
        <v>37</v>
      </c>
      <c r="D1114">
        <v>10</v>
      </c>
      <c r="E1114" t="s">
        <v>26</v>
      </c>
      <c r="F1114">
        <v>15</v>
      </c>
      <c r="G1114" t="s">
        <v>24</v>
      </c>
      <c r="H1114" t="s">
        <v>2140</v>
      </c>
      <c r="I1114">
        <v>75</v>
      </c>
      <c r="J1114">
        <v>44</v>
      </c>
      <c r="K1114">
        <v>50</v>
      </c>
      <c r="L1114">
        <v>88</v>
      </c>
      <c r="M1114">
        <v>67</v>
      </c>
      <c r="N1114">
        <v>98</v>
      </c>
      <c r="O1114">
        <v>347</v>
      </c>
      <c r="P1114">
        <v>69.400000000000006</v>
      </c>
      <c r="Q1114" t="s">
        <v>26</v>
      </c>
      <c r="R1114" t="s">
        <v>41</v>
      </c>
      <c r="S1114">
        <v>3326</v>
      </c>
      <c r="T1114" t="s">
        <v>34</v>
      </c>
      <c r="U1114" t="str">
        <f t="shared" si="17"/>
        <v>Pass</v>
      </c>
    </row>
    <row r="1115" spans="1:21">
      <c r="A1115" t="s">
        <v>2141</v>
      </c>
      <c r="B1115" t="s">
        <v>518</v>
      </c>
      <c r="C1115" t="s">
        <v>37</v>
      </c>
      <c r="D1115">
        <v>12</v>
      </c>
      <c r="E1115" t="s">
        <v>31</v>
      </c>
      <c r="F1115">
        <v>18</v>
      </c>
      <c r="G1115" t="s">
        <v>64</v>
      </c>
      <c r="H1115" t="s">
        <v>2142</v>
      </c>
      <c r="I1115">
        <v>98</v>
      </c>
      <c r="J1115">
        <v>93</v>
      </c>
      <c r="K1115">
        <v>48</v>
      </c>
      <c r="L1115">
        <v>65</v>
      </c>
      <c r="M1115">
        <v>81</v>
      </c>
      <c r="N1115">
        <v>71</v>
      </c>
      <c r="O1115">
        <v>358</v>
      </c>
      <c r="P1115">
        <v>71.599999999999994</v>
      </c>
      <c r="Q1115" t="s">
        <v>40</v>
      </c>
      <c r="R1115" t="s">
        <v>27</v>
      </c>
      <c r="S1115">
        <v>4974</v>
      </c>
      <c r="T1115" t="s">
        <v>48</v>
      </c>
      <c r="U1115" t="str">
        <f t="shared" si="17"/>
        <v>Pass</v>
      </c>
    </row>
    <row r="1116" spans="1:21">
      <c r="A1116" t="s">
        <v>2143</v>
      </c>
      <c r="B1116" t="s">
        <v>582</v>
      </c>
      <c r="C1116" t="s">
        <v>37</v>
      </c>
      <c r="D1116">
        <v>9</v>
      </c>
      <c r="E1116" t="s">
        <v>23</v>
      </c>
      <c r="F1116">
        <v>15</v>
      </c>
      <c r="G1116" t="s">
        <v>58</v>
      </c>
      <c r="H1116" t="s">
        <v>2144</v>
      </c>
      <c r="I1116">
        <v>63</v>
      </c>
      <c r="J1116">
        <v>81</v>
      </c>
      <c r="K1116">
        <v>53</v>
      </c>
      <c r="L1116">
        <v>99</v>
      </c>
      <c r="M1116">
        <v>38</v>
      </c>
      <c r="N1116">
        <v>98</v>
      </c>
      <c r="O1116">
        <v>369</v>
      </c>
      <c r="P1116">
        <v>73.8</v>
      </c>
      <c r="Q1116" t="s">
        <v>40</v>
      </c>
      <c r="R1116" t="s">
        <v>27</v>
      </c>
      <c r="S1116">
        <v>2547</v>
      </c>
      <c r="T1116" t="s">
        <v>42</v>
      </c>
      <c r="U1116" t="str">
        <f t="shared" si="17"/>
        <v>Pass</v>
      </c>
    </row>
    <row r="1117" spans="1:21">
      <c r="A1117" t="s">
        <v>2145</v>
      </c>
      <c r="B1117" t="s">
        <v>913</v>
      </c>
      <c r="C1117" t="s">
        <v>22</v>
      </c>
      <c r="D1117">
        <v>9</v>
      </c>
      <c r="E1117" t="s">
        <v>26</v>
      </c>
      <c r="F1117">
        <v>15</v>
      </c>
      <c r="G1117" t="s">
        <v>24</v>
      </c>
      <c r="H1117" t="s">
        <v>2146</v>
      </c>
      <c r="I1117">
        <v>91</v>
      </c>
      <c r="J1117">
        <v>49</v>
      </c>
      <c r="K1117">
        <v>65</v>
      </c>
      <c r="L1117">
        <v>60</v>
      </c>
      <c r="M1117">
        <v>74</v>
      </c>
      <c r="N1117">
        <v>90</v>
      </c>
      <c r="O1117">
        <v>338</v>
      </c>
      <c r="P1117">
        <v>67.599999999999994</v>
      </c>
      <c r="Q1117" t="s">
        <v>26</v>
      </c>
      <c r="R1117" t="s">
        <v>41</v>
      </c>
      <c r="S1117">
        <v>2843</v>
      </c>
      <c r="T1117" t="s">
        <v>48</v>
      </c>
      <c r="U1117" t="str">
        <f t="shared" si="17"/>
        <v>Pass</v>
      </c>
    </row>
    <row r="1118" spans="1:21">
      <c r="A1118" t="s">
        <v>2147</v>
      </c>
      <c r="B1118" t="s">
        <v>211</v>
      </c>
      <c r="C1118" t="s">
        <v>22</v>
      </c>
      <c r="D1118">
        <v>10</v>
      </c>
      <c r="E1118" t="s">
        <v>31</v>
      </c>
      <c r="F1118">
        <v>14</v>
      </c>
      <c r="G1118" t="s">
        <v>38</v>
      </c>
      <c r="H1118" t="s">
        <v>2148</v>
      </c>
      <c r="I1118">
        <v>75</v>
      </c>
      <c r="J1118">
        <v>88</v>
      </c>
      <c r="K1118">
        <v>71</v>
      </c>
      <c r="L1118">
        <v>40</v>
      </c>
      <c r="M1118">
        <v>77</v>
      </c>
      <c r="N1118">
        <v>87</v>
      </c>
      <c r="O1118">
        <v>363</v>
      </c>
      <c r="P1118">
        <v>72.599999999999994</v>
      </c>
      <c r="Q1118" t="s">
        <v>40</v>
      </c>
      <c r="R1118" t="s">
        <v>41</v>
      </c>
      <c r="S1118">
        <v>1794</v>
      </c>
      <c r="T1118" t="s">
        <v>48</v>
      </c>
      <c r="U1118" t="str">
        <f t="shared" si="17"/>
        <v>Pass</v>
      </c>
    </row>
    <row r="1119" spans="1:21">
      <c r="A1119" t="s">
        <v>2149</v>
      </c>
      <c r="B1119" t="s">
        <v>68</v>
      </c>
      <c r="C1119" t="s">
        <v>37</v>
      </c>
      <c r="D1119">
        <v>3</v>
      </c>
      <c r="E1119" t="s">
        <v>31</v>
      </c>
      <c r="F1119">
        <v>7</v>
      </c>
      <c r="G1119" t="s">
        <v>32</v>
      </c>
      <c r="H1119" t="s">
        <v>1835</v>
      </c>
      <c r="I1119">
        <v>97</v>
      </c>
      <c r="J1119">
        <v>68</v>
      </c>
      <c r="K1119">
        <v>93</v>
      </c>
      <c r="L1119">
        <v>89</v>
      </c>
      <c r="M1119">
        <v>80</v>
      </c>
      <c r="N1119">
        <v>38</v>
      </c>
      <c r="O1119">
        <v>368</v>
      </c>
      <c r="P1119">
        <v>73.599999999999994</v>
      </c>
      <c r="Q1119" t="s">
        <v>40</v>
      </c>
      <c r="R1119" t="s">
        <v>41</v>
      </c>
      <c r="S1119">
        <v>4995</v>
      </c>
      <c r="T1119" t="s">
        <v>70</v>
      </c>
      <c r="U1119" t="str">
        <f t="shared" si="17"/>
        <v>Pass</v>
      </c>
    </row>
    <row r="1120" spans="1:21">
      <c r="A1120" t="s">
        <v>2150</v>
      </c>
      <c r="B1120" t="s">
        <v>594</v>
      </c>
      <c r="C1120" t="s">
        <v>22</v>
      </c>
      <c r="D1120">
        <v>1</v>
      </c>
      <c r="E1120" t="s">
        <v>47</v>
      </c>
      <c r="F1120">
        <v>6</v>
      </c>
      <c r="G1120" t="s">
        <v>38</v>
      </c>
      <c r="H1120" t="s">
        <v>658</v>
      </c>
      <c r="I1120">
        <v>76</v>
      </c>
      <c r="J1120">
        <v>77</v>
      </c>
      <c r="K1120">
        <v>45</v>
      </c>
      <c r="L1120">
        <v>98</v>
      </c>
      <c r="M1120">
        <v>81</v>
      </c>
      <c r="N1120">
        <v>83</v>
      </c>
      <c r="O1120">
        <v>384</v>
      </c>
      <c r="P1120">
        <v>76.8</v>
      </c>
      <c r="Q1120" t="s">
        <v>40</v>
      </c>
      <c r="R1120" t="s">
        <v>41</v>
      </c>
      <c r="S1120">
        <v>4249</v>
      </c>
      <c r="T1120" t="s">
        <v>28</v>
      </c>
      <c r="U1120" t="str">
        <f t="shared" si="17"/>
        <v>Pass</v>
      </c>
    </row>
    <row r="1121" spans="1:21">
      <c r="A1121" t="s">
        <v>2151</v>
      </c>
      <c r="B1121" t="s">
        <v>202</v>
      </c>
      <c r="C1121" t="s">
        <v>37</v>
      </c>
      <c r="D1121">
        <v>9</v>
      </c>
      <c r="E1121" t="s">
        <v>26</v>
      </c>
      <c r="F1121">
        <v>14</v>
      </c>
      <c r="G1121" t="s">
        <v>64</v>
      </c>
      <c r="H1121" t="s">
        <v>2152</v>
      </c>
      <c r="I1121">
        <v>67</v>
      </c>
      <c r="J1121">
        <v>44</v>
      </c>
      <c r="K1121">
        <v>79</v>
      </c>
      <c r="L1121">
        <v>66</v>
      </c>
      <c r="M1121">
        <v>100</v>
      </c>
      <c r="N1121">
        <v>57</v>
      </c>
      <c r="O1121">
        <v>346</v>
      </c>
      <c r="P1121">
        <v>69.2</v>
      </c>
      <c r="Q1121" t="s">
        <v>26</v>
      </c>
      <c r="R1121" t="s">
        <v>27</v>
      </c>
      <c r="S1121">
        <v>4283</v>
      </c>
      <c r="T1121" t="s">
        <v>28</v>
      </c>
      <c r="U1121" t="str">
        <f t="shared" si="17"/>
        <v>Pass</v>
      </c>
    </row>
    <row r="1122" spans="1:21">
      <c r="A1122" t="s">
        <v>2153</v>
      </c>
      <c r="B1122" t="s">
        <v>819</v>
      </c>
      <c r="C1122" t="s">
        <v>37</v>
      </c>
      <c r="D1122">
        <v>5</v>
      </c>
      <c r="E1122" t="s">
        <v>23</v>
      </c>
      <c r="F1122">
        <v>9</v>
      </c>
      <c r="G1122" t="s">
        <v>45</v>
      </c>
      <c r="H1122" t="s">
        <v>2154</v>
      </c>
      <c r="I1122">
        <v>98</v>
      </c>
      <c r="J1122">
        <v>98</v>
      </c>
      <c r="K1122">
        <v>50</v>
      </c>
      <c r="L1122">
        <v>48</v>
      </c>
      <c r="M1122">
        <v>46</v>
      </c>
      <c r="N1122">
        <v>62</v>
      </c>
      <c r="O1122">
        <v>304</v>
      </c>
      <c r="P1122">
        <v>60.8</v>
      </c>
      <c r="Q1122" t="s">
        <v>26</v>
      </c>
      <c r="R1122" t="s">
        <v>41</v>
      </c>
      <c r="S1122">
        <v>2361</v>
      </c>
      <c r="T1122" t="s">
        <v>70</v>
      </c>
      <c r="U1122" t="str">
        <f t="shared" si="17"/>
        <v>Pass</v>
      </c>
    </row>
    <row r="1123" spans="1:21">
      <c r="A1123" t="s">
        <v>2155</v>
      </c>
      <c r="B1123" t="s">
        <v>714</v>
      </c>
      <c r="C1123" t="s">
        <v>37</v>
      </c>
      <c r="D1123">
        <v>12</v>
      </c>
      <c r="E1123" t="s">
        <v>47</v>
      </c>
      <c r="F1123">
        <v>18</v>
      </c>
      <c r="G1123" t="s">
        <v>24</v>
      </c>
      <c r="H1123" t="s">
        <v>1903</v>
      </c>
      <c r="I1123">
        <v>86</v>
      </c>
      <c r="J1123">
        <v>48</v>
      </c>
      <c r="K1123">
        <v>50</v>
      </c>
      <c r="L1123">
        <v>80</v>
      </c>
      <c r="M1123">
        <v>87</v>
      </c>
      <c r="N1123">
        <v>56</v>
      </c>
      <c r="O1123">
        <v>321</v>
      </c>
      <c r="P1123">
        <v>64.2</v>
      </c>
      <c r="Q1123" t="s">
        <v>26</v>
      </c>
      <c r="R1123" t="s">
        <v>41</v>
      </c>
      <c r="S1123">
        <v>3988</v>
      </c>
      <c r="T1123" t="s">
        <v>48</v>
      </c>
      <c r="U1123" t="str">
        <f t="shared" si="17"/>
        <v>Pass</v>
      </c>
    </row>
    <row r="1124" spans="1:21">
      <c r="A1124" t="s">
        <v>2156</v>
      </c>
      <c r="B1124" t="s">
        <v>193</v>
      </c>
      <c r="C1124" t="s">
        <v>37</v>
      </c>
      <c r="D1124">
        <v>6</v>
      </c>
      <c r="E1124" t="s">
        <v>26</v>
      </c>
      <c r="F1124">
        <v>12</v>
      </c>
      <c r="G1124" t="s">
        <v>64</v>
      </c>
      <c r="H1124" t="s">
        <v>706</v>
      </c>
      <c r="I1124">
        <v>80</v>
      </c>
      <c r="J1124">
        <v>64</v>
      </c>
      <c r="K1124">
        <v>73</v>
      </c>
      <c r="L1124">
        <v>49</v>
      </c>
      <c r="M1124">
        <v>50</v>
      </c>
      <c r="N1124">
        <v>75</v>
      </c>
      <c r="O1124">
        <v>311</v>
      </c>
      <c r="P1124">
        <v>62.2</v>
      </c>
      <c r="Q1124" t="s">
        <v>26</v>
      </c>
      <c r="R1124" t="s">
        <v>41</v>
      </c>
      <c r="S1124">
        <v>2299</v>
      </c>
      <c r="T1124" t="s">
        <v>66</v>
      </c>
      <c r="U1124" t="str">
        <f t="shared" si="17"/>
        <v>Pass</v>
      </c>
    </row>
    <row r="1125" spans="1:21">
      <c r="A1125" t="s">
        <v>2157</v>
      </c>
      <c r="B1125" t="s">
        <v>335</v>
      </c>
      <c r="C1125" t="s">
        <v>22</v>
      </c>
      <c r="D1125">
        <v>7</v>
      </c>
      <c r="E1125" t="s">
        <v>26</v>
      </c>
      <c r="F1125">
        <v>11</v>
      </c>
      <c r="G1125" t="s">
        <v>24</v>
      </c>
      <c r="H1125" t="s">
        <v>2142</v>
      </c>
      <c r="I1125">
        <v>80</v>
      </c>
      <c r="J1125">
        <v>97</v>
      </c>
      <c r="K1125">
        <v>52</v>
      </c>
      <c r="L1125">
        <v>68</v>
      </c>
      <c r="M1125">
        <v>75</v>
      </c>
      <c r="N1125">
        <v>75</v>
      </c>
      <c r="O1125">
        <v>367</v>
      </c>
      <c r="P1125">
        <v>73.400000000000006</v>
      </c>
      <c r="Q1125" t="s">
        <v>40</v>
      </c>
      <c r="R1125" t="s">
        <v>27</v>
      </c>
      <c r="S1125">
        <v>4987</v>
      </c>
      <c r="T1125" t="s">
        <v>70</v>
      </c>
      <c r="U1125" t="str">
        <f t="shared" si="17"/>
        <v>Pass</v>
      </c>
    </row>
    <row r="1126" spans="1:21">
      <c r="A1126" t="s">
        <v>2158</v>
      </c>
      <c r="B1126" t="s">
        <v>439</v>
      </c>
      <c r="C1126" t="s">
        <v>37</v>
      </c>
      <c r="D1126">
        <v>6</v>
      </c>
      <c r="E1126" t="s">
        <v>26</v>
      </c>
      <c r="F1126">
        <v>12</v>
      </c>
      <c r="G1126" t="s">
        <v>32</v>
      </c>
      <c r="H1126" t="s">
        <v>828</v>
      </c>
      <c r="I1126">
        <v>68</v>
      </c>
      <c r="J1126">
        <v>92</v>
      </c>
      <c r="K1126">
        <v>51</v>
      </c>
      <c r="L1126">
        <v>99</v>
      </c>
      <c r="M1126">
        <v>57</v>
      </c>
      <c r="N1126">
        <v>66</v>
      </c>
      <c r="O1126">
        <v>365</v>
      </c>
      <c r="P1126">
        <v>73</v>
      </c>
      <c r="Q1126" t="s">
        <v>40</v>
      </c>
      <c r="R1126" t="s">
        <v>41</v>
      </c>
      <c r="S1126">
        <v>1852</v>
      </c>
      <c r="T1126" t="s">
        <v>48</v>
      </c>
      <c r="U1126" t="str">
        <f t="shared" si="17"/>
        <v>Pass</v>
      </c>
    </row>
    <row r="1127" spans="1:21">
      <c r="A1127" t="s">
        <v>2159</v>
      </c>
      <c r="B1127" t="s">
        <v>378</v>
      </c>
      <c r="C1127" t="s">
        <v>37</v>
      </c>
      <c r="D1127">
        <v>6</v>
      </c>
      <c r="E1127" t="s">
        <v>31</v>
      </c>
      <c r="F1127">
        <v>11</v>
      </c>
      <c r="G1127" t="s">
        <v>38</v>
      </c>
      <c r="H1127" t="s">
        <v>1897</v>
      </c>
      <c r="I1127">
        <v>94</v>
      </c>
      <c r="J1127">
        <v>43</v>
      </c>
      <c r="K1127">
        <v>94</v>
      </c>
      <c r="L1127">
        <v>92</v>
      </c>
      <c r="M1127">
        <v>100</v>
      </c>
      <c r="N1127">
        <v>89</v>
      </c>
      <c r="O1127">
        <v>418</v>
      </c>
      <c r="P1127">
        <v>83.6</v>
      </c>
      <c r="Q1127" t="s">
        <v>47</v>
      </c>
      <c r="R1127" t="s">
        <v>41</v>
      </c>
      <c r="S1127">
        <v>4386</v>
      </c>
      <c r="T1127" t="s">
        <v>42</v>
      </c>
      <c r="U1127" t="str">
        <f t="shared" si="17"/>
        <v>Pass</v>
      </c>
    </row>
    <row r="1128" spans="1:21">
      <c r="A1128" t="s">
        <v>2160</v>
      </c>
      <c r="B1128" t="s">
        <v>61</v>
      </c>
      <c r="C1128" t="s">
        <v>22</v>
      </c>
      <c r="D1128">
        <v>1</v>
      </c>
      <c r="E1128" t="s">
        <v>31</v>
      </c>
      <c r="F1128">
        <v>7</v>
      </c>
      <c r="G1128" t="s">
        <v>24</v>
      </c>
      <c r="H1128" t="s">
        <v>212</v>
      </c>
      <c r="I1128">
        <v>68</v>
      </c>
      <c r="J1128">
        <v>52</v>
      </c>
      <c r="K1128">
        <v>64</v>
      </c>
      <c r="L1128">
        <v>70</v>
      </c>
      <c r="M1128">
        <v>49</v>
      </c>
      <c r="N1128">
        <v>81</v>
      </c>
      <c r="O1128">
        <v>316</v>
      </c>
      <c r="P1128">
        <v>63.2</v>
      </c>
      <c r="Q1128" t="s">
        <v>26</v>
      </c>
      <c r="R1128" t="s">
        <v>41</v>
      </c>
      <c r="S1128">
        <v>2358</v>
      </c>
      <c r="T1128" t="s">
        <v>48</v>
      </c>
      <c r="U1128" t="str">
        <f t="shared" si="17"/>
        <v>Pass</v>
      </c>
    </row>
    <row r="1129" spans="1:21">
      <c r="A1129" t="s">
        <v>2161</v>
      </c>
      <c r="B1129" t="s">
        <v>258</v>
      </c>
      <c r="C1129" t="s">
        <v>22</v>
      </c>
      <c r="D1129">
        <v>7</v>
      </c>
      <c r="E1129" t="s">
        <v>26</v>
      </c>
      <c r="F1129">
        <v>13</v>
      </c>
      <c r="G1129" t="s">
        <v>24</v>
      </c>
      <c r="H1129" t="s">
        <v>2038</v>
      </c>
      <c r="I1129">
        <v>72</v>
      </c>
      <c r="J1129">
        <v>84</v>
      </c>
      <c r="K1129">
        <v>71</v>
      </c>
      <c r="L1129">
        <v>66</v>
      </c>
      <c r="M1129">
        <v>46</v>
      </c>
      <c r="N1129">
        <v>84</v>
      </c>
      <c r="O1129">
        <v>351</v>
      </c>
      <c r="P1129">
        <v>70.2</v>
      </c>
      <c r="Q1129" t="s">
        <v>40</v>
      </c>
      <c r="R1129" t="s">
        <v>27</v>
      </c>
      <c r="S1129">
        <v>2323</v>
      </c>
      <c r="T1129" t="s">
        <v>66</v>
      </c>
      <c r="U1129" t="str">
        <f t="shared" si="17"/>
        <v>Pass</v>
      </c>
    </row>
    <row r="1130" spans="1:21">
      <c r="A1130" t="s">
        <v>2162</v>
      </c>
      <c r="B1130" t="s">
        <v>378</v>
      </c>
      <c r="C1130" t="s">
        <v>37</v>
      </c>
      <c r="D1130">
        <v>12</v>
      </c>
      <c r="E1130" t="s">
        <v>23</v>
      </c>
      <c r="F1130">
        <v>17</v>
      </c>
      <c r="G1130" t="s">
        <v>64</v>
      </c>
      <c r="H1130" t="s">
        <v>2163</v>
      </c>
      <c r="I1130">
        <v>76</v>
      </c>
      <c r="J1130">
        <v>92</v>
      </c>
      <c r="K1130">
        <v>73</v>
      </c>
      <c r="L1130">
        <v>74</v>
      </c>
      <c r="M1130">
        <v>82</v>
      </c>
      <c r="N1130">
        <v>43</v>
      </c>
      <c r="O1130">
        <v>364</v>
      </c>
      <c r="P1130">
        <v>72.8</v>
      </c>
      <c r="Q1130" t="s">
        <v>40</v>
      </c>
      <c r="R1130" t="s">
        <v>27</v>
      </c>
      <c r="S1130">
        <v>2331</v>
      </c>
      <c r="T1130" t="s">
        <v>48</v>
      </c>
      <c r="U1130" t="str">
        <f t="shared" si="17"/>
        <v>Pass</v>
      </c>
    </row>
    <row r="1131" spans="1:21">
      <c r="A1131" t="s">
        <v>2164</v>
      </c>
      <c r="B1131" t="s">
        <v>808</v>
      </c>
      <c r="C1131" t="s">
        <v>22</v>
      </c>
      <c r="D1131">
        <v>10</v>
      </c>
      <c r="E1131" t="s">
        <v>47</v>
      </c>
      <c r="F1131">
        <v>14</v>
      </c>
      <c r="G1131" t="s">
        <v>54</v>
      </c>
      <c r="H1131" t="s">
        <v>2165</v>
      </c>
      <c r="I1131">
        <v>66</v>
      </c>
      <c r="J1131">
        <v>76</v>
      </c>
      <c r="K1131">
        <v>81</v>
      </c>
      <c r="L1131">
        <v>65</v>
      </c>
      <c r="M1131">
        <v>58</v>
      </c>
      <c r="N1131">
        <v>48</v>
      </c>
      <c r="O1131">
        <v>328</v>
      </c>
      <c r="P1131">
        <v>65.599999999999994</v>
      </c>
      <c r="Q1131" t="s">
        <v>26</v>
      </c>
      <c r="R1131" t="s">
        <v>27</v>
      </c>
      <c r="S1131">
        <v>1739</v>
      </c>
      <c r="T1131" t="s">
        <v>70</v>
      </c>
      <c r="U1131" t="str">
        <f t="shared" si="17"/>
        <v>Pass</v>
      </c>
    </row>
    <row r="1132" spans="1:21">
      <c r="A1132" t="s">
        <v>2166</v>
      </c>
      <c r="B1132" t="s">
        <v>253</v>
      </c>
      <c r="C1132" t="s">
        <v>22</v>
      </c>
      <c r="D1132">
        <v>8</v>
      </c>
      <c r="E1132" t="s">
        <v>23</v>
      </c>
      <c r="F1132">
        <v>14</v>
      </c>
      <c r="G1132" t="s">
        <v>64</v>
      </c>
      <c r="H1132" t="s">
        <v>2167</v>
      </c>
      <c r="I1132">
        <v>88</v>
      </c>
      <c r="J1132">
        <v>63</v>
      </c>
      <c r="K1132">
        <v>91</v>
      </c>
      <c r="L1132">
        <v>37</v>
      </c>
      <c r="M1132">
        <v>49</v>
      </c>
      <c r="N1132">
        <v>91</v>
      </c>
      <c r="O1132">
        <v>331</v>
      </c>
      <c r="P1132">
        <v>66.2</v>
      </c>
      <c r="Q1132" t="s">
        <v>26</v>
      </c>
      <c r="R1132" t="s">
        <v>27</v>
      </c>
      <c r="S1132">
        <v>4706</v>
      </c>
      <c r="T1132" t="s">
        <v>70</v>
      </c>
      <c r="U1132" t="str">
        <f t="shared" si="17"/>
        <v>Pass</v>
      </c>
    </row>
    <row r="1133" spans="1:21">
      <c r="A1133" t="s">
        <v>2168</v>
      </c>
      <c r="B1133" t="s">
        <v>978</v>
      </c>
      <c r="C1133" t="s">
        <v>22</v>
      </c>
      <c r="D1133">
        <v>10</v>
      </c>
      <c r="E1133" t="s">
        <v>26</v>
      </c>
      <c r="F1133">
        <v>16</v>
      </c>
      <c r="G1133" t="s">
        <v>64</v>
      </c>
      <c r="H1133" t="s">
        <v>111</v>
      </c>
      <c r="I1133">
        <v>84</v>
      </c>
      <c r="J1133">
        <v>62</v>
      </c>
      <c r="K1133">
        <v>97</v>
      </c>
      <c r="L1133">
        <v>47</v>
      </c>
      <c r="M1133">
        <v>65</v>
      </c>
      <c r="N1133">
        <v>93</v>
      </c>
      <c r="O1133">
        <v>364</v>
      </c>
      <c r="P1133">
        <v>72.8</v>
      </c>
      <c r="Q1133" t="s">
        <v>40</v>
      </c>
      <c r="R1133" t="s">
        <v>41</v>
      </c>
      <c r="S1133">
        <v>2892</v>
      </c>
      <c r="T1133" t="s">
        <v>34</v>
      </c>
      <c r="U1133" t="str">
        <f t="shared" si="17"/>
        <v>Pass</v>
      </c>
    </row>
    <row r="1134" spans="1:21">
      <c r="A1134" t="s">
        <v>2169</v>
      </c>
      <c r="B1134" t="s">
        <v>1234</v>
      </c>
      <c r="C1134" t="s">
        <v>37</v>
      </c>
      <c r="D1134">
        <v>8</v>
      </c>
      <c r="E1134" t="s">
        <v>47</v>
      </c>
      <c r="F1134">
        <v>13</v>
      </c>
      <c r="G1134" t="s">
        <v>24</v>
      </c>
      <c r="H1134" t="s">
        <v>2170</v>
      </c>
      <c r="I1134">
        <v>84</v>
      </c>
      <c r="J1134">
        <v>68</v>
      </c>
      <c r="K1134">
        <v>74</v>
      </c>
      <c r="L1134">
        <v>72</v>
      </c>
      <c r="M1134">
        <v>44</v>
      </c>
      <c r="N1134">
        <v>98</v>
      </c>
      <c r="O1134">
        <v>356</v>
      </c>
      <c r="P1134">
        <v>71.2</v>
      </c>
      <c r="Q1134" t="s">
        <v>40</v>
      </c>
      <c r="R1134" t="s">
        <v>41</v>
      </c>
      <c r="S1134">
        <v>4822</v>
      </c>
      <c r="T1134" t="s">
        <v>34</v>
      </c>
      <c r="U1134" t="str">
        <f t="shared" si="17"/>
        <v>Pass</v>
      </c>
    </row>
    <row r="1135" spans="1:21">
      <c r="A1135" t="s">
        <v>2171</v>
      </c>
      <c r="B1135" t="s">
        <v>900</v>
      </c>
      <c r="C1135" t="s">
        <v>37</v>
      </c>
      <c r="D1135">
        <v>11</v>
      </c>
      <c r="E1135" t="s">
        <v>31</v>
      </c>
      <c r="F1135">
        <v>17</v>
      </c>
      <c r="G1135" t="s">
        <v>58</v>
      </c>
      <c r="H1135" t="s">
        <v>1078</v>
      </c>
      <c r="I1135">
        <v>88</v>
      </c>
      <c r="J1135">
        <v>100</v>
      </c>
      <c r="K1135">
        <v>59</v>
      </c>
      <c r="L1135">
        <v>90</v>
      </c>
      <c r="M1135">
        <v>82</v>
      </c>
      <c r="N1135">
        <v>37</v>
      </c>
      <c r="O1135">
        <v>368</v>
      </c>
      <c r="P1135">
        <v>73.599999999999994</v>
      </c>
      <c r="Q1135" t="s">
        <v>40</v>
      </c>
      <c r="R1135" t="s">
        <v>41</v>
      </c>
      <c r="S1135">
        <v>4953</v>
      </c>
      <c r="T1135" t="s">
        <v>34</v>
      </c>
      <c r="U1135" t="str">
        <f t="shared" si="17"/>
        <v>Pass</v>
      </c>
    </row>
    <row r="1136" spans="1:21">
      <c r="A1136" t="s">
        <v>2172</v>
      </c>
      <c r="B1136" t="s">
        <v>365</v>
      </c>
      <c r="C1136" t="s">
        <v>37</v>
      </c>
      <c r="D1136">
        <v>2</v>
      </c>
      <c r="E1136" t="s">
        <v>23</v>
      </c>
      <c r="F1136">
        <v>8</v>
      </c>
      <c r="G1136" t="s">
        <v>64</v>
      </c>
      <c r="H1136" t="s">
        <v>1274</v>
      </c>
      <c r="I1136">
        <v>100</v>
      </c>
      <c r="J1136">
        <v>88</v>
      </c>
      <c r="K1136">
        <v>88</v>
      </c>
      <c r="L1136">
        <v>65</v>
      </c>
      <c r="M1136">
        <v>96</v>
      </c>
      <c r="N1136">
        <v>67</v>
      </c>
      <c r="O1136">
        <v>404</v>
      </c>
      <c r="P1136">
        <v>80.8</v>
      </c>
      <c r="Q1136" t="s">
        <v>47</v>
      </c>
      <c r="R1136" t="s">
        <v>41</v>
      </c>
      <c r="S1136">
        <v>4603</v>
      </c>
      <c r="T1136" t="s">
        <v>42</v>
      </c>
      <c r="U1136" t="str">
        <f t="shared" si="17"/>
        <v>Pass</v>
      </c>
    </row>
    <row r="1137" spans="1:21">
      <c r="A1137" t="s">
        <v>2173</v>
      </c>
      <c r="B1137" t="s">
        <v>53</v>
      </c>
      <c r="C1137" t="s">
        <v>37</v>
      </c>
      <c r="D1137">
        <v>4</v>
      </c>
      <c r="E1137" t="s">
        <v>26</v>
      </c>
      <c r="F1137">
        <v>9</v>
      </c>
      <c r="G1137" t="s">
        <v>32</v>
      </c>
      <c r="H1137" t="s">
        <v>338</v>
      </c>
      <c r="I1137">
        <v>75</v>
      </c>
      <c r="J1137">
        <v>66</v>
      </c>
      <c r="K1137">
        <v>83</v>
      </c>
      <c r="L1137">
        <v>79</v>
      </c>
      <c r="M1137">
        <v>99</v>
      </c>
      <c r="N1137">
        <v>36</v>
      </c>
      <c r="O1137">
        <v>363</v>
      </c>
      <c r="P1137">
        <v>72.599999999999994</v>
      </c>
      <c r="Q1137" t="s">
        <v>40</v>
      </c>
      <c r="R1137" t="s">
        <v>41</v>
      </c>
      <c r="S1137">
        <v>3065</v>
      </c>
      <c r="T1137" t="s">
        <v>28</v>
      </c>
      <c r="U1137" t="str">
        <f t="shared" si="17"/>
        <v>Pass</v>
      </c>
    </row>
    <row r="1138" spans="1:21">
      <c r="A1138" t="s">
        <v>2174</v>
      </c>
      <c r="B1138" t="s">
        <v>555</v>
      </c>
      <c r="C1138" t="s">
        <v>37</v>
      </c>
      <c r="D1138">
        <v>3</v>
      </c>
      <c r="E1138" t="s">
        <v>31</v>
      </c>
      <c r="F1138">
        <v>9</v>
      </c>
      <c r="G1138" t="s">
        <v>32</v>
      </c>
      <c r="H1138" t="s">
        <v>2048</v>
      </c>
      <c r="I1138">
        <v>82</v>
      </c>
      <c r="J1138">
        <v>70</v>
      </c>
      <c r="K1138">
        <v>75</v>
      </c>
      <c r="L1138">
        <v>74</v>
      </c>
      <c r="M1138">
        <v>43</v>
      </c>
      <c r="N1138">
        <v>71</v>
      </c>
      <c r="O1138">
        <v>333</v>
      </c>
      <c r="P1138">
        <v>66.599999999999994</v>
      </c>
      <c r="Q1138" t="s">
        <v>26</v>
      </c>
      <c r="R1138" t="s">
        <v>41</v>
      </c>
      <c r="S1138">
        <v>3603</v>
      </c>
      <c r="T1138" t="s">
        <v>34</v>
      </c>
      <c r="U1138" t="str">
        <f t="shared" si="17"/>
        <v>Pass</v>
      </c>
    </row>
    <row r="1139" spans="1:21">
      <c r="A1139" t="s">
        <v>2175</v>
      </c>
      <c r="B1139" t="s">
        <v>308</v>
      </c>
      <c r="C1139" t="s">
        <v>37</v>
      </c>
      <c r="D1139">
        <v>8</v>
      </c>
      <c r="E1139" t="s">
        <v>26</v>
      </c>
      <c r="F1139">
        <v>12</v>
      </c>
      <c r="G1139" t="s">
        <v>45</v>
      </c>
      <c r="H1139" t="s">
        <v>2176</v>
      </c>
      <c r="I1139">
        <v>76</v>
      </c>
      <c r="J1139">
        <v>55</v>
      </c>
      <c r="K1139">
        <v>48</v>
      </c>
      <c r="L1139">
        <v>57</v>
      </c>
      <c r="M1139">
        <v>35</v>
      </c>
      <c r="N1139">
        <v>79</v>
      </c>
      <c r="O1139">
        <v>274</v>
      </c>
      <c r="P1139">
        <v>54.8</v>
      </c>
      <c r="Q1139" t="s">
        <v>31</v>
      </c>
      <c r="R1139" t="s">
        <v>27</v>
      </c>
      <c r="S1139">
        <v>4738</v>
      </c>
      <c r="T1139" t="s">
        <v>66</v>
      </c>
      <c r="U1139" t="str">
        <f t="shared" si="17"/>
        <v>Fail</v>
      </c>
    </row>
    <row r="1140" spans="1:21">
      <c r="A1140" t="s">
        <v>2177</v>
      </c>
      <c r="B1140" t="s">
        <v>343</v>
      </c>
      <c r="C1140" t="s">
        <v>37</v>
      </c>
      <c r="D1140">
        <v>2</v>
      </c>
      <c r="E1140" t="s">
        <v>31</v>
      </c>
      <c r="F1140">
        <v>8</v>
      </c>
      <c r="G1140" t="s">
        <v>24</v>
      </c>
      <c r="H1140" t="s">
        <v>2178</v>
      </c>
      <c r="I1140">
        <v>65</v>
      </c>
      <c r="J1140">
        <v>53</v>
      </c>
      <c r="K1140">
        <v>81</v>
      </c>
      <c r="L1140">
        <v>82</v>
      </c>
      <c r="M1140">
        <v>74</v>
      </c>
      <c r="N1140">
        <v>64</v>
      </c>
      <c r="O1140">
        <v>354</v>
      </c>
      <c r="P1140">
        <v>70.8</v>
      </c>
      <c r="Q1140" t="s">
        <v>40</v>
      </c>
      <c r="R1140" t="s">
        <v>27</v>
      </c>
      <c r="S1140">
        <v>3274</v>
      </c>
      <c r="T1140" t="s">
        <v>42</v>
      </c>
      <c r="U1140" t="str">
        <f t="shared" si="17"/>
        <v>Pass</v>
      </c>
    </row>
    <row r="1141" spans="1:21">
      <c r="A1141" t="s">
        <v>2179</v>
      </c>
      <c r="B1141" t="s">
        <v>445</v>
      </c>
      <c r="C1141" t="s">
        <v>22</v>
      </c>
      <c r="D1141">
        <v>3</v>
      </c>
      <c r="E1141" t="s">
        <v>31</v>
      </c>
      <c r="F1141">
        <v>8</v>
      </c>
      <c r="G1141" t="s">
        <v>58</v>
      </c>
      <c r="H1141" t="s">
        <v>1959</v>
      </c>
      <c r="I1141">
        <v>84</v>
      </c>
      <c r="J1141">
        <v>60</v>
      </c>
      <c r="K1141">
        <v>59</v>
      </c>
      <c r="L1141">
        <v>79</v>
      </c>
      <c r="M1141">
        <v>51</v>
      </c>
      <c r="N1141">
        <v>76</v>
      </c>
      <c r="O1141">
        <v>325</v>
      </c>
      <c r="P1141">
        <v>65</v>
      </c>
      <c r="Q1141" t="s">
        <v>26</v>
      </c>
      <c r="R1141" t="s">
        <v>41</v>
      </c>
      <c r="S1141">
        <v>3399</v>
      </c>
      <c r="T1141" t="s">
        <v>66</v>
      </c>
      <c r="U1141" t="str">
        <f t="shared" si="17"/>
        <v>Pass</v>
      </c>
    </row>
    <row r="1142" spans="1:21">
      <c r="A1142" t="s">
        <v>2180</v>
      </c>
      <c r="B1142" t="s">
        <v>239</v>
      </c>
      <c r="C1142" t="s">
        <v>37</v>
      </c>
      <c r="D1142">
        <v>6</v>
      </c>
      <c r="E1142" t="s">
        <v>23</v>
      </c>
      <c r="F1142">
        <v>12</v>
      </c>
      <c r="G1142" t="s">
        <v>32</v>
      </c>
      <c r="H1142" t="s">
        <v>2181</v>
      </c>
      <c r="I1142">
        <v>68</v>
      </c>
      <c r="J1142">
        <v>59</v>
      </c>
      <c r="K1142">
        <v>59</v>
      </c>
      <c r="L1142">
        <v>83</v>
      </c>
      <c r="M1142">
        <v>75</v>
      </c>
      <c r="N1142">
        <v>86</v>
      </c>
      <c r="O1142">
        <v>362</v>
      </c>
      <c r="P1142">
        <v>72.400000000000006</v>
      </c>
      <c r="Q1142" t="s">
        <v>40</v>
      </c>
      <c r="R1142" t="s">
        <v>41</v>
      </c>
      <c r="S1142">
        <v>4796</v>
      </c>
      <c r="T1142" t="s">
        <v>66</v>
      </c>
      <c r="U1142" t="str">
        <f t="shared" si="17"/>
        <v>Pass</v>
      </c>
    </row>
    <row r="1143" spans="1:21">
      <c r="A1143" t="s">
        <v>2182</v>
      </c>
      <c r="B1143" t="s">
        <v>247</v>
      </c>
      <c r="C1143" t="s">
        <v>22</v>
      </c>
      <c r="D1143">
        <v>5</v>
      </c>
      <c r="E1143" t="s">
        <v>47</v>
      </c>
      <c r="F1143">
        <v>9</v>
      </c>
      <c r="G1143" t="s">
        <v>54</v>
      </c>
      <c r="H1143" t="s">
        <v>2183</v>
      </c>
      <c r="I1143">
        <v>68</v>
      </c>
      <c r="J1143">
        <v>57</v>
      </c>
      <c r="K1143">
        <v>86</v>
      </c>
      <c r="L1143">
        <v>100</v>
      </c>
      <c r="M1143">
        <v>86</v>
      </c>
      <c r="N1143">
        <v>67</v>
      </c>
      <c r="O1143">
        <v>396</v>
      </c>
      <c r="P1143">
        <v>79.2</v>
      </c>
      <c r="Q1143" t="s">
        <v>40</v>
      </c>
      <c r="R1143" t="s">
        <v>27</v>
      </c>
      <c r="S1143">
        <v>3712</v>
      </c>
      <c r="T1143" t="s">
        <v>34</v>
      </c>
      <c r="U1143" t="str">
        <f t="shared" si="17"/>
        <v>Pass</v>
      </c>
    </row>
    <row r="1144" spans="1:21">
      <c r="A1144" t="s">
        <v>2184</v>
      </c>
      <c r="B1144" t="s">
        <v>157</v>
      </c>
      <c r="C1144" t="s">
        <v>22</v>
      </c>
      <c r="D1144">
        <v>2</v>
      </c>
      <c r="E1144" t="s">
        <v>26</v>
      </c>
      <c r="F1144">
        <v>7</v>
      </c>
      <c r="G1144" t="s">
        <v>64</v>
      </c>
      <c r="H1144" t="s">
        <v>2041</v>
      </c>
      <c r="I1144">
        <v>90</v>
      </c>
      <c r="J1144">
        <v>47</v>
      </c>
      <c r="K1144">
        <v>61</v>
      </c>
      <c r="L1144">
        <v>91</v>
      </c>
      <c r="M1144">
        <v>80</v>
      </c>
      <c r="N1144">
        <v>47</v>
      </c>
      <c r="O1144">
        <v>326</v>
      </c>
      <c r="P1144">
        <v>65.2</v>
      </c>
      <c r="Q1144" t="s">
        <v>26</v>
      </c>
      <c r="R1144" t="s">
        <v>41</v>
      </c>
      <c r="S1144">
        <v>1904</v>
      </c>
      <c r="T1144" t="s">
        <v>34</v>
      </c>
      <c r="U1144" t="str">
        <f t="shared" si="17"/>
        <v>Pass</v>
      </c>
    </row>
    <row r="1145" spans="1:21">
      <c r="A1145" t="s">
        <v>2185</v>
      </c>
      <c r="B1145" t="s">
        <v>359</v>
      </c>
      <c r="C1145" t="s">
        <v>37</v>
      </c>
      <c r="D1145">
        <v>9</v>
      </c>
      <c r="E1145" t="s">
        <v>23</v>
      </c>
      <c r="F1145">
        <v>13</v>
      </c>
      <c r="G1145" t="s">
        <v>24</v>
      </c>
      <c r="H1145" t="s">
        <v>2186</v>
      </c>
      <c r="I1145">
        <v>88</v>
      </c>
      <c r="J1145">
        <v>52</v>
      </c>
      <c r="K1145">
        <v>98</v>
      </c>
      <c r="L1145">
        <v>50</v>
      </c>
      <c r="M1145">
        <v>86</v>
      </c>
      <c r="N1145">
        <v>98</v>
      </c>
      <c r="O1145">
        <v>384</v>
      </c>
      <c r="P1145">
        <v>76.8</v>
      </c>
      <c r="Q1145" t="s">
        <v>40</v>
      </c>
      <c r="R1145" t="s">
        <v>27</v>
      </c>
      <c r="S1145">
        <v>3887</v>
      </c>
      <c r="T1145" t="s">
        <v>66</v>
      </c>
      <c r="U1145" t="str">
        <f t="shared" si="17"/>
        <v>Pass</v>
      </c>
    </row>
    <row r="1146" spans="1:21">
      <c r="A1146" t="s">
        <v>2187</v>
      </c>
      <c r="B1146" t="s">
        <v>832</v>
      </c>
      <c r="C1146" t="s">
        <v>37</v>
      </c>
      <c r="D1146">
        <v>7</v>
      </c>
      <c r="E1146" t="s">
        <v>23</v>
      </c>
      <c r="F1146">
        <v>12</v>
      </c>
      <c r="G1146" t="s">
        <v>54</v>
      </c>
      <c r="H1146" t="s">
        <v>1686</v>
      </c>
      <c r="I1146">
        <v>100</v>
      </c>
      <c r="J1146">
        <v>53</v>
      </c>
      <c r="K1146">
        <v>65</v>
      </c>
      <c r="L1146">
        <v>42</v>
      </c>
      <c r="M1146">
        <v>40</v>
      </c>
      <c r="N1146">
        <v>70</v>
      </c>
      <c r="O1146">
        <v>270</v>
      </c>
      <c r="P1146">
        <v>54</v>
      </c>
      <c r="Q1146" t="s">
        <v>31</v>
      </c>
      <c r="R1146" t="s">
        <v>27</v>
      </c>
      <c r="S1146">
        <v>4358</v>
      </c>
      <c r="T1146" t="s">
        <v>34</v>
      </c>
      <c r="U1146" t="str">
        <f t="shared" si="17"/>
        <v>Fail</v>
      </c>
    </row>
    <row r="1147" spans="1:21">
      <c r="A1147" t="s">
        <v>2188</v>
      </c>
      <c r="B1147" t="s">
        <v>231</v>
      </c>
      <c r="C1147" t="s">
        <v>37</v>
      </c>
      <c r="D1147">
        <v>4</v>
      </c>
      <c r="E1147" t="s">
        <v>26</v>
      </c>
      <c r="F1147">
        <v>10</v>
      </c>
      <c r="G1147" t="s">
        <v>54</v>
      </c>
      <c r="H1147" t="s">
        <v>2189</v>
      </c>
      <c r="I1147">
        <v>99</v>
      </c>
      <c r="J1147">
        <v>97</v>
      </c>
      <c r="K1147">
        <v>56</v>
      </c>
      <c r="L1147">
        <v>86</v>
      </c>
      <c r="M1147">
        <v>77</v>
      </c>
      <c r="N1147">
        <v>91</v>
      </c>
      <c r="O1147">
        <v>407</v>
      </c>
      <c r="P1147">
        <v>81.400000000000006</v>
      </c>
      <c r="Q1147" t="s">
        <v>47</v>
      </c>
      <c r="R1147" t="s">
        <v>41</v>
      </c>
      <c r="S1147">
        <v>3786</v>
      </c>
      <c r="T1147" t="s">
        <v>42</v>
      </c>
      <c r="U1147" t="str">
        <f t="shared" si="17"/>
        <v>Pass</v>
      </c>
    </row>
    <row r="1148" spans="1:21">
      <c r="A1148" t="s">
        <v>2190</v>
      </c>
      <c r="B1148" t="s">
        <v>582</v>
      </c>
      <c r="C1148" t="s">
        <v>37</v>
      </c>
      <c r="D1148">
        <v>6</v>
      </c>
      <c r="E1148" t="s">
        <v>23</v>
      </c>
      <c r="F1148">
        <v>11</v>
      </c>
      <c r="G1148" t="s">
        <v>54</v>
      </c>
      <c r="H1148" t="s">
        <v>2191</v>
      </c>
      <c r="I1148">
        <v>71</v>
      </c>
      <c r="J1148">
        <v>52</v>
      </c>
      <c r="K1148">
        <v>42</v>
      </c>
      <c r="L1148">
        <v>49</v>
      </c>
      <c r="M1148">
        <v>62</v>
      </c>
      <c r="N1148">
        <v>40</v>
      </c>
      <c r="O1148">
        <v>245</v>
      </c>
      <c r="P1148">
        <v>49</v>
      </c>
      <c r="Q1148" t="s">
        <v>23</v>
      </c>
      <c r="R1148" t="s">
        <v>41</v>
      </c>
      <c r="S1148">
        <v>2483</v>
      </c>
      <c r="T1148" t="s">
        <v>28</v>
      </c>
      <c r="U1148" t="str">
        <f t="shared" si="17"/>
        <v>Fail</v>
      </c>
    </row>
    <row r="1149" spans="1:21">
      <c r="A1149" t="s">
        <v>2192</v>
      </c>
      <c r="B1149" t="s">
        <v>1080</v>
      </c>
      <c r="C1149" t="s">
        <v>37</v>
      </c>
      <c r="D1149">
        <v>10</v>
      </c>
      <c r="E1149" t="s">
        <v>47</v>
      </c>
      <c r="F1149">
        <v>14</v>
      </c>
      <c r="G1149" t="s">
        <v>58</v>
      </c>
      <c r="H1149" t="s">
        <v>2193</v>
      </c>
      <c r="I1149">
        <v>87</v>
      </c>
      <c r="J1149">
        <v>83</v>
      </c>
      <c r="K1149">
        <v>53</v>
      </c>
      <c r="L1149">
        <v>89</v>
      </c>
      <c r="M1149">
        <v>56</v>
      </c>
      <c r="N1149">
        <v>46</v>
      </c>
      <c r="O1149">
        <v>327</v>
      </c>
      <c r="P1149">
        <v>65.400000000000006</v>
      </c>
      <c r="Q1149" t="s">
        <v>26</v>
      </c>
      <c r="R1149" t="s">
        <v>27</v>
      </c>
      <c r="S1149">
        <v>2461</v>
      </c>
      <c r="T1149" t="s">
        <v>70</v>
      </c>
      <c r="U1149" t="str">
        <f t="shared" si="17"/>
        <v>Pass</v>
      </c>
    </row>
    <row r="1150" spans="1:21">
      <c r="A1150" t="s">
        <v>2194</v>
      </c>
      <c r="B1150" t="s">
        <v>335</v>
      </c>
      <c r="C1150" t="s">
        <v>37</v>
      </c>
      <c r="D1150">
        <v>4</v>
      </c>
      <c r="E1150" t="s">
        <v>47</v>
      </c>
      <c r="F1150">
        <v>9</v>
      </c>
      <c r="G1150" t="s">
        <v>45</v>
      </c>
      <c r="H1150" t="s">
        <v>2195</v>
      </c>
      <c r="I1150">
        <v>75</v>
      </c>
      <c r="J1150">
        <v>53</v>
      </c>
      <c r="K1150">
        <v>69</v>
      </c>
      <c r="L1150">
        <v>67</v>
      </c>
      <c r="M1150">
        <v>59</v>
      </c>
      <c r="N1150">
        <v>65</v>
      </c>
      <c r="O1150">
        <v>313</v>
      </c>
      <c r="P1150">
        <v>62.6</v>
      </c>
      <c r="Q1150" t="s">
        <v>26</v>
      </c>
      <c r="R1150" t="s">
        <v>27</v>
      </c>
      <c r="S1150">
        <v>3660</v>
      </c>
      <c r="T1150" t="s">
        <v>48</v>
      </c>
      <c r="U1150" t="str">
        <f t="shared" si="17"/>
        <v>Pass</v>
      </c>
    </row>
    <row r="1151" spans="1:21">
      <c r="A1151" t="s">
        <v>2196</v>
      </c>
      <c r="B1151" t="s">
        <v>386</v>
      </c>
      <c r="C1151" t="s">
        <v>37</v>
      </c>
      <c r="D1151">
        <v>7</v>
      </c>
      <c r="E1151" t="s">
        <v>26</v>
      </c>
      <c r="F1151">
        <v>11</v>
      </c>
      <c r="G1151" t="s">
        <v>45</v>
      </c>
      <c r="H1151" t="s">
        <v>2197</v>
      </c>
      <c r="I1151">
        <v>63</v>
      </c>
      <c r="J1151">
        <v>79</v>
      </c>
      <c r="K1151">
        <v>78</v>
      </c>
      <c r="L1151">
        <v>40</v>
      </c>
      <c r="M1151">
        <v>60</v>
      </c>
      <c r="N1151">
        <v>53</v>
      </c>
      <c r="O1151">
        <v>310</v>
      </c>
      <c r="P1151">
        <v>62</v>
      </c>
      <c r="Q1151" t="s">
        <v>26</v>
      </c>
      <c r="R1151" t="s">
        <v>27</v>
      </c>
      <c r="S1151">
        <v>3890</v>
      </c>
      <c r="T1151" t="s">
        <v>48</v>
      </c>
      <c r="U1151" t="str">
        <f t="shared" si="17"/>
        <v>Pass</v>
      </c>
    </row>
    <row r="1152" spans="1:21">
      <c r="A1152" t="s">
        <v>2198</v>
      </c>
      <c r="B1152" t="s">
        <v>544</v>
      </c>
      <c r="C1152" t="s">
        <v>37</v>
      </c>
      <c r="D1152">
        <v>8</v>
      </c>
      <c r="E1152" t="s">
        <v>31</v>
      </c>
      <c r="F1152">
        <v>13</v>
      </c>
      <c r="G1152" t="s">
        <v>58</v>
      </c>
      <c r="H1152" t="s">
        <v>2199</v>
      </c>
      <c r="I1152">
        <v>70</v>
      </c>
      <c r="J1152">
        <v>88</v>
      </c>
      <c r="K1152">
        <v>64</v>
      </c>
      <c r="L1152">
        <v>39</v>
      </c>
      <c r="M1152">
        <v>83</v>
      </c>
      <c r="N1152">
        <v>63</v>
      </c>
      <c r="O1152">
        <v>337</v>
      </c>
      <c r="P1152">
        <v>67.400000000000006</v>
      </c>
      <c r="Q1152" t="s">
        <v>26</v>
      </c>
      <c r="R1152" t="s">
        <v>27</v>
      </c>
      <c r="S1152">
        <v>3517</v>
      </c>
      <c r="T1152" t="s">
        <v>66</v>
      </c>
      <c r="U1152" t="str">
        <f t="shared" si="17"/>
        <v>Pass</v>
      </c>
    </row>
    <row r="1153" spans="1:21">
      <c r="A1153" t="s">
        <v>2200</v>
      </c>
      <c r="B1153" t="s">
        <v>277</v>
      </c>
      <c r="C1153" t="s">
        <v>37</v>
      </c>
      <c r="D1153">
        <v>4</v>
      </c>
      <c r="E1153" t="s">
        <v>47</v>
      </c>
      <c r="F1153">
        <v>10</v>
      </c>
      <c r="G1153" t="s">
        <v>64</v>
      </c>
      <c r="H1153" t="s">
        <v>2201</v>
      </c>
      <c r="I1153">
        <v>70</v>
      </c>
      <c r="J1153">
        <v>99</v>
      </c>
      <c r="K1153">
        <v>76</v>
      </c>
      <c r="L1153">
        <v>39</v>
      </c>
      <c r="M1153">
        <v>60</v>
      </c>
      <c r="N1153">
        <v>44</v>
      </c>
      <c r="O1153">
        <v>318</v>
      </c>
      <c r="P1153">
        <v>63.6</v>
      </c>
      <c r="Q1153" t="s">
        <v>26</v>
      </c>
      <c r="R1153" t="s">
        <v>27</v>
      </c>
      <c r="S1153">
        <v>2312</v>
      </c>
      <c r="T1153" t="s">
        <v>66</v>
      </c>
      <c r="U1153" t="str">
        <f t="shared" si="17"/>
        <v>Pass</v>
      </c>
    </row>
    <row r="1154" spans="1:21">
      <c r="A1154" t="s">
        <v>2202</v>
      </c>
      <c r="B1154" t="s">
        <v>53</v>
      </c>
      <c r="C1154" t="s">
        <v>37</v>
      </c>
      <c r="D1154">
        <v>5</v>
      </c>
      <c r="E1154" t="s">
        <v>47</v>
      </c>
      <c r="F1154">
        <v>11</v>
      </c>
      <c r="G1154" t="s">
        <v>54</v>
      </c>
      <c r="H1154" t="s">
        <v>2203</v>
      </c>
      <c r="I1154">
        <v>78</v>
      </c>
      <c r="J1154">
        <v>85</v>
      </c>
      <c r="K1154">
        <v>78</v>
      </c>
      <c r="L1154">
        <v>59</v>
      </c>
      <c r="M1154">
        <v>40</v>
      </c>
      <c r="N1154">
        <v>56</v>
      </c>
      <c r="O1154">
        <v>318</v>
      </c>
      <c r="P1154">
        <v>63.6</v>
      </c>
      <c r="Q1154" t="s">
        <v>26</v>
      </c>
      <c r="R1154" t="s">
        <v>41</v>
      </c>
      <c r="S1154">
        <v>3923</v>
      </c>
      <c r="T1154" t="s">
        <v>48</v>
      </c>
      <c r="U1154" t="str">
        <f t="shared" si="17"/>
        <v>Pass</v>
      </c>
    </row>
    <row r="1155" spans="1:21">
      <c r="A1155" t="s">
        <v>2204</v>
      </c>
      <c r="B1155" t="s">
        <v>57</v>
      </c>
      <c r="C1155" t="s">
        <v>37</v>
      </c>
      <c r="D1155">
        <v>6</v>
      </c>
      <c r="E1155" t="s">
        <v>47</v>
      </c>
      <c r="F1155">
        <v>10</v>
      </c>
      <c r="G1155" t="s">
        <v>24</v>
      </c>
      <c r="H1155" t="s">
        <v>2205</v>
      </c>
      <c r="I1155">
        <v>95</v>
      </c>
      <c r="J1155">
        <v>85</v>
      </c>
      <c r="K1155">
        <v>87</v>
      </c>
      <c r="L1155">
        <v>98</v>
      </c>
      <c r="M1155">
        <v>54</v>
      </c>
      <c r="N1155">
        <v>97</v>
      </c>
      <c r="O1155">
        <v>421</v>
      </c>
      <c r="P1155">
        <v>84.2</v>
      </c>
      <c r="Q1155" t="s">
        <v>47</v>
      </c>
      <c r="R1155" t="s">
        <v>41</v>
      </c>
      <c r="S1155">
        <v>3719</v>
      </c>
      <c r="T1155" t="s">
        <v>42</v>
      </c>
      <c r="U1155" t="str">
        <f t="shared" ref="U1155:U1218" si="18">IF(P1155&gt;55,"Pass","Fail")</f>
        <v>Pass</v>
      </c>
    </row>
    <row r="1156" spans="1:21">
      <c r="A1156" t="s">
        <v>2206</v>
      </c>
      <c r="B1156" t="s">
        <v>614</v>
      </c>
      <c r="C1156" t="s">
        <v>37</v>
      </c>
      <c r="D1156">
        <v>4</v>
      </c>
      <c r="E1156" t="s">
        <v>47</v>
      </c>
      <c r="F1156">
        <v>9</v>
      </c>
      <c r="G1156" t="s">
        <v>32</v>
      </c>
      <c r="H1156" t="s">
        <v>2207</v>
      </c>
      <c r="I1156">
        <v>83</v>
      </c>
      <c r="J1156">
        <v>68</v>
      </c>
      <c r="K1156">
        <v>38</v>
      </c>
      <c r="L1156">
        <v>62</v>
      </c>
      <c r="M1156">
        <v>93</v>
      </c>
      <c r="N1156">
        <v>59</v>
      </c>
      <c r="O1156">
        <v>320</v>
      </c>
      <c r="P1156">
        <v>64</v>
      </c>
      <c r="Q1156" t="s">
        <v>26</v>
      </c>
      <c r="R1156" t="s">
        <v>27</v>
      </c>
      <c r="S1156">
        <v>1511</v>
      </c>
      <c r="T1156" t="s">
        <v>66</v>
      </c>
      <c r="U1156" t="str">
        <f t="shared" si="18"/>
        <v>Pass</v>
      </c>
    </row>
    <row r="1157" spans="1:21">
      <c r="A1157" t="s">
        <v>2208</v>
      </c>
      <c r="B1157" t="s">
        <v>1088</v>
      </c>
      <c r="C1157" t="s">
        <v>22</v>
      </c>
      <c r="D1157">
        <v>10</v>
      </c>
      <c r="E1157" t="s">
        <v>23</v>
      </c>
      <c r="F1157">
        <v>16</v>
      </c>
      <c r="G1157" t="s">
        <v>64</v>
      </c>
      <c r="H1157" t="s">
        <v>2209</v>
      </c>
      <c r="I1157">
        <v>95</v>
      </c>
      <c r="J1157">
        <v>65</v>
      </c>
      <c r="K1157">
        <v>61</v>
      </c>
      <c r="L1157">
        <v>95</v>
      </c>
      <c r="M1157">
        <v>84</v>
      </c>
      <c r="N1157">
        <v>73</v>
      </c>
      <c r="O1157">
        <v>378</v>
      </c>
      <c r="P1157">
        <v>75.599999999999994</v>
      </c>
      <c r="Q1157" t="s">
        <v>40</v>
      </c>
      <c r="R1157" t="s">
        <v>27</v>
      </c>
      <c r="S1157">
        <v>2538</v>
      </c>
      <c r="T1157" t="s">
        <v>34</v>
      </c>
      <c r="U1157" t="str">
        <f t="shared" si="18"/>
        <v>Pass</v>
      </c>
    </row>
    <row r="1158" spans="1:21">
      <c r="A1158" t="s">
        <v>2210</v>
      </c>
      <c r="B1158" t="s">
        <v>819</v>
      </c>
      <c r="C1158" t="s">
        <v>22</v>
      </c>
      <c r="D1158">
        <v>1</v>
      </c>
      <c r="E1158" t="s">
        <v>31</v>
      </c>
      <c r="F1158">
        <v>7</v>
      </c>
      <c r="G1158" t="s">
        <v>54</v>
      </c>
      <c r="H1158" t="s">
        <v>69</v>
      </c>
      <c r="I1158">
        <v>80</v>
      </c>
      <c r="J1158">
        <v>88</v>
      </c>
      <c r="K1158">
        <v>91</v>
      </c>
      <c r="L1158">
        <v>100</v>
      </c>
      <c r="M1158">
        <v>84</v>
      </c>
      <c r="N1158">
        <v>79</v>
      </c>
      <c r="O1158">
        <v>442</v>
      </c>
      <c r="P1158">
        <v>88.4</v>
      </c>
      <c r="Q1158" t="s">
        <v>47</v>
      </c>
      <c r="R1158" t="s">
        <v>41</v>
      </c>
      <c r="S1158">
        <v>4442</v>
      </c>
      <c r="T1158" t="s">
        <v>28</v>
      </c>
      <c r="U1158" t="str">
        <f t="shared" si="18"/>
        <v>Pass</v>
      </c>
    </row>
    <row r="1159" spans="1:21">
      <c r="A1159" t="s">
        <v>2211</v>
      </c>
      <c r="B1159" t="s">
        <v>582</v>
      </c>
      <c r="C1159" t="s">
        <v>37</v>
      </c>
      <c r="D1159">
        <v>3</v>
      </c>
      <c r="E1159" t="s">
        <v>47</v>
      </c>
      <c r="F1159">
        <v>9</v>
      </c>
      <c r="G1159" t="s">
        <v>64</v>
      </c>
      <c r="H1159" t="s">
        <v>2212</v>
      </c>
      <c r="I1159">
        <v>92</v>
      </c>
      <c r="J1159">
        <v>90</v>
      </c>
      <c r="K1159">
        <v>35</v>
      </c>
      <c r="L1159">
        <v>100</v>
      </c>
      <c r="M1159">
        <v>65</v>
      </c>
      <c r="N1159">
        <v>79</v>
      </c>
      <c r="O1159">
        <v>369</v>
      </c>
      <c r="P1159">
        <v>73.8</v>
      </c>
      <c r="Q1159" t="s">
        <v>40</v>
      </c>
      <c r="R1159" t="s">
        <v>41</v>
      </c>
      <c r="S1159">
        <v>2467</v>
      </c>
      <c r="T1159" t="s">
        <v>66</v>
      </c>
      <c r="U1159" t="str">
        <f t="shared" si="18"/>
        <v>Pass</v>
      </c>
    </row>
    <row r="1160" spans="1:21">
      <c r="A1160" t="s">
        <v>2213</v>
      </c>
      <c r="B1160" t="s">
        <v>329</v>
      </c>
      <c r="C1160" t="s">
        <v>22</v>
      </c>
      <c r="D1160">
        <v>12</v>
      </c>
      <c r="E1160" t="s">
        <v>26</v>
      </c>
      <c r="F1160">
        <v>16</v>
      </c>
      <c r="G1160" t="s">
        <v>45</v>
      </c>
      <c r="H1160" t="s">
        <v>2214</v>
      </c>
      <c r="I1160">
        <v>60</v>
      </c>
      <c r="J1160">
        <v>39</v>
      </c>
      <c r="K1160">
        <v>64</v>
      </c>
      <c r="L1160">
        <v>64</v>
      </c>
      <c r="M1160">
        <v>53</v>
      </c>
      <c r="N1160">
        <v>51</v>
      </c>
      <c r="O1160">
        <v>271</v>
      </c>
      <c r="P1160">
        <v>54.2</v>
      </c>
      <c r="Q1160" t="s">
        <v>31</v>
      </c>
      <c r="R1160" t="s">
        <v>41</v>
      </c>
      <c r="S1160">
        <v>1629</v>
      </c>
      <c r="T1160" t="s">
        <v>42</v>
      </c>
      <c r="U1160" t="str">
        <f t="shared" si="18"/>
        <v>Fail</v>
      </c>
    </row>
    <row r="1161" spans="1:21">
      <c r="A1161" t="s">
        <v>2215</v>
      </c>
      <c r="B1161" t="s">
        <v>57</v>
      </c>
      <c r="C1161" t="s">
        <v>37</v>
      </c>
      <c r="D1161">
        <v>7</v>
      </c>
      <c r="E1161" t="s">
        <v>47</v>
      </c>
      <c r="F1161">
        <v>12</v>
      </c>
      <c r="G1161" t="s">
        <v>45</v>
      </c>
      <c r="H1161" t="s">
        <v>1480</v>
      </c>
      <c r="I1161">
        <v>89</v>
      </c>
      <c r="J1161">
        <v>58</v>
      </c>
      <c r="K1161">
        <v>55</v>
      </c>
      <c r="L1161">
        <v>71</v>
      </c>
      <c r="M1161">
        <v>74</v>
      </c>
      <c r="N1161">
        <v>53</v>
      </c>
      <c r="O1161">
        <v>311</v>
      </c>
      <c r="P1161">
        <v>62.2</v>
      </c>
      <c r="Q1161" t="s">
        <v>26</v>
      </c>
      <c r="R1161" t="s">
        <v>27</v>
      </c>
      <c r="S1161">
        <v>4371</v>
      </c>
      <c r="T1161" t="s">
        <v>48</v>
      </c>
      <c r="U1161" t="str">
        <f t="shared" si="18"/>
        <v>Pass</v>
      </c>
    </row>
    <row r="1162" spans="1:21">
      <c r="A1162" t="s">
        <v>2216</v>
      </c>
      <c r="B1162" t="s">
        <v>594</v>
      </c>
      <c r="C1162" t="s">
        <v>22</v>
      </c>
      <c r="D1162">
        <v>5</v>
      </c>
      <c r="E1162" t="s">
        <v>31</v>
      </c>
      <c r="F1162">
        <v>11</v>
      </c>
      <c r="G1162" t="s">
        <v>38</v>
      </c>
      <c r="H1162" t="s">
        <v>2217</v>
      </c>
      <c r="I1162">
        <v>81</v>
      </c>
      <c r="J1162">
        <v>35</v>
      </c>
      <c r="K1162">
        <v>53</v>
      </c>
      <c r="L1162">
        <v>60</v>
      </c>
      <c r="M1162">
        <v>98</v>
      </c>
      <c r="N1162">
        <v>53</v>
      </c>
      <c r="O1162">
        <v>299</v>
      </c>
      <c r="P1162">
        <v>59.8</v>
      </c>
      <c r="Q1162" t="s">
        <v>31</v>
      </c>
      <c r="R1162" t="s">
        <v>41</v>
      </c>
      <c r="S1162">
        <v>2252</v>
      </c>
      <c r="T1162" t="s">
        <v>42</v>
      </c>
      <c r="U1162" t="str">
        <f t="shared" si="18"/>
        <v>Pass</v>
      </c>
    </row>
    <row r="1163" spans="1:21">
      <c r="A1163" t="s">
        <v>2218</v>
      </c>
      <c r="B1163" t="s">
        <v>157</v>
      </c>
      <c r="C1163" t="s">
        <v>22</v>
      </c>
      <c r="D1163">
        <v>12</v>
      </c>
      <c r="E1163" t="s">
        <v>26</v>
      </c>
      <c r="F1163">
        <v>17</v>
      </c>
      <c r="G1163" t="s">
        <v>38</v>
      </c>
      <c r="H1163" t="s">
        <v>907</v>
      </c>
      <c r="I1163">
        <v>66</v>
      </c>
      <c r="J1163">
        <v>75</v>
      </c>
      <c r="K1163">
        <v>83</v>
      </c>
      <c r="L1163">
        <v>80</v>
      </c>
      <c r="M1163">
        <v>61</v>
      </c>
      <c r="N1163">
        <v>71</v>
      </c>
      <c r="O1163">
        <v>370</v>
      </c>
      <c r="P1163">
        <v>74</v>
      </c>
      <c r="Q1163" t="s">
        <v>40</v>
      </c>
      <c r="R1163" t="s">
        <v>27</v>
      </c>
      <c r="S1163">
        <v>3869</v>
      </c>
      <c r="T1163" t="s">
        <v>34</v>
      </c>
      <c r="U1163" t="str">
        <f t="shared" si="18"/>
        <v>Pass</v>
      </c>
    </row>
    <row r="1164" spans="1:21">
      <c r="A1164" t="s">
        <v>2219</v>
      </c>
      <c r="B1164" t="s">
        <v>154</v>
      </c>
      <c r="C1164" t="s">
        <v>37</v>
      </c>
      <c r="D1164">
        <v>12</v>
      </c>
      <c r="E1164" t="s">
        <v>47</v>
      </c>
      <c r="F1164">
        <v>18</v>
      </c>
      <c r="G1164" t="s">
        <v>58</v>
      </c>
      <c r="H1164" t="s">
        <v>513</v>
      </c>
      <c r="I1164">
        <v>96</v>
      </c>
      <c r="J1164">
        <v>89</v>
      </c>
      <c r="K1164">
        <v>47</v>
      </c>
      <c r="L1164">
        <v>51</v>
      </c>
      <c r="M1164">
        <v>56</v>
      </c>
      <c r="N1164">
        <v>88</v>
      </c>
      <c r="O1164">
        <v>331</v>
      </c>
      <c r="P1164">
        <v>66.2</v>
      </c>
      <c r="Q1164" t="s">
        <v>26</v>
      </c>
      <c r="R1164" t="s">
        <v>27</v>
      </c>
      <c r="S1164">
        <v>2790</v>
      </c>
      <c r="T1164" t="s">
        <v>70</v>
      </c>
      <c r="U1164" t="str">
        <f t="shared" si="18"/>
        <v>Pass</v>
      </c>
    </row>
    <row r="1165" spans="1:21">
      <c r="A1165" t="s">
        <v>2220</v>
      </c>
      <c r="B1165" t="s">
        <v>808</v>
      </c>
      <c r="C1165" t="s">
        <v>22</v>
      </c>
      <c r="D1165">
        <v>6</v>
      </c>
      <c r="E1165" t="s">
        <v>23</v>
      </c>
      <c r="F1165">
        <v>12</v>
      </c>
      <c r="G1165" t="s">
        <v>38</v>
      </c>
      <c r="H1165" t="s">
        <v>2221</v>
      </c>
      <c r="I1165">
        <v>79</v>
      </c>
      <c r="J1165">
        <v>67</v>
      </c>
      <c r="K1165">
        <v>38</v>
      </c>
      <c r="L1165">
        <v>88</v>
      </c>
      <c r="M1165">
        <v>100</v>
      </c>
      <c r="N1165">
        <v>52</v>
      </c>
      <c r="O1165">
        <v>345</v>
      </c>
      <c r="P1165">
        <v>69</v>
      </c>
      <c r="Q1165" t="s">
        <v>26</v>
      </c>
      <c r="R1165" t="s">
        <v>27</v>
      </c>
      <c r="S1165">
        <v>2422</v>
      </c>
      <c r="T1165" t="s">
        <v>66</v>
      </c>
      <c r="U1165" t="str">
        <f t="shared" si="18"/>
        <v>Pass</v>
      </c>
    </row>
    <row r="1166" spans="1:21">
      <c r="A1166" t="s">
        <v>2222</v>
      </c>
      <c r="B1166" t="s">
        <v>329</v>
      </c>
      <c r="C1166" t="s">
        <v>37</v>
      </c>
      <c r="D1166">
        <v>2</v>
      </c>
      <c r="E1166" t="s">
        <v>31</v>
      </c>
      <c r="F1166">
        <v>7</v>
      </c>
      <c r="G1166" t="s">
        <v>45</v>
      </c>
      <c r="H1166" t="s">
        <v>1020</v>
      </c>
      <c r="I1166">
        <v>87</v>
      </c>
      <c r="J1166">
        <v>41</v>
      </c>
      <c r="K1166">
        <v>55</v>
      </c>
      <c r="L1166">
        <v>76</v>
      </c>
      <c r="M1166">
        <v>41</v>
      </c>
      <c r="N1166">
        <v>83</v>
      </c>
      <c r="O1166">
        <v>296</v>
      </c>
      <c r="P1166">
        <v>59.2</v>
      </c>
      <c r="Q1166" t="s">
        <v>31</v>
      </c>
      <c r="R1166" t="s">
        <v>41</v>
      </c>
      <c r="S1166">
        <v>2844</v>
      </c>
      <c r="T1166" t="s">
        <v>66</v>
      </c>
      <c r="U1166" t="str">
        <f t="shared" si="18"/>
        <v>Pass</v>
      </c>
    </row>
    <row r="1167" spans="1:21">
      <c r="A1167" t="s">
        <v>2223</v>
      </c>
      <c r="B1167" t="s">
        <v>926</v>
      </c>
      <c r="C1167" t="s">
        <v>37</v>
      </c>
      <c r="D1167">
        <v>12</v>
      </c>
      <c r="E1167" t="s">
        <v>26</v>
      </c>
      <c r="F1167">
        <v>18</v>
      </c>
      <c r="G1167" t="s">
        <v>45</v>
      </c>
      <c r="H1167" t="s">
        <v>2224</v>
      </c>
      <c r="I1167">
        <v>94</v>
      </c>
      <c r="J1167">
        <v>46</v>
      </c>
      <c r="K1167">
        <v>83</v>
      </c>
      <c r="L1167">
        <v>96</v>
      </c>
      <c r="M1167">
        <v>83</v>
      </c>
      <c r="N1167">
        <v>64</v>
      </c>
      <c r="O1167">
        <v>372</v>
      </c>
      <c r="P1167">
        <v>74.400000000000006</v>
      </c>
      <c r="Q1167" t="s">
        <v>40</v>
      </c>
      <c r="R1167" t="s">
        <v>27</v>
      </c>
      <c r="S1167">
        <v>4182</v>
      </c>
      <c r="T1167" t="s">
        <v>70</v>
      </c>
      <c r="U1167" t="str">
        <f t="shared" si="18"/>
        <v>Pass</v>
      </c>
    </row>
    <row r="1168" spans="1:21">
      <c r="A1168" t="s">
        <v>2225</v>
      </c>
      <c r="B1168" t="s">
        <v>137</v>
      </c>
      <c r="C1168" t="s">
        <v>37</v>
      </c>
      <c r="D1168">
        <v>3</v>
      </c>
      <c r="E1168" t="s">
        <v>26</v>
      </c>
      <c r="F1168">
        <v>8</v>
      </c>
      <c r="G1168" t="s">
        <v>45</v>
      </c>
      <c r="H1168" t="s">
        <v>440</v>
      </c>
      <c r="I1168">
        <v>93</v>
      </c>
      <c r="J1168">
        <v>61</v>
      </c>
      <c r="K1168">
        <v>50</v>
      </c>
      <c r="L1168">
        <v>38</v>
      </c>
      <c r="M1168">
        <v>89</v>
      </c>
      <c r="N1168">
        <v>64</v>
      </c>
      <c r="O1168">
        <v>302</v>
      </c>
      <c r="P1168">
        <v>60.4</v>
      </c>
      <c r="Q1168" t="s">
        <v>26</v>
      </c>
      <c r="R1168" t="s">
        <v>27</v>
      </c>
      <c r="S1168">
        <v>4800</v>
      </c>
      <c r="T1168" t="s">
        <v>48</v>
      </c>
      <c r="U1168" t="str">
        <f t="shared" si="18"/>
        <v>Pass</v>
      </c>
    </row>
    <row r="1169" spans="1:21">
      <c r="A1169" t="s">
        <v>2226</v>
      </c>
      <c r="B1169" t="s">
        <v>335</v>
      </c>
      <c r="C1169" t="s">
        <v>37</v>
      </c>
      <c r="D1169">
        <v>12</v>
      </c>
      <c r="E1169" t="s">
        <v>31</v>
      </c>
      <c r="F1169">
        <v>18</v>
      </c>
      <c r="G1169" t="s">
        <v>38</v>
      </c>
      <c r="H1169" t="s">
        <v>2081</v>
      </c>
      <c r="I1169">
        <v>78</v>
      </c>
      <c r="J1169">
        <v>52</v>
      </c>
      <c r="K1169">
        <v>95</v>
      </c>
      <c r="L1169">
        <v>62</v>
      </c>
      <c r="M1169">
        <v>92</v>
      </c>
      <c r="N1169">
        <v>52</v>
      </c>
      <c r="O1169">
        <v>353</v>
      </c>
      <c r="P1169">
        <v>70.599999999999994</v>
      </c>
      <c r="Q1169" t="s">
        <v>40</v>
      </c>
      <c r="R1169" t="s">
        <v>27</v>
      </c>
      <c r="S1169">
        <v>2701</v>
      </c>
      <c r="T1169" t="s">
        <v>42</v>
      </c>
      <c r="U1169" t="str">
        <f t="shared" si="18"/>
        <v>Pass</v>
      </c>
    </row>
    <row r="1170" spans="1:21">
      <c r="A1170" t="s">
        <v>2227</v>
      </c>
      <c r="B1170" t="s">
        <v>295</v>
      </c>
      <c r="C1170" t="s">
        <v>22</v>
      </c>
      <c r="D1170">
        <v>8</v>
      </c>
      <c r="E1170" t="s">
        <v>26</v>
      </c>
      <c r="F1170">
        <v>12</v>
      </c>
      <c r="G1170" t="s">
        <v>45</v>
      </c>
      <c r="H1170" t="s">
        <v>346</v>
      </c>
      <c r="I1170">
        <v>89</v>
      </c>
      <c r="J1170">
        <v>63</v>
      </c>
      <c r="K1170">
        <v>84</v>
      </c>
      <c r="L1170">
        <v>56</v>
      </c>
      <c r="M1170">
        <v>60</v>
      </c>
      <c r="N1170">
        <v>48</v>
      </c>
      <c r="O1170">
        <v>311</v>
      </c>
      <c r="P1170">
        <v>62.2</v>
      </c>
      <c r="Q1170" t="s">
        <v>26</v>
      </c>
      <c r="R1170" t="s">
        <v>41</v>
      </c>
      <c r="S1170">
        <v>3994</v>
      </c>
      <c r="T1170" t="s">
        <v>28</v>
      </c>
      <c r="U1170" t="str">
        <f t="shared" si="18"/>
        <v>Pass</v>
      </c>
    </row>
    <row r="1171" spans="1:21">
      <c r="A1171" t="s">
        <v>2228</v>
      </c>
      <c r="B1171" t="s">
        <v>651</v>
      </c>
      <c r="C1171" t="s">
        <v>37</v>
      </c>
      <c r="D1171">
        <v>9</v>
      </c>
      <c r="E1171" t="s">
        <v>31</v>
      </c>
      <c r="F1171">
        <v>13</v>
      </c>
      <c r="G1171" t="s">
        <v>54</v>
      </c>
      <c r="H1171" t="s">
        <v>2229</v>
      </c>
      <c r="I1171">
        <v>93</v>
      </c>
      <c r="J1171">
        <v>100</v>
      </c>
      <c r="K1171">
        <v>96</v>
      </c>
      <c r="L1171">
        <v>78</v>
      </c>
      <c r="M1171">
        <v>94</v>
      </c>
      <c r="N1171">
        <v>65</v>
      </c>
      <c r="O1171">
        <v>433</v>
      </c>
      <c r="P1171">
        <v>86.6</v>
      </c>
      <c r="Q1171" t="s">
        <v>47</v>
      </c>
      <c r="R1171" t="s">
        <v>27</v>
      </c>
      <c r="S1171">
        <v>3951</v>
      </c>
      <c r="T1171" t="s">
        <v>42</v>
      </c>
      <c r="U1171" t="str">
        <f t="shared" si="18"/>
        <v>Pass</v>
      </c>
    </row>
    <row r="1172" spans="1:21">
      <c r="A1172" t="s">
        <v>2230</v>
      </c>
      <c r="B1172" t="s">
        <v>978</v>
      </c>
      <c r="C1172" t="s">
        <v>22</v>
      </c>
      <c r="D1172">
        <v>1</v>
      </c>
      <c r="E1172" t="s">
        <v>26</v>
      </c>
      <c r="F1172">
        <v>7</v>
      </c>
      <c r="G1172" t="s">
        <v>32</v>
      </c>
      <c r="H1172" t="s">
        <v>567</v>
      </c>
      <c r="I1172">
        <v>86</v>
      </c>
      <c r="J1172">
        <v>54</v>
      </c>
      <c r="K1172">
        <v>53</v>
      </c>
      <c r="L1172">
        <v>43</v>
      </c>
      <c r="M1172">
        <v>54</v>
      </c>
      <c r="N1172">
        <v>86</v>
      </c>
      <c r="O1172">
        <v>290</v>
      </c>
      <c r="P1172">
        <v>58</v>
      </c>
      <c r="Q1172" t="s">
        <v>31</v>
      </c>
      <c r="R1172" t="s">
        <v>41</v>
      </c>
      <c r="S1172">
        <v>2471</v>
      </c>
      <c r="T1172" t="s">
        <v>48</v>
      </c>
      <c r="U1172" t="str">
        <f t="shared" si="18"/>
        <v>Pass</v>
      </c>
    </row>
    <row r="1173" spans="1:21">
      <c r="A1173" t="s">
        <v>2231</v>
      </c>
      <c r="B1173" t="s">
        <v>274</v>
      </c>
      <c r="C1173" t="s">
        <v>37</v>
      </c>
      <c r="D1173">
        <v>5</v>
      </c>
      <c r="E1173" t="s">
        <v>23</v>
      </c>
      <c r="F1173">
        <v>10</v>
      </c>
      <c r="G1173" t="s">
        <v>54</v>
      </c>
      <c r="H1173" t="s">
        <v>2232</v>
      </c>
      <c r="I1173">
        <v>93</v>
      </c>
      <c r="J1173">
        <v>95</v>
      </c>
      <c r="K1173">
        <v>84</v>
      </c>
      <c r="L1173">
        <v>61</v>
      </c>
      <c r="M1173">
        <v>74</v>
      </c>
      <c r="N1173">
        <v>41</v>
      </c>
      <c r="O1173">
        <v>355</v>
      </c>
      <c r="P1173">
        <v>71</v>
      </c>
      <c r="Q1173" t="s">
        <v>40</v>
      </c>
      <c r="R1173" t="s">
        <v>41</v>
      </c>
      <c r="S1173">
        <v>3097</v>
      </c>
      <c r="T1173" t="s">
        <v>48</v>
      </c>
      <c r="U1173" t="str">
        <f t="shared" si="18"/>
        <v>Pass</v>
      </c>
    </row>
    <row r="1174" spans="1:21">
      <c r="A1174" t="s">
        <v>2233</v>
      </c>
      <c r="B1174" t="s">
        <v>211</v>
      </c>
      <c r="C1174" t="s">
        <v>22</v>
      </c>
      <c r="D1174">
        <v>9</v>
      </c>
      <c r="E1174" t="s">
        <v>26</v>
      </c>
      <c r="F1174">
        <v>15</v>
      </c>
      <c r="G1174" t="s">
        <v>54</v>
      </c>
      <c r="H1174" t="s">
        <v>2234</v>
      </c>
      <c r="I1174">
        <v>72</v>
      </c>
      <c r="J1174">
        <v>82</v>
      </c>
      <c r="K1174">
        <v>90</v>
      </c>
      <c r="L1174">
        <v>51</v>
      </c>
      <c r="M1174">
        <v>65</v>
      </c>
      <c r="N1174">
        <v>51</v>
      </c>
      <c r="O1174">
        <v>339</v>
      </c>
      <c r="P1174">
        <v>67.8</v>
      </c>
      <c r="Q1174" t="s">
        <v>26</v>
      </c>
      <c r="R1174" t="s">
        <v>27</v>
      </c>
      <c r="S1174">
        <v>4677</v>
      </c>
      <c r="T1174" t="s">
        <v>34</v>
      </c>
      <c r="U1174" t="str">
        <f t="shared" si="18"/>
        <v>Pass</v>
      </c>
    </row>
    <row r="1175" spans="1:21">
      <c r="A1175" t="s">
        <v>2235</v>
      </c>
      <c r="B1175" t="s">
        <v>160</v>
      </c>
      <c r="C1175" t="s">
        <v>22</v>
      </c>
      <c r="D1175">
        <v>11</v>
      </c>
      <c r="E1175" t="s">
        <v>23</v>
      </c>
      <c r="F1175">
        <v>15</v>
      </c>
      <c r="G1175" t="s">
        <v>38</v>
      </c>
      <c r="H1175" t="s">
        <v>989</v>
      </c>
      <c r="I1175">
        <v>87</v>
      </c>
      <c r="J1175">
        <v>39</v>
      </c>
      <c r="K1175">
        <v>96</v>
      </c>
      <c r="L1175">
        <v>70</v>
      </c>
      <c r="M1175">
        <v>98</v>
      </c>
      <c r="N1175">
        <v>82</v>
      </c>
      <c r="O1175">
        <v>385</v>
      </c>
      <c r="P1175">
        <v>77</v>
      </c>
      <c r="Q1175" t="s">
        <v>40</v>
      </c>
      <c r="R1175" t="s">
        <v>41</v>
      </c>
      <c r="S1175">
        <v>3436</v>
      </c>
      <c r="T1175" t="s">
        <v>42</v>
      </c>
      <c r="U1175" t="str">
        <f t="shared" si="18"/>
        <v>Pass</v>
      </c>
    </row>
    <row r="1176" spans="1:21">
      <c r="A1176" t="s">
        <v>2236</v>
      </c>
      <c r="B1176" t="s">
        <v>165</v>
      </c>
      <c r="C1176" t="s">
        <v>22</v>
      </c>
      <c r="D1176">
        <v>9</v>
      </c>
      <c r="E1176" t="s">
        <v>31</v>
      </c>
      <c r="F1176">
        <v>15</v>
      </c>
      <c r="G1176" t="s">
        <v>54</v>
      </c>
      <c r="H1176" t="s">
        <v>2237</v>
      </c>
      <c r="I1176">
        <v>65</v>
      </c>
      <c r="J1176">
        <v>82</v>
      </c>
      <c r="K1176">
        <v>82</v>
      </c>
      <c r="L1176">
        <v>66</v>
      </c>
      <c r="M1176">
        <v>65</v>
      </c>
      <c r="N1176">
        <v>45</v>
      </c>
      <c r="O1176">
        <v>340</v>
      </c>
      <c r="P1176">
        <v>68</v>
      </c>
      <c r="Q1176" t="s">
        <v>26</v>
      </c>
      <c r="R1176" t="s">
        <v>27</v>
      </c>
      <c r="S1176">
        <v>4530</v>
      </c>
      <c r="T1176" t="s">
        <v>70</v>
      </c>
      <c r="U1176" t="str">
        <f t="shared" si="18"/>
        <v>Pass</v>
      </c>
    </row>
    <row r="1177" spans="1:21">
      <c r="A1177" t="s">
        <v>2238</v>
      </c>
      <c r="B1177" t="s">
        <v>614</v>
      </c>
      <c r="C1177" t="s">
        <v>22</v>
      </c>
      <c r="D1177">
        <v>4</v>
      </c>
      <c r="E1177" t="s">
        <v>26</v>
      </c>
      <c r="F1177">
        <v>8</v>
      </c>
      <c r="G1177" t="s">
        <v>58</v>
      </c>
      <c r="H1177" t="s">
        <v>2239</v>
      </c>
      <c r="I1177">
        <v>60</v>
      </c>
      <c r="J1177">
        <v>92</v>
      </c>
      <c r="K1177">
        <v>94</v>
      </c>
      <c r="L1177">
        <v>40</v>
      </c>
      <c r="M1177">
        <v>52</v>
      </c>
      <c r="N1177">
        <v>54</v>
      </c>
      <c r="O1177">
        <v>332</v>
      </c>
      <c r="P1177">
        <v>66.400000000000006</v>
      </c>
      <c r="Q1177" t="s">
        <v>26</v>
      </c>
      <c r="R1177" t="s">
        <v>41</v>
      </c>
      <c r="S1177">
        <v>4208</v>
      </c>
      <c r="T1177" t="s">
        <v>42</v>
      </c>
      <c r="U1177" t="str">
        <f t="shared" si="18"/>
        <v>Pass</v>
      </c>
    </row>
    <row r="1178" spans="1:21">
      <c r="A1178" t="s">
        <v>2240</v>
      </c>
      <c r="B1178" t="s">
        <v>819</v>
      </c>
      <c r="C1178" t="s">
        <v>22</v>
      </c>
      <c r="D1178">
        <v>12</v>
      </c>
      <c r="E1178" t="s">
        <v>26</v>
      </c>
      <c r="F1178">
        <v>17</v>
      </c>
      <c r="G1178" t="s">
        <v>32</v>
      </c>
      <c r="H1178" t="s">
        <v>1821</v>
      </c>
      <c r="I1178">
        <v>66</v>
      </c>
      <c r="J1178">
        <v>43</v>
      </c>
      <c r="K1178">
        <v>88</v>
      </c>
      <c r="L1178">
        <v>82</v>
      </c>
      <c r="M1178">
        <v>85</v>
      </c>
      <c r="N1178">
        <v>43</v>
      </c>
      <c r="O1178">
        <v>341</v>
      </c>
      <c r="P1178">
        <v>68.2</v>
      </c>
      <c r="Q1178" t="s">
        <v>26</v>
      </c>
      <c r="R1178" t="s">
        <v>27</v>
      </c>
      <c r="S1178">
        <v>2244</v>
      </c>
      <c r="T1178" t="s">
        <v>70</v>
      </c>
      <c r="U1178" t="str">
        <f t="shared" si="18"/>
        <v>Pass</v>
      </c>
    </row>
    <row r="1179" spans="1:21">
      <c r="A1179" t="s">
        <v>2241</v>
      </c>
      <c r="B1179" t="s">
        <v>226</v>
      </c>
      <c r="C1179" t="s">
        <v>22</v>
      </c>
      <c r="D1179">
        <v>9</v>
      </c>
      <c r="E1179" t="s">
        <v>26</v>
      </c>
      <c r="F1179">
        <v>13</v>
      </c>
      <c r="G1179" t="s">
        <v>45</v>
      </c>
      <c r="H1179" t="s">
        <v>2242</v>
      </c>
      <c r="I1179">
        <v>98</v>
      </c>
      <c r="J1179">
        <v>89</v>
      </c>
      <c r="K1179">
        <v>92</v>
      </c>
      <c r="L1179">
        <v>86</v>
      </c>
      <c r="M1179">
        <v>91</v>
      </c>
      <c r="N1179">
        <v>89</v>
      </c>
      <c r="O1179">
        <v>447</v>
      </c>
      <c r="P1179">
        <v>89.4</v>
      </c>
      <c r="Q1179" t="s">
        <v>47</v>
      </c>
      <c r="R1179" t="s">
        <v>41</v>
      </c>
      <c r="S1179">
        <v>2754</v>
      </c>
      <c r="T1179" t="s">
        <v>48</v>
      </c>
      <c r="U1179" t="str">
        <f t="shared" si="18"/>
        <v>Pass</v>
      </c>
    </row>
    <row r="1180" spans="1:21">
      <c r="A1180" t="s">
        <v>2243</v>
      </c>
      <c r="B1180" t="s">
        <v>50</v>
      </c>
      <c r="C1180" t="s">
        <v>22</v>
      </c>
      <c r="D1180">
        <v>7</v>
      </c>
      <c r="E1180" t="s">
        <v>47</v>
      </c>
      <c r="F1180">
        <v>12</v>
      </c>
      <c r="G1180" t="s">
        <v>32</v>
      </c>
      <c r="H1180" t="s">
        <v>2244</v>
      </c>
      <c r="I1180">
        <v>90</v>
      </c>
      <c r="J1180">
        <v>86</v>
      </c>
      <c r="K1180">
        <v>71</v>
      </c>
      <c r="L1180">
        <v>75</v>
      </c>
      <c r="M1180">
        <v>70</v>
      </c>
      <c r="N1180">
        <v>62</v>
      </c>
      <c r="O1180">
        <v>364</v>
      </c>
      <c r="P1180">
        <v>72.8</v>
      </c>
      <c r="Q1180" t="s">
        <v>40</v>
      </c>
      <c r="R1180" t="s">
        <v>27</v>
      </c>
      <c r="S1180">
        <v>4476</v>
      </c>
      <c r="T1180" t="s">
        <v>42</v>
      </c>
      <c r="U1180" t="str">
        <f t="shared" si="18"/>
        <v>Pass</v>
      </c>
    </row>
    <row r="1181" spans="1:21">
      <c r="A1181" t="s">
        <v>2245</v>
      </c>
      <c r="B1181" t="s">
        <v>651</v>
      </c>
      <c r="C1181" t="s">
        <v>37</v>
      </c>
      <c r="D1181">
        <v>11</v>
      </c>
      <c r="E1181" t="s">
        <v>26</v>
      </c>
      <c r="F1181">
        <v>17</v>
      </c>
      <c r="G1181" t="s">
        <v>32</v>
      </c>
      <c r="H1181" t="s">
        <v>979</v>
      </c>
      <c r="I1181">
        <v>68</v>
      </c>
      <c r="J1181">
        <v>45</v>
      </c>
      <c r="K1181">
        <v>80</v>
      </c>
      <c r="L1181">
        <v>91</v>
      </c>
      <c r="M1181">
        <v>72</v>
      </c>
      <c r="N1181">
        <v>46</v>
      </c>
      <c r="O1181">
        <v>334</v>
      </c>
      <c r="P1181">
        <v>66.8</v>
      </c>
      <c r="Q1181" t="s">
        <v>26</v>
      </c>
      <c r="R1181" t="s">
        <v>41</v>
      </c>
      <c r="S1181">
        <v>3032</v>
      </c>
      <c r="T1181" t="s">
        <v>28</v>
      </c>
      <c r="U1181" t="str">
        <f t="shared" si="18"/>
        <v>Pass</v>
      </c>
    </row>
    <row r="1182" spans="1:21">
      <c r="A1182" t="s">
        <v>2246</v>
      </c>
      <c r="B1182" t="s">
        <v>748</v>
      </c>
      <c r="C1182" t="s">
        <v>22</v>
      </c>
      <c r="D1182">
        <v>8</v>
      </c>
      <c r="E1182" t="s">
        <v>26</v>
      </c>
      <c r="F1182">
        <v>13</v>
      </c>
      <c r="G1182" t="s">
        <v>32</v>
      </c>
      <c r="H1182" t="s">
        <v>2247</v>
      </c>
      <c r="I1182">
        <v>83</v>
      </c>
      <c r="J1182">
        <v>81</v>
      </c>
      <c r="K1182">
        <v>61</v>
      </c>
      <c r="L1182">
        <v>53</v>
      </c>
      <c r="M1182">
        <v>77</v>
      </c>
      <c r="N1182">
        <v>35</v>
      </c>
      <c r="O1182">
        <v>307</v>
      </c>
      <c r="P1182">
        <v>61.4</v>
      </c>
      <c r="Q1182" t="s">
        <v>26</v>
      </c>
      <c r="R1182" t="s">
        <v>27</v>
      </c>
      <c r="S1182">
        <v>3420</v>
      </c>
      <c r="T1182" t="s">
        <v>28</v>
      </c>
      <c r="U1182" t="str">
        <f t="shared" si="18"/>
        <v>Pass</v>
      </c>
    </row>
    <row r="1183" spans="1:21">
      <c r="A1183" t="s">
        <v>2248</v>
      </c>
      <c r="B1183" t="s">
        <v>525</v>
      </c>
      <c r="C1183" t="s">
        <v>22</v>
      </c>
      <c r="D1183">
        <v>6</v>
      </c>
      <c r="E1183" t="s">
        <v>47</v>
      </c>
      <c r="F1183">
        <v>10</v>
      </c>
      <c r="G1183" t="s">
        <v>45</v>
      </c>
      <c r="H1183" t="s">
        <v>956</v>
      </c>
      <c r="I1183">
        <v>89</v>
      </c>
      <c r="J1183">
        <v>49</v>
      </c>
      <c r="K1183">
        <v>52</v>
      </c>
      <c r="L1183">
        <v>81</v>
      </c>
      <c r="M1183">
        <v>87</v>
      </c>
      <c r="N1183">
        <v>93</v>
      </c>
      <c r="O1183">
        <v>362</v>
      </c>
      <c r="P1183">
        <v>72.400000000000006</v>
      </c>
      <c r="Q1183" t="s">
        <v>40</v>
      </c>
      <c r="R1183" t="s">
        <v>27</v>
      </c>
      <c r="S1183">
        <v>2513</v>
      </c>
      <c r="T1183" t="s">
        <v>28</v>
      </c>
      <c r="U1183" t="str">
        <f t="shared" si="18"/>
        <v>Pass</v>
      </c>
    </row>
    <row r="1184" spans="1:21">
      <c r="A1184" t="s">
        <v>2249</v>
      </c>
      <c r="B1184" t="s">
        <v>389</v>
      </c>
      <c r="C1184" t="s">
        <v>37</v>
      </c>
      <c r="D1184">
        <v>7</v>
      </c>
      <c r="E1184" t="s">
        <v>31</v>
      </c>
      <c r="F1184">
        <v>11</v>
      </c>
      <c r="G1184" t="s">
        <v>54</v>
      </c>
      <c r="H1184" t="s">
        <v>2250</v>
      </c>
      <c r="I1184">
        <v>65</v>
      </c>
      <c r="J1184">
        <v>50</v>
      </c>
      <c r="K1184">
        <v>68</v>
      </c>
      <c r="L1184">
        <v>62</v>
      </c>
      <c r="M1184">
        <v>95</v>
      </c>
      <c r="N1184">
        <v>84</v>
      </c>
      <c r="O1184">
        <v>359</v>
      </c>
      <c r="P1184">
        <v>71.8</v>
      </c>
      <c r="Q1184" t="s">
        <v>40</v>
      </c>
      <c r="R1184" t="s">
        <v>41</v>
      </c>
      <c r="S1184">
        <v>3470</v>
      </c>
      <c r="T1184" t="s">
        <v>34</v>
      </c>
      <c r="U1184" t="str">
        <f t="shared" si="18"/>
        <v>Pass</v>
      </c>
    </row>
    <row r="1185" spans="1:21">
      <c r="A1185" t="s">
        <v>2251</v>
      </c>
      <c r="B1185" t="s">
        <v>87</v>
      </c>
      <c r="C1185" t="s">
        <v>37</v>
      </c>
      <c r="D1185">
        <v>8</v>
      </c>
      <c r="E1185" t="s">
        <v>47</v>
      </c>
      <c r="F1185">
        <v>13</v>
      </c>
      <c r="G1185" t="s">
        <v>24</v>
      </c>
      <c r="H1185" t="s">
        <v>2252</v>
      </c>
      <c r="I1185">
        <v>77</v>
      </c>
      <c r="J1185">
        <v>48</v>
      </c>
      <c r="K1185">
        <v>45</v>
      </c>
      <c r="L1185">
        <v>100</v>
      </c>
      <c r="M1185">
        <v>96</v>
      </c>
      <c r="N1185">
        <v>74</v>
      </c>
      <c r="O1185">
        <v>363</v>
      </c>
      <c r="P1185">
        <v>72.599999999999994</v>
      </c>
      <c r="Q1185" t="s">
        <v>40</v>
      </c>
      <c r="R1185" t="s">
        <v>41</v>
      </c>
      <c r="S1185">
        <v>3921</v>
      </c>
      <c r="T1185" t="s">
        <v>70</v>
      </c>
      <c r="U1185" t="str">
        <f t="shared" si="18"/>
        <v>Pass</v>
      </c>
    </row>
    <row r="1186" spans="1:21">
      <c r="A1186" t="s">
        <v>2253</v>
      </c>
      <c r="B1186" t="s">
        <v>461</v>
      </c>
      <c r="C1186" t="s">
        <v>22</v>
      </c>
      <c r="D1186">
        <v>4</v>
      </c>
      <c r="E1186" t="s">
        <v>23</v>
      </c>
      <c r="F1186">
        <v>9</v>
      </c>
      <c r="G1186" t="s">
        <v>38</v>
      </c>
      <c r="H1186" t="s">
        <v>976</v>
      </c>
      <c r="I1186">
        <v>79</v>
      </c>
      <c r="J1186">
        <v>56</v>
      </c>
      <c r="K1186">
        <v>61</v>
      </c>
      <c r="L1186">
        <v>91</v>
      </c>
      <c r="M1186">
        <v>92</v>
      </c>
      <c r="N1186">
        <v>55</v>
      </c>
      <c r="O1186">
        <v>355</v>
      </c>
      <c r="P1186">
        <v>71</v>
      </c>
      <c r="Q1186" t="s">
        <v>40</v>
      </c>
      <c r="R1186" t="s">
        <v>27</v>
      </c>
      <c r="S1186">
        <v>2601</v>
      </c>
      <c r="T1186" t="s">
        <v>28</v>
      </c>
      <c r="U1186" t="str">
        <f t="shared" si="18"/>
        <v>Pass</v>
      </c>
    </row>
    <row r="1187" spans="1:21">
      <c r="A1187" t="s">
        <v>2254</v>
      </c>
      <c r="B1187" t="s">
        <v>808</v>
      </c>
      <c r="C1187" t="s">
        <v>37</v>
      </c>
      <c r="D1187">
        <v>2</v>
      </c>
      <c r="E1187" t="s">
        <v>31</v>
      </c>
      <c r="F1187">
        <v>8</v>
      </c>
      <c r="G1187" t="s">
        <v>24</v>
      </c>
      <c r="H1187" t="s">
        <v>390</v>
      </c>
      <c r="I1187">
        <v>67</v>
      </c>
      <c r="J1187">
        <v>41</v>
      </c>
      <c r="K1187">
        <v>42</v>
      </c>
      <c r="L1187">
        <v>91</v>
      </c>
      <c r="M1187">
        <v>52</v>
      </c>
      <c r="N1187">
        <v>91</v>
      </c>
      <c r="O1187">
        <v>317</v>
      </c>
      <c r="P1187">
        <v>63.4</v>
      </c>
      <c r="Q1187" t="s">
        <v>26</v>
      </c>
      <c r="R1187" t="s">
        <v>27</v>
      </c>
      <c r="S1187">
        <v>4303</v>
      </c>
      <c r="T1187" t="s">
        <v>66</v>
      </c>
      <c r="U1187" t="str">
        <f t="shared" si="18"/>
        <v>Pass</v>
      </c>
    </row>
    <row r="1188" spans="1:21">
      <c r="A1188" t="s">
        <v>2255</v>
      </c>
      <c r="B1188" t="s">
        <v>439</v>
      </c>
      <c r="C1188" t="s">
        <v>22</v>
      </c>
      <c r="D1188">
        <v>8</v>
      </c>
      <c r="E1188" t="s">
        <v>23</v>
      </c>
      <c r="F1188">
        <v>13</v>
      </c>
      <c r="G1188" t="s">
        <v>45</v>
      </c>
      <c r="H1188" t="s">
        <v>1633</v>
      </c>
      <c r="I1188">
        <v>61</v>
      </c>
      <c r="J1188">
        <v>57</v>
      </c>
      <c r="K1188">
        <v>73</v>
      </c>
      <c r="L1188">
        <v>35</v>
      </c>
      <c r="M1188">
        <v>37</v>
      </c>
      <c r="N1188">
        <v>71</v>
      </c>
      <c r="O1188">
        <v>273</v>
      </c>
      <c r="P1188">
        <v>54.6</v>
      </c>
      <c r="Q1188" t="s">
        <v>31</v>
      </c>
      <c r="R1188" t="s">
        <v>41</v>
      </c>
      <c r="S1188">
        <v>4585</v>
      </c>
      <c r="T1188" t="s">
        <v>66</v>
      </c>
      <c r="U1188" t="str">
        <f t="shared" si="18"/>
        <v>Fail</v>
      </c>
    </row>
    <row r="1189" spans="1:21">
      <c r="A1189" t="s">
        <v>2256</v>
      </c>
      <c r="B1189" t="s">
        <v>118</v>
      </c>
      <c r="C1189" t="s">
        <v>37</v>
      </c>
      <c r="D1189">
        <v>10</v>
      </c>
      <c r="E1189" t="s">
        <v>47</v>
      </c>
      <c r="F1189">
        <v>16</v>
      </c>
      <c r="G1189" t="s">
        <v>32</v>
      </c>
      <c r="H1189" t="s">
        <v>2257</v>
      </c>
      <c r="I1189">
        <v>80</v>
      </c>
      <c r="J1189">
        <v>46</v>
      </c>
      <c r="K1189">
        <v>92</v>
      </c>
      <c r="L1189">
        <v>93</v>
      </c>
      <c r="M1189">
        <v>86</v>
      </c>
      <c r="N1189">
        <v>98</v>
      </c>
      <c r="O1189">
        <v>415</v>
      </c>
      <c r="P1189">
        <v>83</v>
      </c>
      <c r="Q1189" t="s">
        <v>47</v>
      </c>
      <c r="R1189" t="s">
        <v>41</v>
      </c>
      <c r="S1189">
        <v>1679</v>
      </c>
      <c r="T1189" t="s">
        <v>70</v>
      </c>
      <c r="U1189" t="str">
        <f t="shared" si="18"/>
        <v>Pass</v>
      </c>
    </row>
    <row r="1190" spans="1:21">
      <c r="A1190" t="s">
        <v>2258</v>
      </c>
      <c r="B1190" t="s">
        <v>50</v>
      </c>
      <c r="C1190" t="s">
        <v>37</v>
      </c>
      <c r="D1190">
        <v>12</v>
      </c>
      <c r="E1190" t="s">
        <v>31</v>
      </c>
      <c r="F1190">
        <v>18</v>
      </c>
      <c r="G1190" t="s">
        <v>58</v>
      </c>
      <c r="H1190" t="s">
        <v>2259</v>
      </c>
      <c r="I1190">
        <v>100</v>
      </c>
      <c r="J1190">
        <v>71</v>
      </c>
      <c r="K1190">
        <v>92</v>
      </c>
      <c r="L1190">
        <v>88</v>
      </c>
      <c r="M1190">
        <v>75</v>
      </c>
      <c r="N1190">
        <v>63</v>
      </c>
      <c r="O1190">
        <v>389</v>
      </c>
      <c r="P1190">
        <v>77.8</v>
      </c>
      <c r="Q1190" t="s">
        <v>40</v>
      </c>
      <c r="R1190" t="s">
        <v>41</v>
      </c>
      <c r="S1190">
        <v>3829</v>
      </c>
      <c r="T1190" t="s">
        <v>34</v>
      </c>
      <c r="U1190" t="str">
        <f t="shared" si="18"/>
        <v>Pass</v>
      </c>
    </row>
    <row r="1191" spans="1:21">
      <c r="A1191" t="s">
        <v>2260</v>
      </c>
      <c r="B1191" t="s">
        <v>81</v>
      </c>
      <c r="C1191" t="s">
        <v>22</v>
      </c>
      <c r="D1191">
        <v>9</v>
      </c>
      <c r="E1191" t="s">
        <v>31</v>
      </c>
      <c r="F1191">
        <v>15</v>
      </c>
      <c r="G1191" t="s">
        <v>32</v>
      </c>
      <c r="H1191" t="s">
        <v>254</v>
      </c>
      <c r="I1191">
        <v>86</v>
      </c>
      <c r="J1191">
        <v>57</v>
      </c>
      <c r="K1191">
        <v>43</v>
      </c>
      <c r="L1191">
        <v>43</v>
      </c>
      <c r="M1191">
        <v>45</v>
      </c>
      <c r="N1191">
        <v>82</v>
      </c>
      <c r="O1191">
        <v>270</v>
      </c>
      <c r="P1191">
        <v>54</v>
      </c>
      <c r="Q1191" t="s">
        <v>31</v>
      </c>
      <c r="R1191" t="s">
        <v>27</v>
      </c>
      <c r="S1191">
        <v>3998</v>
      </c>
      <c r="T1191" t="s">
        <v>34</v>
      </c>
      <c r="U1191" t="str">
        <f t="shared" si="18"/>
        <v>Fail</v>
      </c>
    </row>
    <row r="1192" spans="1:21">
      <c r="A1192" t="s">
        <v>2261</v>
      </c>
      <c r="B1192" t="s">
        <v>36</v>
      </c>
      <c r="C1192" t="s">
        <v>37</v>
      </c>
      <c r="D1192">
        <v>5</v>
      </c>
      <c r="E1192" t="s">
        <v>47</v>
      </c>
      <c r="F1192">
        <v>10</v>
      </c>
      <c r="G1192" t="s">
        <v>64</v>
      </c>
      <c r="H1192" t="s">
        <v>2262</v>
      </c>
      <c r="I1192">
        <v>82</v>
      </c>
      <c r="J1192">
        <v>61</v>
      </c>
      <c r="K1192">
        <v>68</v>
      </c>
      <c r="L1192">
        <v>63</v>
      </c>
      <c r="M1192">
        <v>45</v>
      </c>
      <c r="N1192">
        <v>97</v>
      </c>
      <c r="O1192">
        <v>334</v>
      </c>
      <c r="P1192">
        <v>66.8</v>
      </c>
      <c r="Q1192" t="s">
        <v>26</v>
      </c>
      <c r="R1192" t="s">
        <v>41</v>
      </c>
      <c r="S1192">
        <v>2910</v>
      </c>
      <c r="T1192" t="s">
        <v>42</v>
      </c>
      <c r="U1192" t="str">
        <f t="shared" si="18"/>
        <v>Pass</v>
      </c>
    </row>
    <row r="1193" spans="1:21">
      <c r="A1193" t="s">
        <v>2263</v>
      </c>
      <c r="B1193" t="s">
        <v>322</v>
      </c>
      <c r="C1193" t="s">
        <v>37</v>
      </c>
      <c r="D1193">
        <v>1</v>
      </c>
      <c r="E1193" t="s">
        <v>23</v>
      </c>
      <c r="F1193">
        <v>6</v>
      </c>
      <c r="G1193" t="s">
        <v>38</v>
      </c>
      <c r="H1193" t="s">
        <v>907</v>
      </c>
      <c r="I1193">
        <v>86</v>
      </c>
      <c r="J1193">
        <v>43</v>
      </c>
      <c r="K1193">
        <v>75</v>
      </c>
      <c r="L1193">
        <v>90</v>
      </c>
      <c r="M1193">
        <v>56</v>
      </c>
      <c r="N1193">
        <v>42</v>
      </c>
      <c r="O1193">
        <v>306</v>
      </c>
      <c r="P1193">
        <v>61.2</v>
      </c>
      <c r="Q1193" t="s">
        <v>26</v>
      </c>
      <c r="R1193" t="s">
        <v>41</v>
      </c>
      <c r="S1193">
        <v>4803</v>
      </c>
      <c r="T1193" t="s">
        <v>70</v>
      </c>
      <c r="U1193" t="str">
        <f t="shared" si="18"/>
        <v>Pass</v>
      </c>
    </row>
    <row r="1194" spans="1:21">
      <c r="A1194" t="s">
        <v>2264</v>
      </c>
      <c r="B1194" t="s">
        <v>1234</v>
      </c>
      <c r="C1194" t="s">
        <v>22</v>
      </c>
      <c r="D1194">
        <v>9</v>
      </c>
      <c r="E1194" t="s">
        <v>26</v>
      </c>
      <c r="F1194">
        <v>15</v>
      </c>
      <c r="G1194" t="s">
        <v>58</v>
      </c>
      <c r="H1194" t="s">
        <v>1602</v>
      </c>
      <c r="I1194">
        <v>88</v>
      </c>
      <c r="J1194">
        <v>88</v>
      </c>
      <c r="K1194">
        <v>80</v>
      </c>
      <c r="L1194">
        <v>91</v>
      </c>
      <c r="M1194">
        <v>54</v>
      </c>
      <c r="N1194">
        <v>55</v>
      </c>
      <c r="O1194">
        <v>368</v>
      </c>
      <c r="P1194">
        <v>73.599999999999994</v>
      </c>
      <c r="Q1194" t="s">
        <v>40</v>
      </c>
      <c r="R1194" t="s">
        <v>41</v>
      </c>
      <c r="S1194">
        <v>2185</v>
      </c>
      <c r="T1194" t="s">
        <v>42</v>
      </c>
      <c r="U1194" t="str">
        <f t="shared" si="18"/>
        <v>Pass</v>
      </c>
    </row>
    <row r="1195" spans="1:21">
      <c r="A1195" t="s">
        <v>2265</v>
      </c>
      <c r="B1195" t="s">
        <v>21</v>
      </c>
      <c r="C1195" t="s">
        <v>37</v>
      </c>
      <c r="D1195">
        <v>10</v>
      </c>
      <c r="E1195" t="s">
        <v>23</v>
      </c>
      <c r="F1195">
        <v>16</v>
      </c>
      <c r="G1195" t="s">
        <v>58</v>
      </c>
      <c r="H1195" t="s">
        <v>2266</v>
      </c>
      <c r="I1195">
        <v>92</v>
      </c>
      <c r="J1195">
        <v>44</v>
      </c>
      <c r="K1195">
        <v>65</v>
      </c>
      <c r="L1195">
        <v>49</v>
      </c>
      <c r="M1195">
        <v>81</v>
      </c>
      <c r="N1195">
        <v>54</v>
      </c>
      <c r="O1195">
        <v>293</v>
      </c>
      <c r="P1195">
        <v>58.6</v>
      </c>
      <c r="Q1195" t="s">
        <v>31</v>
      </c>
      <c r="R1195" t="s">
        <v>27</v>
      </c>
      <c r="S1195">
        <v>1551</v>
      </c>
      <c r="T1195" t="s">
        <v>48</v>
      </c>
      <c r="U1195" t="str">
        <f t="shared" si="18"/>
        <v>Pass</v>
      </c>
    </row>
    <row r="1196" spans="1:21">
      <c r="A1196" t="s">
        <v>2267</v>
      </c>
      <c r="B1196" t="s">
        <v>53</v>
      </c>
      <c r="C1196" t="s">
        <v>22</v>
      </c>
      <c r="D1196">
        <v>1</v>
      </c>
      <c r="E1196" t="s">
        <v>47</v>
      </c>
      <c r="F1196">
        <v>6</v>
      </c>
      <c r="G1196" t="s">
        <v>64</v>
      </c>
      <c r="H1196" t="s">
        <v>2268</v>
      </c>
      <c r="I1196">
        <v>65</v>
      </c>
      <c r="J1196">
        <v>35</v>
      </c>
      <c r="K1196">
        <v>99</v>
      </c>
      <c r="L1196">
        <v>35</v>
      </c>
      <c r="M1196">
        <v>58</v>
      </c>
      <c r="N1196">
        <v>50</v>
      </c>
      <c r="O1196">
        <v>277</v>
      </c>
      <c r="P1196">
        <v>55.4</v>
      </c>
      <c r="Q1196" t="s">
        <v>31</v>
      </c>
      <c r="R1196" t="s">
        <v>41</v>
      </c>
      <c r="S1196">
        <v>4718</v>
      </c>
      <c r="T1196" t="s">
        <v>28</v>
      </c>
      <c r="U1196" t="str">
        <f t="shared" si="18"/>
        <v>Pass</v>
      </c>
    </row>
    <row r="1197" spans="1:21">
      <c r="A1197" t="s">
        <v>2269</v>
      </c>
      <c r="B1197" t="s">
        <v>879</v>
      </c>
      <c r="C1197" t="s">
        <v>37</v>
      </c>
      <c r="D1197">
        <v>10</v>
      </c>
      <c r="E1197" t="s">
        <v>26</v>
      </c>
      <c r="F1197">
        <v>14</v>
      </c>
      <c r="G1197" t="s">
        <v>38</v>
      </c>
      <c r="H1197" t="s">
        <v>2270</v>
      </c>
      <c r="I1197">
        <v>62</v>
      </c>
      <c r="J1197">
        <v>51</v>
      </c>
      <c r="K1197">
        <v>86</v>
      </c>
      <c r="L1197">
        <v>55</v>
      </c>
      <c r="M1197">
        <v>70</v>
      </c>
      <c r="N1197">
        <v>79</v>
      </c>
      <c r="O1197">
        <v>341</v>
      </c>
      <c r="P1197">
        <v>68.2</v>
      </c>
      <c r="Q1197" t="s">
        <v>26</v>
      </c>
      <c r="R1197" t="s">
        <v>41</v>
      </c>
      <c r="S1197">
        <v>4441</v>
      </c>
      <c r="T1197" t="s">
        <v>28</v>
      </c>
      <c r="U1197" t="str">
        <f t="shared" si="18"/>
        <v>Pass</v>
      </c>
    </row>
    <row r="1198" spans="1:21">
      <c r="A1198" t="s">
        <v>2271</v>
      </c>
      <c r="B1198" t="s">
        <v>84</v>
      </c>
      <c r="C1198" t="s">
        <v>37</v>
      </c>
      <c r="D1198">
        <v>9</v>
      </c>
      <c r="E1198" t="s">
        <v>26</v>
      </c>
      <c r="F1198">
        <v>14</v>
      </c>
      <c r="G1198" t="s">
        <v>38</v>
      </c>
      <c r="H1198" t="s">
        <v>1078</v>
      </c>
      <c r="I1198">
        <v>94</v>
      </c>
      <c r="J1198">
        <v>71</v>
      </c>
      <c r="K1198">
        <v>66</v>
      </c>
      <c r="L1198">
        <v>71</v>
      </c>
      <c r="M1198">
        <v>50</v>
      </c>
      <c r="N1198">
        <v>73</v>
      </c>
      <c r="O1198">
        <v>331</v>
      </c>
      <c r="P1198">
        <v>66.2</v>
      </c>
      <c r="Q1198" t="s">
        <v>26</v>
      </c>
      <c r="R1198" t="s">
        <v>41</v>
      </c>
      <c r="S1198">
        <v>2687</v>
      </c>
      <c r="T1198" t="s">
        <v>28</v>
      </c>
      <c r="U1198" t="str">
        <f t="shared" si="18"/>
        <v>Pass</v>
      </c>
    </row>
    <row r="1199" spans="1:21">
      <c r="A1199" t="s">
        <v>2272</v>
      </c>
      <c r="B1199" t="s">
        <v>72</v>
      </c>
      <c r="C1199" t="s">
        <v>22</v>
      </c>
      <c r="D1199">
        <v>2</v>
      </c>
      <c r="E1199" t="s">
        <v>31</v>
      </c>
      <c r="F1199">
        <v>7</v>
      </c>
      <c r="G1199" t="s">
        <v>32</v>
      </c>
      <c r="H1199" t="s">
        <v>2273</v>
      </c>
      <c r="I1199">
        <v>77</v>
      </c>
      <c r="J1199">
        <v>64</v>
      </c>
      <c r="K1199">
        <v>60</v>
      </c>
      <c r="L1199">
        <v>77</v>
      </c>
      <c r="M1199">
        <v>57</v>
      </c>
      <c r="N1199">
        <v>93</v>
      </c>
      <c r="O1199">
        <v>351</v>
      </c>
      <c r="P1199">
        <v>70.2</v>
      </c>
      <c r="Q1199" t="s">
        <v>40</v>
      </c>
      <c r="R1199" t="s">
        <v>27</v>
      </c>
      <c r="S1199">
        <v>3378</v>
      </c>
      <c r="T1199" t="s">
        <v>48</v>
      </c>
      <c r="U1199" t="str">
        <f t="shared" si="18"/>
        <v>Pass</v>
      </c>
    </row>
    <row r="1200" spans="1:21">
      <c r="A1200" t="s">
        <v>2274</v>
      </c>
      <c r="B1200" t="s">
        <v>99</v>
      </c>
      <c r="C1200" t="s">
        <v>22</v>
      </c>
      <c r="D1200">
        <v>2</v>
      </c>
      <c r="E1200" t="s">
        <v>31</v>
      </c>
      <c r="F1200">
        <v>8</v>
      </c>
      <c r="G1200" t="s">
        <v>64</v>
      </c>
      <c r="H1200" t="s">
        <v>2275</v>
      </c>
      <c r="I1200">
        <v>69</v>
      </c>
      <c r="J1200">
        <v>81</v>
      </c>
      <c r="K1200">
        <v>69</v>
      </c>
      <c r="L1200">
        <v>63</v>
      </c>
      <c r="M1200">
        <v>38</v>
      </c>
      <c r="N1200">
        <v>56</v>
      </c>
      <c r="O1200">
        <v>307</v>
      </c>
      <c r="P1200">
        <v>61.4</v>
      </c>
      <c r="Q1200" t="s">
        <v>26</v>
      </c>
      <c r="R1200" t="s">
        <v>27</v>
      </c>
      <c r="S1200">
        <v>4077</v>
      </c>
      <c r="T1200" t="s">
        <v>34</v>
      </c>
      <c r="U1200" t="str">
        <f t="shared" si="18"/>
        <v>Pass</v>
      </c>
    </row>
    <row r="1201" spans="1:21">
      <c r="A1201" t="s">
        <v>2276</v>
      </c>
      <c r="B1201" t="s">
        <v>594</v>
      </c>
      <c r="C1201" t="s">
        <v>37</v>
      </c>
      <c r="D1201">
        <v>9</v>
      </c>
      <c r="E1201" t="s">
        <v>26</v>
      </c>
      <c r="F1201">
        <v>15</v>
      </c>
      <c r="G1201" t="s">
        <v>45</v>
      </c>
      <c r="H1201" t="s">
        <v>2277</v>
      </c>
      <c r="I1201">
        <v>68</v>
      </c>
      <c r="J1201">
        <v>64</v>
      </c>
      <c r="K1201">
        <v>93</v>
      </c>
      <c r="L1201">
        <v>54</v>
      </c>
      <c r="M1201">
        <v>99</v>
      </c>
      <c r="N1201">
        <v>77</v>
      </c>
      <c r="O1201">
        <v>387</v>
      </c>
      <c r="P1201">
        <v>77.400000000000006</v>
      </c>
      <c r="Q1201" t="s">
        <v>40</v>
      </c>
      <c r="R1201" t="s">
        <v>27</v>
      </c>
      <c r="S1201">
        <v>3847</v>
      </c>
      <c r="T1201" t="s">
        <v>66</v>
      </c>
      <c r="U1201" t="str">
        <f t="shared" si="18"/>
        <v>Pass</v>
      </c>
    </row>
    <row r="1202" spans="1:21">
      <c r="A1202" t="s">
        <v>2278</v>
      </c>
      <c r="B1202" t="s">
        <v>582</v>
      </c>
      <c r="C1202" t="s">
        <v>22</v>
      </c>
      <c r="D1202">
        <v>9</v>
      </c>
      <c r="E1202" t="s">
        <v>23</v>
      </c>
      <c r="F1202">
        <v>13</v>
      </c>
      <c r="G1202" t="s">
        <v>64</v>
      </c>
      <c r="H1202" t="s">
        <v>2279</v>
      </c>
      <c r="I1202">
        <v>69</v>
      </c>
      <c r="J1202">
        <v>38</v>
      </c>
      <c r="K1202">
        <v>87</v>
      </c>
      <c r="L1202">
        <v>76</v>
      </c>
      <c r="M1202">
        <v>100</v>
      </c>
      <c r="N1202">
        <v>73</v>
      </c>
      <c r="O1202">
        <v>374</v>
      </c>
      <c r="P1202">
        <v>74.8</v>
      </c>
      <c r="Q1202" t="s">
        <v>40</v>
      </c>
      <c r="R1202" t="s">
        <v>27</v>
      </c>
      <c r="S1202">
        <v>3248</v>
      </c>
      <c r="T1202" t="s">
        <v>34</v>
      </c>
      <c r="U1202" t="str">
        <f t="shared" si="18"/>
        <v>Pass</v>
      </c>
    </row>
    <row r="1203" spans="1:21">
      <c r="A1203" t="s">
        <v>2280</v>
      </c>
      <c r="B1203" t="s">
        <v>602</v>
      </c>
      <c r="C1203" t="s">
        <v>37</v>
      </c>
      <c r="D1203">
        <v>8</v>
      </c>
      <c r="E1203" t="s">
        <v>23</v>
      </c>
      <c r="F1203">
        <v>12</v>
      </c>
      <c r="G1203" t="s">
        <v>54</v>
      </c>
      <c r="H1203" t="s">
        <v>25</v>
      </c>
      <c r="I1203">
        <v>71</v>
      </c>
      <c r="J1203">
        <v>41</v>
      </c>
      <c r="K1203">
        <v>45</v>
      </c>
      <c r="L1203">
        <v>47</v>
      </c>
      <c r="M1203">
        <v>45</v>
      </c>
      <c r="N1203">
        <v>71</v>
      </c>
      <c r="O1203">
        <v>249</v>
      </c>
      <c r="P1203">
        <v>49.8</v>
      </c>
      <c r="Q1203" t="s">
        <v>23</v>
      </c>
      <c r="R1203" t="s">
        <v>41</v>
      </c>
      <c r="S1203">
        <v>1538</v>
      </c>
      <c r="T1203" t="s">
        <v>48</v>
      </c>
      <c r="U1203" t="str">
        <f t="shared" si="18"/>
        <v>Fail</v>
      </c>
    </row>
    <row r="1204" spans="1:21">
      <c r="A1204" t="s">
        <v>2281</v>
      </c>
      <c r="B1204" t="s">
        <v>145</v>
      </c>
      <c r="C1204" t="s">
        <v>22</v>
      </c>
      <c r="D1204">
        <v>12</v>
      </c>
      <c r="E1204" t="s">
        <v>26</v>
      </c>
      <c r="F1204">
        <v>17</v>
      </c>
      <c r="G1204" t="s">
        <v>45</v>
      </c>
      <c r="H1204" t="s">
        <v>2282</v>
      </c>
      <c r="I1204">
        <v>64</v>
      </c>
      <c r="J1204">
        <v>97</v>
      </c>
      <c r="K1204">
        <v>96</v>
      </c>
      <c r="L1204">
        <v>45</v>
      </c>
      <c r="M1204">
        <v>70</v>
      </c>
      <c r="N1204">
        <v>72</v>
      </c>
      <c r="O1204">
        <v>380</v>
      </c>
      <c r="P1204">
        <v>76</v>
      </c>
      <c r="Q1204" t="s">
        <v>40</v>
      </c>
      <c r="R1204" t="s">
        <v>41</v>
      </c>
      <c r="S1204">
        <v>1854</v>
      </c>
      <c r="T1204" t="s">
        <v>48</v>
      </c>
      <c r="U1204" t="str">
        <f t="shared" si="18"/>
        <v>Pass</v>
      </c>
    </row>
    <row r="1205" spans="1:21">
      <c r="A1205" t="s">
        <v>2283</v>
      </c>
      <c r="B1205" t="s">
        <v>148</v>
      </c>
      <c r="C1205" t="s">
        <v>37</v>
      </c>
      <c r="D1205">
        <v>6</v>
      </c>
      <c r="E1205" t="s">
        <v>26</v>
      </c>
      <c r="F1205">
        <v>11</v>
      </c>
      <c r="G1205" t="s">
        <v>45</v>
      </c>
      <c r="H1205" t="s">
        <v>710</v>
      </c>
      <c r="I1205">
        <v>66</v>
      </c>
      <c r="J1205">
        <v>63</v>
      </c>
      <c r="K1205">
        <v>79</v>
      </c>
      <c r="L1205">
        <v>48</v>
      </c>
      <c r="M1205">
        <v>56</v>
      </c>
      <c r="N1205">
        <v>40</v>
      </c>
      <c r="O1205">
        <v>286</v>
      </c>
      <c r="P1205">
        <v>57.2</v>
      </c>
      <c r="Q1205" t="s">
        <v>31</v>
      </c>
      <c r="R1205" t="s">
        <v>27</v>
      </c>
      <c r="S1205">
        <v>3687</v>
      </c>
      <c r="T1205" t="s">
        <v>28</v>
      </c>
      <c r="U1205" t="str">
        <f t="shared" si="18"/>
        <v>Pass</v>
      </c>
    </row>
    <row r="1206" spans="1:21">
      <c r="A1206" t="s">
        <v>2284</v>
      </c>
      <c r="B1206" t="s">
        <v>168</v>
      </c>
      <c r="C1206" t="s">
        <v>22</v>
      </c>
      <c r="D1206">
        <v>5</v>
      </c>
      <c r="E1206" t="s">
        <v>26</v>
      </c>
      <c r="F1206">
        <v>11</v>
      </c>
      <c r="G1206" t="s">
        <v>32</v>
      </c>
      <c r="H1206" t="s">
        <v>2285</v>
      </c>
      <c r="I1206">
        <v>75</v>
      </c>
      <c r="J1206">
        <v>68</v>
      </c>
      <c r="K1206">
        <v>44</v>
      </c>
      <c r="L1206">
        <v>81</v>
      </c>
      <c r="M1206">
        <v>64</v>
      </c>
      <c r="N1206">
        <v>97</v>
      </c>
      <c r="O1206">
        <v>354</v>
      </c>
      <c r="P1206">
        <v>70.8</v>
      </c>
      <c r="Q1206" t="s">
        <v>40</v>
      </c>
      <c r="R1206" t="s">
        <v>41</v>
      </c>
      <c r="S1206">
        <v>3581</v>
      </c>
      <c r="T1206" t="s">
        <v>34</v>
      </c>
      <c r="U1206" t="str">
        <f t="shared" si="18"/>
        <v>Pass</v>
      </c>
    </row>
    <row r="1207" spans="1:21">
      <c r="A1207" t="s">
        <v>2286</v>
      </c>
      <c r="B1207" t="s">
        <v>419</v>
      </c>
      <c r="C1207" t="s">
        <v>37</v>
      </c>
      <c r="D1207">
        <v>6</v>
      </c>
      <c r="E1207" t="s">
        <v>47</v>
      </c>
      <c r="F1207">
        <v>10</v>
      </c>
      <c r="G1207" t="s">
        <v>58</v>
      </c>
      <c r="H1207" t="s">
        <v>2287</v>
      </c>
      <c r="I1207">
        <v>62</v>
      </c>
      <c r="J1207">
        <v>75</v>
      </c>
      <c r="K1207">
        <v>90</v>
      </c>
      <c r="L1207">
        <v>58</v>
      </c>
      <c r="M1207">
        <v>85</v>
      </c>
      <c r="N1207">
        <v>100</v>
      </c>
      <c r="O1207">
        <v>408</v>
      </c>
      <c r="P1207">
        <v>81.599999999999994</v>
      </c>
      <c r="Q1207" t="s">
        <v>47</v>
      </c>
      <c r="R1207" t="s">
        <v>27</v>
      </c>
      <c r="S1207">
        <v>3999</v>
      </c>
      <c r="T1207" t="s">
        <v>34</v>
      </c>
      <c r="U1207" t="str">
        <f t="shared" si="18"/>
        <v>Pass</v>
      </c>
    </row>
    <row r="1208" spans="1:21">
      <c r="A1208" t="s">
        <v>2288</v>
      </c>
      <c r="B1208" t="s">
        <v>75</v>
      </c>
      <c r="C1208" t="s">
        <v>22</v>
      </c>
      <c r="D1208">
        <v>2</v>
      </c>
      <c r="E1208" t="s">
        <v>31</v>
      </c>
      <c r="F1208">
        <v>7</v>
      </c>
      <c r="G1208" t="s">
        <v>38</v>
      </c>
      <c r="H1208" t="s">
        <v>149</v>
      </c>
      <c r="I1208">
        <v>63</v>
      </c>
      <c r="J1208">
        <v>57</v>
      </c>
      <c r="K1208">
        <v>71</v>
      </c>
      <c r="L1208">
        <v>56</v>
      </c>
      <c r="M1208">
        <v>91</v>
      </c>
      <c r="N1208">
        <v>40</v>
      </c>
      <c r="O1208">
        <v>315</v>
      </c>
      <c r="P1208">
        <v>63</v>
      </c>
      <c r="Q1208" t="s">
        <v>26</v>
      </c>
      <c r="R1208" t="s">
        <v>27</v>
      </c>
      <c r="S1208">
        <v>1804</v>
      </c>
      <c r="T1208" t="s">
        <v>28</v>
      </c>
      <c r="U1208" t="str">
        <f t="shared" si="18"/>
        <v>Pass</v>
      </c>
    </row>
    <row r="1209" spans="1:21">
      <c r="A1209" t="s">
        <v>2289</v>
      </c>
      <c r="B1209" t="s">
        <v>107</v>
      </c>
      <c r="C1209" t="s">
        <v>22</v>
      </c>
      <c r="D1209">
        <v>3</v>
      </c>
      <c r="E1209" t="s">
        <v>47</v>
      </c>
      <c r="F1209">
        <v>8</v>
      </c>
      <c r="G1209" t="s">
        <v>64</v>
      </c>
      <c r="H1209" t="s">
        <v>2290</v>
      </c>
      <c r="I1209">
        <v>60</v>
      </c>
      <c r="J1209">
        <v>71</v>
      </c>
      <c r="K1209">
        <v>66</v>
      </c>
      <c r="L1209">
        <v>86</v>
      </c>
      <c r="M1209">
        <v>45</v>
      </c>
      <c r="N1209">
        <v>98</v>
      </c>
      <c r="O1209">
        <v>366</v>
      </c>
      <c r="P1209">
        <v>73.2</v>
      </c>
      <c r="Q1209" t="s">
        <v>40</v>
      </c>
      <c r="R1209" t="s">
        <v>41</v>
      </c>
      <c r="S1209">
        <v>4958</v>
      </c>
      <c r="T1209" t="s">
        <v>28</v>
      </c>
      <c r="U1209" t="str">
        <f t="shared" si="18"/>
        <v>Pass</v>
      </c>
    </row>
    <row r="1210" spans="1:21">
      <c r="A1210" t="s">
        <v>2291</v>
      </c>
      <c r="B1210" t="s">
        <v>219</v>
      </c>
      <c r="C1210" t="s">
        <v>22</v>
      </c>
      <c r="D1210">
        <v>12</v>
      </c>
      <c r="E1210" t="s">
        <v>26</v>
      </c>
      <c r="F1210">
        <v>18</v>
      </c>
      <c r="G1210" t="s">
        <v>54</v>
      </c>
      <c r="H1210" t="s">
        <v>2277</v>
      </c>
      <c r="I1210">
        <v>65</v>
      </c>
      <c r="J1210">
        <v>55</v>
      </c>
      <c r="K1210">
        <v>74</v>
      </c>
      <c r="L1210">
        <v>78</v>
      </c>
      <c r="M1210">
        <v>54</v>
      </c>
      <c r="N1210">
        <v>58</v>
      </c>
      <c r="O1210">
        <v>319</v>
      </c>
      <c r="P1210">
        <v>63.8</v>
      </c>
      <c r="Q1210" t="s">
        <v>26</v>
      </c>
      <c r="R1210" t="s">
        <v>27</v>
      </c>
      <c r="S1210">
        <v>3636</v>
      </c>
      <c r="T1210" t="s">
        <v>42</v>
      </c>
      <c r="U1210" t="str">
        <f t="shared" si="18"/>
        <v>Pass</v>
      </c>
    </row>
    <row r="1211" spans="1:21">
      <c r="A1211" t="s">
        <v>2292</v>
      </c>
      <c r="B1211" t="s">
        <v>258</v>
      </c>
      <c r="C1211" t="s">
        <v>22</v>
      </c>
      <c r="D1211">
        <v>5</v>
      </c>
      <c r="E1211" t="s">
        <v>26</v>
      </c>
      <c r="F1211">
        <v>10</v>
      </c>
      <c r="G1211" t="s">
        <v>58</v>
      </c>
      <c r="H1211" t="s">
        <v>387</v>
      </c>
      <c r="I1211">
        <v>99</v>
      </c>
      <c r="J1211">
        <v>80</v>
      </c>
      <c r="K1211">
        <v>64</v>
      </c>
      <c r="L1211">
        <v>91</v>
      </c>
      <c r="M1211">
        <v>81</v>
      </c>
      <c r="N1211">
        <v>84</v>
      </c>
      <c r="O1211">
        <v>400</v>
      </c>
      <c r="P1211">
        <v>80</v>
      </c>
      <c r="Q1211" t="s">
        <v>47</v>
      </c>
      <c r="R1211" t="s">
        <v>41</v>
      </c>
      <c r="S1211">
        <v>2724</v>
      </c>
      <c r="T1211" t="s">
        <v>66</v>
      </c>
      <c r="U1211" t="str">
        <f t="shared" si="18"/>
        <v>Pass</v>
      </c>
    </row>
    <row r="1212" spans="1:21">
      <c r="A1212" t="s">
        <v>2293</v>
      </c>
      <c r="B1212" t="s">
        <v>1644</v>
      </c>
      <c r="C1212" t="s">
        <v>22</v>
      </c>
      <c r="D1212">
        <v>10</v>
      </c>
      <c r="E1212" t="s">
        <v>26</v>
      </c>
      <c r="F1212">
        <v>14</v>
      </c>
      <c r="G1212" t="s">
        <v>24</v>
      </c>
      <c r="H1212" t="s">
        <v>653</v>
      </c>
      <c r="I1212">
        <v>78</v>
      </c>
      <c r="J1212">
        <v>64</v>
      </c>
      <c r="K1212">
        <v>58</v>
      </c>
      <c r="L1212">
        <v>100</v>
      </c>
      <c r="M1212">
        <v>45</v>
      </c>
      <c r="N1212">
        <v>71</v>
      </c>
      <c r="O1212">
        <v>338</v>
      </c>
      <c r="P1212">
        <v>67.599999999999994</v>
      </c>
      <c r="Q1212" t="s">
        <v>26</v>
      </c>
      <c r="R1212" t="s">
        <v>41</v>
      </c>
      <c r="S1212">
        <v>3426</v>
      </c>
      <c r="T1212" t="s">
        <v>42</v>
      </c>
      <c r="U1212" t="str">
        <f t="shared" si="18"/>
        <v>Pass</v>
      </c>
    </row>
    <row r="1213" spans="1:21">
      <c r="A1213" t="s">
        <v>2294</v>
      </c>
      <c r="B1213" t="s">
        <v>714</v>
      </c>
      <c r="C1213" t="s">
        <v>37</v>
      </c>
      <c r="D1213">
        <v>6</v>
      </c>
      <c r="E1213" t="s">
        <v>26</v>
      </c>
      <c r="F1213">
        <v>12</v>
      </c>
      <c r="G1213" t="s">
        <v>45</v>
      </c>
      <c r="H1213" t="s">
        <v>2295</v>
      </c>
      <c r="I1213">
        <v>87</v>
      </c>
      <c r="J1213">
        <v>54</v>
      </c>
      <c r="K1213">
        <v>57</v>
      </c>
      <c r="L1213">
        <v>89</v>
      </c>
      <c r="M1213">
        <v>59</v>
      </c>
      <c r="N1213">
        <v>85</v>
      </c>
      <c r="O1213">
        <v>344</v>
      </c>
      <c r="P1213">
        <v>68.8</v>
      </c>
      <c r="Q1213" t="s">
        <v>26</v>
      </c>
      <c r="R1213" t="s">
        <v>41</v>
      </c>
      <c r="S1213">
        <v>3570</v>
      </c>
      <c r="T1213" t="s">
        <v>28</v>
      </c>
      <c r="U1213" t="str">
        <f t="shared" si="18"/>
        <v>Pass</v>
      </c>
    </row>
    <row r="1214" spans="1:21">
      <c r="A1214" t="s">
        <v>2296</v>
      </c>
      <c r="B1214" t="s">
        <v>184</v>
      </c>
      <c r="C1214" t="s">
        <v>37</v>
      </c>
      <c r="D1214">
        <v>4</v>
      </c>
      <c r="E1214" t="s">
        <v>23</v>
      </c>
      <c r="F1214">
        <v>9</v>
      </c>
      <c r="G1214" t="s">
        <v>64</v>
      </c>
      <c r="H1214" t="s">
        <v>857</v>
      </c>
      <c r="I1214">
        <v>60</v>
      </c>
      <c r="J1214">
        <v>54</v>
      </c>
      <c r="K1214">
        <v>85</v>
      </c>
      <c r="L1214">
        <v>98</v>
      </c>
      <c r="M1214">
        <v>93</v>
      </c>
      <c r="N1214">
        <v>83</v>
      </c>
      <c r="O1214">
        <v>413</v>
      </c>
      <c r="P1214">
        <v>82.6</v>
      </c>
      <c r="Q1214" t="s">
        <v>47</v>
      </c>
      <c r="R1214" t="s">
        <v>27</v>
      </c>
      <c r="S1214">
        <v>4963</v>
      </c>
      <c r="T1214" t="s">
        <v>66</v>
      </c>
      <c r="U1214" t="str">
        <f t="shared" si="18"/>
        <v>Pass</v>
      </c>
    </row>
    <row r="1215" spans="1:21">
      <c r="A1215" t="s">
        <v>2297</v>
      </c>
      <c r="B1215" t="s">
        <v>508</v>
      </c>
      <c r="C1215" t="s">
        <v>37</v>
      </c>
      <c r="D1215">
        <v>4</v>
      </c>
      <c r="E1215" t="s">
        <v>31</v>
      </c>
      <c r="F1215">
        <v>9</v>
      </c>
      <c r="G1215" t="s">
        <v>58</v>
      </c>
      <c r="H1215" t="s">
        <v>2298</v>
      </c>
      <c r="I1215">
        <v>66</v>
      </c>
      <c r="J1215">
        <v>63</v>
      </c>
      <c r="K1215">
        <v>63</v>
      </c>
      <c r="L1215">
        <v>82</v>
      </c>
      <c r="M1215">
        <v>89</v>
      </c>
      <c r="N1215">
        <v>53</v>
      </c>
      <c r="O1215">
        <v>350</v>
      </c>
      <c r="P1215">
        <v>70</v>
      </c>
      <c r="Q1215" t="s">
        <v>40</v>
      </c>
      <c r="R1215" t="s">
        <v>27</v>
      </c>
      <c r="S1215">
        <v>4704</v>
      </c>
      <c r="T1215" t="s">
        <v>70</v>
      </c>
      <c r="U1215" t="str">
        <f t="shared" si="18"/>
        <v>Pass</v>
      </c>
    </row>
    <row r="1216" spans="1:21">
      <c r="A1216" t="s">
        <v>2299</v>
      </c>
      <c r="B1216" t="s">
        <v>708</v>
      </c>
      <c r="C1216" t="s">
        <v>37</v>
      </c>
      <c r="D1216">
        <v>12</v>
      </c>
      <c r="E1216" t="s">
        <v>23</v>
      </c>
      <c r="F1216">
        <v>18</v>
      </c>
      <c r="G1216" t="s">
        <v>32</v>
      </c>
      <c r="H1216" t="s">
        <v>1990</v>
      </c>
      <c r="I1216">
        <v>83</v>
      </c>
      <c r="J1216">
        <v>66</v>
      </c>
      <c r="K1216">
        <v>65</v>
      </c>
      <c r="L1216">
        <v>57</v>
      </c>
      <c r="M1216">
        <v>35</v>
      </c>
      <c r="N1216">
        <v>72</v>
      </c>
      <c r="O1216">
        <v>295</v>
      </c>
      <c r="P1216">
        <v>59</v>
      </c>
      <c r="Q1216" t="s">
        <v>31</v>
      </c>
      <c r="R1216" t="s">
        <v>27</v>
      </c>
      <c r="S1216">
        <v>2110</v>
      </c>
      <c r="T1216" t="s">
        <v>34</v>
      </c>
      <c r="U1216" t="str">
        <f t="shared" si="18"/>
        <v>Pass</v>
      </c>
    </row>
    <row r="1217" spans="1:21">
      <c r="A1217" t="s">
        <v>2300</v>
      </c>
      <c r="B1217" t="s">
        <v>602</v>
      </c>
      <c r="C1217" t="s">
        <v>37</v>
      </c>
      <c r="D1217">
        <v>4</v>
      </c>
      <c r="E1217" t="s">
        <v>26</v>
      </c>
      <c r="F1217">
        <v>10</v>
      </c>
      <c r="G1217" t="s">
        <v>54</v>
      </c>
      <c r="H1217" t="s">
        <v>413</v>
      </c>
      <c r="I1217">
        <v>73</v>
      </c>
      <c r="J1217">
        <v>76</v>
      </c>
      <c r="K1217">
        <v>70</v>
      </c>
      <c r="L1217">
        <v>82</v>
      </c>
      <c r="M1217">
        <v>41</v>
      </c>
      <c r="N1217">
        <v>89</v>
      </c>
      <c r="O1217">
        <v>358</v>
      </c>
      <c r="P1217">
        <v>71.599999999999994</v>
      </c>
      <c r="Q1217" t="s">
        <v>40</v>
      </c>
      <c r="R1217" t="s">
        <v>41</v>
      </c>
      <c r="S1217">
        <v>2786</v>
      </c>
      <c r="T1217" t="s">
        <v>34</v>
      </c>
      <c r="U1217" t="str">
        <f t="shared" si="18"/>
        <v>Pass</v>
      </c>
    </row>
    <row r="1218" spans="1:21">
      <c r="A1218" t="s">
        <v>2301</v>
      </c>
      <c r="B1218" t="s">
        <v>277</v>
      </c>
      <c r="C1218" t="s">
        <v>22</v>
      </c>
      <c r="D1218">
        <v>10</v>
      </c>
      <c r="E1218" t="s">
        <v>23</v>
      </c>
      <c r="F1218">
        <v>14</v>
      </c>
      <c r="G1218" t="s">
        <v>32</v>
      </c>
      <c r="H1218" t="s">
        <v>2302</v>
      </c>
      <c r="I1218">
        <v>78</v>
      </c>
      <c r="J1218">
        <v>76</v>
      </c>
      <c r="K1218">
        <v>84</v>
      </c>
      <c r="L1218">
        <v>85</v>
      </c>
      <c r="M1218">
        <v>64</v>
      </c>
      <c r="N1218">
        <v>75</v>
      </c>
      <c r="O1218">
        <v>384</v>
      </c>
      <c r="P1218">
        <v>76.8</v>
      </c>
      <c r="Q1218" t="s">
        <v>40</v>
      </c>
      <c r="R1218" t="s">
        <v>27</v>
      </c>
      <c r="S1218">
        <v>3935</v>
      </c>
      <c r="T1218" t="s">
        <v>48</v>
      </c>
      <c r="U1218" t="str">
        <f t="shared" si="18"/>
        <v>Pass</v>
      </c>
    </row>
    <row r="1219" spans="1:21">
      <c r="A1219" t="s">
        <v>2303</v>
      </c>
      <c r="B1219" t="s">
        <v>253</v>
      </c>
      <c r="C1219" t="s">
        <v>22</v>
      </c>
      <c r="D1219">
        <v>6</v>
      </c>
      <c r="E1219" t="s">
        <v>26</v>
      </c>
      <c r="F1219">
        <v>11</v>
      </c>
      <c r="G1219" t="s">
        <v>24</v>
      </c>
      <c r="H1219" t="s">
        <v>1827</v>
      </c>
      <c r="I1219">
        <v>75</v>
      </c>
      <c r="J1219">
        <v>39</v>
      </c>
      <c r="K1219">
        <v>73</v>
      </c>
      <c r="L1219">
        <v>69</v>
      </c>
      <c r="M1219">
        <v>99</v>
      </c>
      <c r="N1219">
        <v>89</v>
      </c>
      <c r="O1219">
        <v>369</v>
      </c>
      <c r="P1219">
        <v>73.8</v>
      </c>
      <c r="Q1219" t="s">
        <v>40</v>
      </c>
      <c r="R1219" t="s">
        <v>27</v>
      </c>
      <c r="S1219">
        <v>2892</v>
      </c>
      <c r="T1219" t="s">
        <v>70</v>
      </c>
      <c r="U1219" t="str">
        <f t="shared" ref="U1219:U1282" si="19">IF(P1219&gt;55,"Pass","Fail")</f>
        <v>Pass</v>
      </c>
    </row>
    <row r="1220" spans="1:21">
      <c r="A1220" t="s">
        <v>2304</v>
      </c>
      <c r="B1220" t="s">
        <v>1142</v>
      </c>
      <c r="C1220" t="s">
        <v>37</v>
      </c>
      <c r="D1220">
        <v>7</v>
      </c>
      <c r="E1220" t="s">
        <v>47</v>
      </c>
      <c r="F1220">
        <v>13</v>
      </c>
      <c r="G1220" t="s">
        <v>54</v>
      </c>
      <c r="H1220" t="s">
        <v>909</v>
      </c>
      <c r="I1220">
        <v>90</v>
      </c>
      <c r="J1220">
        <v>81</v>
      </c>
      <c r="K1220">
        <v>85</v>
      </c>
      <c r="L1220">
        <v>54</v>
      </c>
      <c r="M1220">
        <v>100</v>
      </c>
      <c r="N1220">
        <v>48</v>
      </c>
      <c r="O1220">
        <v>368</v>
      </c>
      <c r="P1220">
        <v>73.599999999999994</v>
      </c>
      <c r="Q1220" t="s">
        <v>40</v>
      </c>
      <c r="R1220" t="s">
        <v>27</v>
      </c>
      <c r="S1220">
        <v>3775</v>
      </c>
      <c r="T1220" t="s">
        <v>42</v>
      </c>
      <c r="U1220" t="str">
        <f t="shared" si="19"/>
        <v>Pass</v>
      </c>
    </row>
    <row r="1221" spans="1:21">
      <c r="A1221" t="s">
        <v>2305</v>
      </c>
      <c r="B1221" t="s">
        <v>168</v>
      </c>
      <c r="C1221" t="s">
        <v>22</v>
      </c>
      <c r="D1221">
        <v>8</v>
      </c>
      <c r="E1221" t="s">
        <v>31</v>
      </c>
      <c r="F1221">
        <v>13</v>
      </c>
      <c r="G1221" t="s">
        <v>64</v>
      </c>
      <c r="H1221" t="s">
        <v>2306</v>
      </c>
      <c r="I1221">
        <v>70</v>
      </c>
      <c r="J1221">
        <v>68</v>
      </c>
      <c r="K1221">
        <v>56</v>
      </c>
      <c r="L1221">
        <v>75</v>
      </c>
      <c r="M1221">
        <v>80</v>
      </c>
      <c r="N1221">
        <v>59</v>
      </c>
      <c r="O1221">
        <v>338</v>
      </c>
      <c r="P1221">
        <v>67.599999999999994</v>
      </c>
      <c r="Q1221" t="s">
        <v>26</v>
      </c>
      <c r="R1221" t="s">
        <v>27</v>
      </c>
      <c r="S1221">
        <v>3828</v>
      </c>
      <c r="T1221" t="s">
        <v>66</v>
      </c>
      <c r="U1221" t="str">
        <f t="shared" si="19"/>
        <v>Pass</v>
      </c>
    </row>
    <row r="1222" spans="1:21">
      <c r="A1222" t="s">
        <v>2307</v>
      </c>
      <c r="B1222" t="s">
        <v>359</v>
      </c>
      <c r="C1222" t="s">
        <v>22</v>
      </c>
      <c r="D1222">
        <v>2</v>
      </c>
      <c r="E1222" t="s">
        <v>23</v>
      </c>
      <c r="F1222">
        <v>7</v>
      </c>
      <c r="G1222" t="s">
        <v>58</v>
      </c>
      <c r="H1222" t="s">
        <v>2308</v>
      </c>
      <c r="I1222">
        <v>86</v>
      </c>
      <c r="J1222">
        <v>94</v>
      </c>
      <c r="K1222">
        <v>39</v>
      </c>
      <c r="L1222">
        <v>36</v>
      </c>
      <c r="M1222">
        <v>62</v>
      </c>
      <c r="N1222">
        <v>98</v>
      </c>
      <c r="O1222">
        <v>329</v>
      </c>
      <c r="P1222">
        <v>65.8</v>
      </c>
      <c r="Q1222" t="s">
        <v>26</v>
      </c>
      <c r="R1222" t="s">
        <v>41</v>
      </c>
      <c r="S1222">
        <v>4620</v>
      </c>
      <c r="T1222" t="s">
        <v>42</v>
      </c>
      <c r="U1222" t="str">
        <f t="shared" si="19"/>
        <v>Pass</v>
      </c>
    </row>
    <row r="1223" spans="1:21">
      <c r="A1223" t="s">
        <v>2309</v>
      </c>
      <c r="B1223" t="s">
        <v>594</v>
      </c>
      <c r="C1223" t="s">
        <v>22</v>
      </c>
      <c r="D1223">
        <v>5</v>
      </c>
      <c r="E1223" t="s">
        <v>26</v>
      </c>
      <c r="F1223">
        <v>11</v>
      </c>
      <c r="G1223" t="s">
        <v>54</v>
      </c>
      <c r="H1223" t="s">
        <v>2310</v>
      </c>
      <c r="I1223">
        <v>89</v>
      </c>
      <c r="J1223">
        <v>48</v>
      </c>
      <c r="K1223">
        <v>80</v>
      </c>
      <c r="L1223">
        <v>61</v>
      </c>
      <c r="M1223">
        <v>90</v>
      </c>
      <c r="N1223">
        <v>76</v>
      </c>
      <c r="O1223">
        <v>355</v>
      </c>
      <c r="P1223">
        <v>71</v>
      </c>
      <c r="Q1223" t="s">
        <v>40</v>
      </c>
      <c r="R1223" t="s">
        <v>27</v>
      </c>
      <c r="S1223">
        <v>2061</v>
      </c>
      <c r="T1223" t="s">
        <v>28</v>
      </c>
      <c r="U1223" t="str">
        <f t="shared" si="19"/>
        <v>Pass</v>
      </c>
    </row>
    <row r="1224" spans="1:21">
      <c r="A1224" t="s">
        <v>2311</v>
      </c>
      <c r="B1224" t="s">
        <v>416</v>
      </c>
      <c r="C1224" t="s">
        <v>22</v>
      </c>
      <c r="D1224">
        <v>7</v>
      </c>
      <c r="E1224" t="s">
        <v>23</v>
      </c>
      <c r="F1224">
        <v>11</v>
      </c>
      <c r="G1224" t="s">
        <v>38</v>
      </c>
      <c r="H1224" t="s">
        <v>1220</v>
      </c>
      <c r="I1224">
        <v>86</v>
      </c>
      <c r="J1224">
        <v>70</v>
      </c>
      <c r="K1224">
        <v>93</v>
      </c>
      <c r="L1224">
        <v>85</v>
      </c>
      <c r="M1224">
        <v>39</v>
      </c>
      <c r="N1224">
        <v>99</v>
      </c>
      <c r="O1224">
        <v>386</v>
      </c>
      <c r="P1224">
        <v>77.2</v>
      </c>
      <c r="Q1224" t="s">
        <v>40</v>
      </c>
      <c r="R1224" t="s">
        <v>41</v>
      </c>
      <c r="S1224">
        <v>4103</v>
      </c>
      <c r="T1224" t="s">
        <v>66</v>
      </c>
      <c r="U1224" t="str">
        <f t="shared" si="19"/>
        <v>Pass</v>
      </c>
    </row>
    <row r="1225" spans="1:21">
      <c r="A1225" t="s">
        <v>2312</v>
      </c>
      <c r="B1225" t="s">
        <v>140</v>
      </c>
      <c r="C1225" t="s">
        <v>22</v>
      </c>
      <c r="D1225">
        <v>11</v>
      </c>
      <c r="E1225" t="s">
        <v>47</v>
      </c>
      <c r="F1225">
        <v>16</v>
      </c>
      <c r="G1225" t="s">
        <v>45</v>
      </c>
      <c r="H1225" t="s">
        <v>2313</v>
      </c>
      <c r="I1225">
        <v>92</v>
      </c>
      <c r="J1225">
        <v>89</v>
      </c>
      <c r="K1225">
        <v>95</v>
      </c>
      <c r="L1225">
        <v>100</v>
      </c>
      <c r="M1225">
        <v>92</v>
      </c>
      <c r="N1225">
        <v>46</v>
      </c>
      <c r="O1225">
        <v>422</v>
      </c>
      <c r="P1225">
        <v>84.4</v>
      </c>
      <c r="Q1225" t="s">
        <v>47</v>
      </c>
      <c r="R1225" t="s">
        <v>41</v>
      </c>
      <c r="S1225">
        <v>1776</v>
      </c>
      <c r="T1225" t="s">
        <v>70</v>
      </c>
      <c r="U1225" t="str">
        <f t="shared" si="19"/>
        <v>Pass</v>
      </c>
    </row>
    <row r="1226" spans="1:21">
      <c r="A1226" t="s">
        <v>2314</v>
      </c>
      <c r="B1226" t="s">
        <v>44</v>
      </c>
      <c r="C1226" t="s">
        <v>37</v>
      </c>
      <c r="D1226">
        <v>9</v>
      </c>
      <c r="E1226" t="s">
        <v>23</v>
      </c>
      <c r="F1226">
        <v>15</v>
      </c>
      <c r="G1226" t="s">
        <v>45</v>
      </c>
      <c r="H1226" t="s">
        <v>2315</v>
      </c>
      <c r="I1226">
        <v>67</v>
      </c>
      <c r="J1226">
        <v>50</v>
      </c>
      <c r="K1226">
        <v>76</v>
      </c>
      <c r="L1226">
        <v>76</v>
      </c>
      <c r="M1226">
        <v>98</v>
      </c>
      <c r="N1226">
        <v>97</v>
      </c>
      <c r="O1226">
        <v>397</v>
      </c>
      <c r="P1226">
        <v>79.400000000000006</v>
      </c>
      <c r="Q1226" t="s">
        <v>40</v>
      </c>
      <c r="R1226" t="s">
        <v>27</v>
      </c>
      <c r="S1226">
        <v>3559</v>
      </c>
      <c r="T1226" t="s">
        <v>48</v>
      </c>
      <c r="U1226" t="str">
        <f t="shared" si="19"/>
        <v>Pass</v>
      </c>
    </row>
    <row r="1227" spans="1:21">
      <c r="A1227" t="s">
        <v>2316</v>
      </c>
      <c r="B1227" t="s">
        <v>926</v>
      </c>
      <c r="C1227" t="s">
        <v>37</v>
      </c>
      <c r="D1227">
        <v>3</v>
      </c>
      <c r="E1227" t="s">
        <v>31</v>
      </c>
      <c r="F1227">
        <v>8</v>
      </c>
      <c r="G1227" t="s">
        <v>38</v>
      </c>
      <c r="H1227" t="s">
        <v>2317</v>
      </c>
      <c r="I1227">
        <v>87</v>
      </c>
      <c r="J1227">
        <v>40</v>
      </c>
      <c r="K1227">
        <v>71</v>
      </c>
      <c r="L1227">
        <v>85</v>
      </c>
      <c r="M1227">
        <v>79</v>
      </c>
      <c r="N1227">
        <v>97</v>
      </c>
      <c r="O1227">
        <v>372</v>
      </c>
      <c r="P1227">
        <v>74.400000000000006</v>
      </c>
      <c r="Q1227" t="s">
        <v>40</v>
      </c>
      <c r="R1227" t="s">
        <v>27</v>
      </c>
      <c r="S1227">
        <v>2953</v>
      </c>
      <c r="T1227" t="s">
        <v>34</v>
      </c>
      <c r="U1227" t="str">
        <f t="shared" si="19"/>
        <v>Pass</v>
      </c>
    </row>
    <row r="1228" spans="1:21">
      <c r="A1228" t="s">
        <v>2318</v>
      </c>
      <c r="B1228" t="s">
        <v>168</v>
      </c>
      <c r="C1228" t="s">
        <v>22</v>
      </c>
      <c r="D1228">
        <v>1</v>
      </c>
      <c r="E1228" t="s">
        <v>23</v>
      </c>
      <c r="F1228">
        <v>6</v>
      </c>
      <c r="G1228" t="s">
        <v>38</v>
      </c>
      <c r="H1228" t="s">
        <v>2319</v>
      </c>
      <c r="I1228">
        <v>61</v>
      </c>
      <c r="J1228">
        <v>56</v>
      </c>
      <c r="K1228">
        <v>60</v>
      </c>
      <c r="L1228">
        <v>62</v>
      </c>
      <c r="M1228">
        <v>44</v>
      </c>
      <c r="N1228">
        <v>72</v>
      </c>
      <c r="O1228">
        <v>294</v>
      </c>
      <c r="P1228">
        <v>58.8</v>
      </c>
      <c r="Q1228" t="s">
        <v>31</v>
      </c>
      <c r="R1228" t="s">
        <v>41</v>
      </c>
      <c r="S1228">
        <v>3627</v>
      </c>
      <c r="T1228" t="s">
        <v>34</v>
      </c>
      <c r="U1228" t="str">
        <f t="shared" si="19"/>
        <v>Pass</v>
      </c>
    </row>
    <row r="1229" spans="1:21">
      <c r="A1229" t="s">
        <v>2320</v>
      </c>
      <c r="B1229" t="s">
        <v>107</v>
      </c>
      <c r="C1229" t="s">
        <v>37</v>
      </c>
      <c r="D1229">
        <v>8</v>
      </c>
      <c r="E1229" t="s">
        <v>31</v>
      </c>
      <c r="F1229">
        <v>12</v>
      </c>
      <c r="G1229" t="s">
        <v>58</v>
      </c>
      <c r="H1229" t="s">
        <v>619</v>
      </c>
      <c r="I1229">
        <v>88</v>
      </c>
      <c r="J1229">
        <v>83</v>
      </c>
      <c r="K1229">
        <v>43</v>
      </c>
      <c r="L1229">
        <v>67</v>
      </c>
      <c r="M1229">
        <v>58</v>
      </c>
      <c r="N1229">
        <v>36</v>
      </c>
      <c r="O1229">
        <v>287</v>
      </c>
      <c r="P1229">
        <v>57.4</v>
      </c>
      <c r="Q1229" t="s">
        <v>31</v>
      </c>
      <c r="R1229" t="s">
        <v>27</v>
      </c>
      <c r="S1229">
        <v>4859</v>
      </c>
      <c r="T1229" t="s">
        <v>42</v>
      </c>
      <c r="U1229" t="str">
        <f t="shared" si="19"/>
        <v>Pass</v>
      </c>
    </row>
    <row r="1230" spans="1:21">
      <c r="A1230" t="s">
        <v>2321</v>
      </c>
      <c r="B1230" t="s">
        <v>383</v>
      </c>
      <c r="C1230" t="s">
        <v>37</v>
      </c>
      <c r="D1230">
        <v>10</v>
      </c>
      <c r="E1230" t="s">
        <v>26</v>
      </c>
      <c r="F1230">
        <v>15</v>
      </c>
      <c r="G1230" t="s">
        <v>24</v>
      </c>
      <c r="H1230" t="s">
        <v>2322</v>
      </c>
      <c r="I1230">
        <v>92</v>
      </c>
      <c r="J1230">
        <v>95</v>
      </c>
      <c r="K1230">
        <v>68</v>
      </c>
      <c r="L1230">
        <v>66</v>
      </c>
      <c r="M1230">
        <v>87</v>
      </c>
      <c r="N1230">
        <v>91</v>
      </c>
      <c r="O1230">
        <v>407</v>
      </c>
      <c r="P1230">
        <v>81.400000000000006</v>
      </c>
      <c r="Q1230" t="s">
        <v>47</v>
      </c>
      <c r="R1230" t="s">
        <v>41</v>
      </c>
      <c r="S1230">
        <v>4145</v>
      </c>
      <c r="T1230" t="s">
        <v>66</v>
      </c>
      <c r="U1230" t="str">
        <f t="shared" si="19"/>
        <v>Pass</v>
      </c>
    </row>
    <row r="1231" spans="1:21">
      <c r="A1231" t="s">
        <v>2323</v>
      </c>
      <c r="B1231" t="s">
        <v>93</v>
      </c>
      <c r="C1231" t="s">
        <v>22</v>
      </c>
      <c r="D1231">
        <v>7</v>
      </c>
      <c r="E1231" t="s">
        <v>26</v>
      </c>
      <c r="F1231">
        <v>12</v>
      </c>
      <c r="G1231" t="s">
        <v>45</v>
      </c>
      <c r="H1231" t="s">
        <v>2055</v>
      </c>
      <c r="I1231">
        <v>65</v>
      </c>
      <c r="J1231">
        <v>94</v>
      </c>
      <c r="K1231">
        <v>99</v>
      </c>
      <c r="L1231">
        <v>49</v>
      </c>
      <c r="M1231">
        <v>47</v>
      </c>
      <c r="N1231">
        <v>53</v>
      </c>
      <c r="O1231">
        <v>342</v>
      </c>
      <c r="P1231">
        <v>68.400000000000006</v>
      </c>
      <c r="Q1231" t="s">
        <v>26</v>
      </c>
      <c r="R1231" t="s">
        <v>27</v>
      </c>
      <c r="S1231">
        <v>4185</v>
      </c>
      <c r="T1231" t="s">
        <v>66</v>
      </c>
      <c r="U1231" t="str">
        <f t="shared" si="19"/>
        <v>Pass</v>
      </c>
    </row>
    <row r="1232" spans="1:21">
      <c r="A1232" t="s">
        <v>2324</v>
      </c>
      <c r="B1232" t="s">
        <v>416</v>
      </c>
      <c r="C1232" t="s">
        <v>22</v>
      </c>
      <c r="D1232">
        <v>1</v>
      </c>
      <c r="E1232" t="s">
        <v>23</v>
      </c>
      <c r="F1232">
        <v>6</v>
      </c>
      <c r="G1232" t="s">
        <v>38</v>
      </c>
      <c r="H1232" t="s">
        <v>2205</v>
      </c>
      <c r="I1232">
        <v>73</v>
      </c>
      <c r="J1232">
        <v>89</v>
      </c>
      <c r="K1232">
        <v>56</v>
      </c>
      <c r="L1232">
        <v>63</v>
      </c>
      <c r="M1232">
        <v>89</v>
      </c>
      <c r="N1232">
        <v>82</v>
      </c>
      <c r="O1232">
        <v>379</v>
      </c>
      <c r="P1232">
        <v>75.8</v>
      </c>
      <c r="Q1232" t="s">
        <v>40</v>
      </c>
      <c r="R1232" t="s">
        <v>41</v>
      </c>
      <c r="S1232">
        <v>1976</v>
      </c>
      <c r="T1232" t="s">
        <v>48</v>
      </c>
      <c r="U1232" t="str">
        <f t="shared" si="19"/>
        <v>Pass</v>
      </c>
    </row>
    <row r="1233" spans="1:21">
      <c r="A1233" t="s">
        <v>2325</v>
      </c>
      <c r="B1233" t="s">
        <v>359</v>
      </c>
      <c r="C1233" t="s">
        <v>37</v>
      </c>
      <c r="D1233">
        <v>9</v>
      </c>
      <c r="E1233" t="s">
        <v>47</v>
      </c>
      <c r="F1233">
        <v>14</v>
      </c>
      <c r="G1233" t="s">
        <v>58</v>
      </c>
      <c r="H1233" t="s">
        <v>2326</v>
      </c>
      <c r="I1233">
        <v>96</v>
      </c>
      <c r="J1233">
        <v>88</v>
      </c>
      <c r="K1233">
        <v>86</v>
      </c>
      <c r="L1233">
        <v>86</v>
      </c>
      <c r="M1233">
        <v>68</v>
      </c>
      <c r="N1233">
        <v>53</v>
      </c>
      <c r="O1233">
        <v>381</v>
      </c>
      <c r="P1233">
        <v>76.2</v>
      </c>
      <c r="Q1233" t="s">
        <v>40</v>
      </c>
      <c r="R1233" t="s">
        <v>41</v>
      </c>
      <c r="S1233">
        <v>3672</v>
      </c>
      <c r="T1233" t="s">
        <v>42</v>
      </c>
      <c r="U1233" t="str">
        <f t="shared" si="19"/>
        <v>Pass</v>
      </c>
    </row>
    <row r="1234" spans="1:21">
      <c r="A1234" t="s">
        <v>2327</v>
      </c>
      <c r="B1234" t="s">
        <v>277</v>
      </c>
      <c r="C1234" t="s">
        <v>22</v>
      </c>
      <c r="D1234">
        <v>7</v>
      </c>
      <c r="E1234" t="s">
        <v>23</v>
      </c>
      <c r="F1234">
        <v>12</v>
      </c>
      <c r="G1234" t="s">
        <v>45</v>
      </c>
      <c r="H1234" t="s">
        <v>2328</v>
      </c>
      <c r="I1234">
        <v>85</v>
      </c>
      <c r="J1234">
        <v>64</v>
      </c>
      <c r="K1234">
        <v>71</v>
      </c>
      <c r="L1234">
        <v>83</v>
      </c>
      <c r="M1234">
        <v>48</v>
      </c>
      <c r="N1234">
        <v>35</v>
      </c>
      <c r="O1234">
        <v>301</v>
      </c>
      <c r="P1234">
        <v>60.2</v>
      </c>
      <c r="Q1234" t="s">
        <v>26</v>
      </c>
      <c r="R1234" t="s">
        <v>41</v>
      </c>
      <c r="S1234">
        <v>4362</v>
      </c>
      <c r="T1234" t="s">
        <v>34</v>
      </c>
      <c r="U1234" t="str">
        <f t="shared" si="19"/>
        <v>Pass</v>
      </c>
    </row>
    <row r="1235" spans="1:21">
      <c r="A1235" t="s">
        <v>2329</v>
      </c>
      <c r="B1235" t="s">
        <v>1410</v>
      </c>
      <c r="C1235" t="s">
        <v>37</v>
      </c>
      <c r="D1235">
        <v>8</v>
      </c>
      <c r="E1235" t="s">
        <v>26</v>
      </c>
      <c r="F1235">
        <v>14</v>
      </c>
      <c r="G1235" t="s">
        <v>38</v>
      </c>
      <c r="H1235" t="s">
        <v>2330</v>
      </c>
      <c r="I1235">
        <v>93</v>
      </c>
      <c r="J1235">
        <v>49</v>
      </c>
      <c r="K1235">
        <v>81</v>
      </c>
      <c r="L1235">
        <v>88</v>
      </c>
      <c r="M1235">
        <v>74</v>
      </c>
      <c r="N1235">
        <v>74</v>
      </c>
      <c r="O1235">
        <v>366</v>
      </c>
      <c r="P1235">
        <v>73.2</v>
      </c>
      <c r="Q1235" t="s">
        <v>40</v>
      </c>
      <c r="R1235" t="s">
        <v>27</v>
      </c>
      <c r="S1235">
        <v>2553</v>
      </c>
      <c r="T1235" t="s">
        <v>28</v>
      </c>
      <c r="U1235" t="str">
        <f t="shared" si="19"/>
        <v>Pass</v>
      </c>
    </row>
    <row r="1236" spans="1:21">
      <c r="A1236" t="s">
        <v>2331</v>
      </c>
      <c r="B1236" t="s">
        <v>157</v>
      </c>
      <c r="C1236" t="s">
        <v>37</v>
      </c>
      <c r="D1236">
        <v>6</v>
      </c>
      <c r="E1236" t="s">
        <v>23</v>
      </c>
      <c r="F1236">
        <v>12</v>
      </c>
      <c r="G1236" t="s">
        <v>64</v>
      </c>
      <c r="H1236" t="s">
        <v>2332</v>
      </c>
      <c r="I1236">
        <v>74</v>
      </c>
      <c r="J1236">
        <v>63</v>
      </c>
      <c r="K1236">
        <v>64</v>
      </c>
      <c r="L1236">
        <v>80</v>
      </c>
      <c r="M1236">
        <v>89</v>
      </c>
      <c r="N1236">
        <v>44</v>
      </c>
      <c r="O1236">
        <v>340</v>
      </c>
      <c r="P1236">
        <v>68</v>
      </c>
      <c r="Q1236" t="s">
        <v>26</v>
      </c>
      <c r="R1236" t="s">
        <v>27</v>
      </c>
      <c r="S1236">
        <v>4459</v>
      </c>
      <c r="T1236" t="s">
        <v>48</v>
      </c>
      <c r="U1236" t="str">
        <f t="shared" si="19"/>
        <v>Pass</v>
      </c>
    </row>
    <row r="1237" spans="1:21">
      <c r="A1237" t="s">
        <v>2333</v>
      </c>
      <c r="B1237" t="s">
        <v>258</v>
      </c>
      <c r="C1237" t="s">
        <v>22</v>
      </c>
      <c r="D1237">
        <v>7</v>
      </c>
      <c r="E1237" t="s">
        <v>23</v>
      </c>
      <c r="F1237">
        <v>13</v>
      </c>
      <c r="G1237" t="s">
        <v>32</v>
      </c>
      <c r="H1237" t="s">
        <v>262</v>
      </c>
      <c r="I1237">
        <v>67</v>
      </c>
      <c r="J1237">
        <v>46</v>
      </c>
      <c r="K1237">
        <v>42</v>
      </c>
      <c r="L1237">
        <v>36</v>
      </c>
      <c r="M1237">
        <v>57</v>
      </c>
      <c r="N1237">
        <v>98</v>
      </c>
      <c r="O1237">
        <v>279</v>
      </c>
      <c r="P1237">
        <v>55.8</v>
      </c>
      <c r="Q1237" t="s">
        <v>31</v>
      </c>
      <c r="R1237" t="s">
        <v>27</v>
      </c>
      <c r="S1237">
        <v>3478</v>
      </c>
      <c r="T1237" t="s">
        <v>28</v>
      </c>
      <c r="U1237" t="str">
        <f t="shared" si="19"/>
        <v>Pass</v>
      </c>
    </row>
    <row r="1238" spans="1:21">
      <c r="A1238" t="s">
        <v>2334</v>
      </c>
      <c r="B1238" t="s">
        <v>383</v>
      </c>
      <c r="C1238" t="s">
        <v>37</v>
      </c>
      <c r="D1238">
        <v>7</v>
      </c>
      <c r="E1238" t="s">
        <v>23</v>
      </c>
      <c r="F1238">
        <v>13</v>
      </c>
      <c r="G1238" t="s">
        <v>64</v>
      </c>
      <c r="H1238" t="s">
        <v>2335</v>
      </c>
      <c r="I1238">
        <v>67</v>
      </c>
      <c r="J1238">
        <v>62</v>
      </c>
      <c r="K1238">
        <v>49</v>
      </c>
      <c r="L1238">
        <v>62</v>
      </c>
      <c r="M1238">
        <v>55</v>
      </c>
      <c r="N1238">
        <v>86</v>
      </c>
      <c r="O1238">
        <v>314</v>
      </c>
      <c r="P1238">
        <v>62.8</v>
      </c>
      <c r="Q1238" t="s">
        <v>26</v>
      </c>
      <c r="R1238" t="s">
        <v>41</v>
      </c>
      <c r="S1238">
        <v>4316</v>
      </c>
      <c r="T1238" t="s">
        <v>34</v>
      </c>
      <c r="U1238" t="str">
        <f t="shared" si="19"/>
        <v>Pass</v>
      </c>
    </row>
    <row r="1239" spans="1:21">
      <c r="A1239" t="s">
        <v>2336</v>
      </c>
      <c r="B1239" t="s">
        <v>343</v>
      </c>
      <c r="C1239" t="s">
        <v>37</v>
      </c>
      <c r="D1239">
        <v>10</v>
      </c>
      <c r="E1239" t="s">
        <v>26</v>
      </c>
      <c r="F1239">
        <v>14</v>
      </c>
      <c r="G1239" t="s">
        <v>45</v>
      </c>
      <c r="H1239" t="s">
        <v>351</v>
      </c>
      <c r="I1239">
        <v>81</v>
      </c>
      <c r="J1239">
        <v>51</v>
      </c>
      <c r="K1239">
        <v>78</v>
      </c>
      <c r="L1239">
        <v>73</v>
      </c>
      <c r="M1239">
        <v>86</v>
      </c>
      <c r="N1239">
        <v>96</v>
      </c>
      <c r="O1239">
        <v>384</v>
      </c>
      <c r="P1239">
        <v>76.8</v>
      </c>
      <c r="Q1239" t="s">
        <v>40</v>
      </c>
      <c r="R1239" t="s">
        <v>41</v>
      </c>
      <c r="S1239">
        <v>3062</v>
      </c>
      <c r="T1239" t="s">
        <v>70</v>
      </c>
      <c r="U1239" t="str">
        <f t="shared" si="19"/>
        <v>Pass</v>
      </c>
    </row>
    <row r="1240" spans="1:21">
      <c r="A1240" t="s">
        <v>2337</v>
      </c>
      <c r="B1240" t="s">
        <v>544</v>
      </c>
      <c r="C1240" t="s">
        <v>37</v>
      </c>
      <c r="D1240">
        <v>2</v>
      </c>
      <c r="E1240" t="s">
        <v>47</v>
      </c>
      <c r="F1240">
        <v>8</v>
      </c>
      <c r="G1240" t="s">
        <v>38</v>
      </c>
      <c r="H1240" t="s">
        <v>2338</v>
      </c>
      <c r="I1240">
        <v>86</v>
      </c>
      <c r="J1240">
        <v>42</v>
      </c>
      <c r="K1240">
        <v>58</v>
      </c>
      <c r="L1240">
        <v>69</v>
      </c>
      <c r="M1240">
        <v>42</v>
      </c>
      <c r="N1240">
        <v>47</v>
      </c>
      <c r="O1240">
        <v>258</v>
      </c>
      <c r="P1240">
        <v>51.6</v>
      </c>
      <c r="Q1240" t="s">
        <v>31</v>
      </c>
      <c r="R1240" t="s">
        <v>27</v>
      </c>
      <c r="S1240">
        <v>4475</v>
      </c>
      <c r="T1240" t="s">
        <v>70</v>
      </c>
      <c r="U1240" t="str">
        <f t="shared" si="19"/>
        <v>Fail</v>
      </c>
    </row>
    <row r="1241" spans="1:21">
      <c r="A1241" t="s">
        <v>2339</v>
      </c>
      <c r="B1241" t="s">
        <v>72</v>
      </c>
      <c r="C1241" t="s">
        <v>22</v>
      </c>
      <c r="D1241">
        <v>9</v>
      </c>
      <c r="E1241" t="s">
        <v>26</v>
      </c>
      <c r="F1241">
        <v>13</v>
      </c>
      <c r="G1241" t="s">
        <v>64</v>
      </c>
      <c r="H1241" t="s">
        <v>2340</v>
      </c>
      <c r="I1241">
        <v>70</v>
      </c>
      <c r="J1241">
        <v>87</v>
      </c>
      <c r="K1241">
        <v>90</v>
      </c>
      <c r="L1241">
        <v>69</v>
      </c>
      <c r="M1241">
        <v>72</v>
      </c>
      <c r="N1241">
        <v>58</v>
      </c>
      <c r="O1241">
        <v>376</v>
      </c>
      <c r="P1241">
        <v>75.2</v>
      </c>
      <c r="Q1241" t="s">
        <v>40</v>
      </c>
      <c r="R1241" t="s">
        <v>41</v>
      </c>
      <c r="S1241">
        <v>2542</v>
      </c>
      <c r="T1241" t="s">
        <v>28</v>
      </c>
      <c r="U1241" t="str">
        <f t="shared" si="19"/>
        <v>Pass</v>
      </c>
    </row>
    <row r="1242" spans="1:21">
      <c r="A1242" t="s">
        <v>2341</v>
      </c>
      <c r="B1242" t="s">
        <v>1281</v>
      </c>
      <c r="C1242" t="s">
        <v>22</v>
      </c>
      <c r="D1242">
        <v>12</v>
      </c>
      <c r="E1242" t="s">
        <v>47</v>
      </c>
      <c r="F1242">
        <v>18</v>
      </c>
      <c r="G1242" t="s">
        <v>38</v>
      </c>
      <c r="H1242" t="s">
        <v>759</v>
      </c>
      <c r="I1242">
        <v>91</v>
      </c>
      <c r="J1242">
        <v>92</v>
      </c>
      <c r="K1242">
        <v>85</v>
      </c>
      <c r="L1242">
        <v>97</v>
      </c>
      <c r="M1242">
        <v>58</v>
      </c>
      <c r="N1242">
        <v>91</v>
      </c>
      <c r="O1242">
        <v>423</v>
      </c>
      <c r="P1242">
        <v>84.6</v>
      </c>
      <c r="Q1242" t="s">
        <v>47</v>
      </c>
      <c r="R1242" t="s">
        <v>27</v>
      </c>
      <c r="S1242">
        <v>3921</v>
      </c>
      <c r="T1242" t="s">
        <v>66</v>
      </c>
      <c r="U1242" t="str">
        <f t="shared" si="19"/>
        <v>Pass</v>
      </c>
    </row>
    <row r="1243" spans="1:21">
      <c r="A1243" t="s">
        <v>2342</v>
      </c>
      <c r="B1243" t="s">
        <v>508</v>
      </c>
      <c r="C1243" t="s">
        <v>22</v>
      </c>
      <c r="D1243">
        <v>3</v>
      </c>
      <c r="E1243" t="s">
        <v>47</v>
      </c>
      <c r="F1243">
        <v>7</v>
      </c>
      <c r="G1243" t="s">
        <v>24</v>
      </c>
      <c r="H1243" t="s">
        <v>2343</v>
      </c>
      <c r="I1243">
        <v>100</v>
      </c>
      <c r="J1243">
        <v>76</v>
      </c>
      <c r="K1243">
        <v>86</v>
      </c>
      <c r="L1243">
        <v>58</v>
      </c>
      <c r="M1243">
        <v>79</v>
      </c>
      <c r="N1243">
        <v>45</v>
      </c>
      <c r="O1243">
        <v>344</v>
      </c>
      <c r="P1243">
        <v>68.8</v>
      </c>
      <c r="Q1243" t="s">
        <v>26</v>
      </c>
      <c r="R1243" t="s">
        <v>27</v>
      </c>
      <c r="S1243">
        <v>4241</v>
      </c>
      <c r="T1243" t="s">
        <v>34</v>
      </c>
      <c r="U1243" t="str">
        <f t="shared" si="19"/>
        <v>Pass</v>
      </c>
    </row>
    <row r="1244" spans="1:21">
      <c r="A1244" t="s">
        <v>2344</v>
      </c>
      <c r="B1244" t="s">
        <v>148</v>
      </c>
      <c r="C1244" t="s">
        <v>37</v>
      </c>
      <c r="D1244">
        <v>10</v>
      </c>
      <c r="E1244" t="s">
        <v>31</v>
      </c>
      <c r="F1244">
        <v>15</v>
      </c>
      <c r="G1244" t="s">
        <v>38</v>
      </c>
      <c r="H1244" t="s">
        <v>666</v>
      </c>
      <c r="I1244">
        <v>77</v>
      </c>
      <c r="J1244">
        <v>48</v>
      </c>
      <c r="K1244">
        <v>84</v>
      </c>
      <c r="L1244">
        <v>72</v>
      </c>
      <c r="M1244">
        <v>43</v>
      </c>
      <c r="N1244">
        <v>42</v>
      </c>
      <c r="O1244">
        <v>289</v>
      </c>
      <c r="P1244">
        <v>57.8</v>
      </c>
      <c r="Q1244" t="s">
        <v>31</v>
      </c>
      <c r="R1244" t="s">
        <v>27</v>
      </c>
      <c r="S1244">
        <v>2982</v>
      </c>
      <c r="T1244" t="s">
        <v>42</v>
      </c>
      <c r="U1244" t="str">
        <f t="shared" si="19"/>
        <v>Pass</v>
      </c>
    </row>
    <row r="1245" spans="1:21">
      <c r="A1245" t="s">
        <v>2345</v>
      </c>
      <c r="B1245" t="s">
        <v>214</v>
      </c>
      <c r="C1245" t="s">
        <v>22</v>
      </c>
      <c r="D1245">
        <v>12</v>
      </c>
      <c r="E1245" t="s">
        <v>26</v>
      </c>
      <c r="F1245">
        <v>17</v>
      </c>
      <c r="G1245" t="s">
        <v>32</v>
      </c>
      <c r="H1245" t="s">
        <v>2346</v>
      </c>
      <c r="I1245">
        <v>76</v>
      </c>
      <c r="J1245">
        <v>39</v>
      </c>
      <c r="K1245">
        <v>35</v>
      </c>
      <c r="L1245">
        <v>49</v>
      </c>
      <c r="M1245">
        <v>42</v>
      </c>
      <c r="N1245">
        <v>51</v>
      </c>
      <c r="O1245">
        <v>216</v>
      </c>
      <c r="P1245">
        <v>43.2</v>
      </c>
      <c r="Q1245" t="s">
        <v>23</v>
      </c>
      <c r="R1245" t="s">
        <v>41</v>
      </c>
      <c r="S1245">
        <v>2774</v>
      </c>
      <c r="T1245" t="s">
        <v>48</v>
      </c>
      <c r="U1245" t="str">
        <f t="shared" si="19"/>
        <v>Fail</v>
      </c>
    </row>
    <row r="1246" spans="1:21">
      <c r="A1246" t="s">
        <v>2347</v>
      </c>
      <c r="B1246" t="s">
        <v>1207</v>
      </c>
      <c r="C1246" t="s">
        <v>37</v>
      </c>
      <c r="D1246">
        <v>11</v>
      </c>
      <c r="E1246" t="s">
        <v>23</v>
      </c>
      <c r="F1246">
        <v>15</v>
      </c>
      <c r="G1246" t="s">
        <v>24</v>
      </c>
      <c r="H1246" t="s">
        <v>894</v>
      </c>
      <c r="I1246">
        <v>60</v>
      </c>
      <c r="J1246">
        <v>49</v>
      </c>
      <c r="K1246">
        <v>70</v>
      </c>
      <c r="L1246">
        <v>47</v>
      </c>
      <c r="M1246">
        <v>65</v>
      </c>
      <c r="N1246">
        <v>79</v>
      </c>
      <c r="O1246">
        <v>310</v>
      </c>
      <c r="P1246">
        <v>62</v>
      </c>
      <c r="Q1246" t="s">
        <v>26</v>
      </c>
      <c r="R1246" t="s">
        <v>41</v>
      </c>
      <c r="S1246">
        <v>2551</v>
      </c>
      <c r="T1246" t="s">
        <v>28</v>
      </c>
      <c r="U1246" t="str">
        <f t="shared" si="19"/>
        <v>Pass</v>
      </c>
    </row>
    <row r="1247" spans="1:21">
      <c r="A1247" t="s">
        <v>2348</v>
      </c>
      <c r="B1247" t="s">
        <v>1207</v>
      </c>
      <c r="C1247" t="s">
        <v>22</v>
      </c>
      <c r="D1247">
        <v>12</v>
      </c>
      <c r="E1247" t="s">
        <v>47</v>
      </c>
      <c r="F1247">
        <v>17</v>
      </c>
      <c r="G1247" t="s">
        <v>54</v>
      </c>
      <c r="H1247" t="s">
        <v>2349</v>
      </c>
      <c r="I1247">
        <v>61</v>
      </c>
      <c r="J1247">
        <v>70</v>
      </c>
      <c r="K1247">
        <v>60</v>
      </c>
      <c r="L1247">
        <v>93</v>
      </c>
      <c r="M1247">
        <v>55</v>
      </c>
      <c r="N1247">
        <v>37</v>
      </c>
      <c r="O1247">
        <v>315</v>
      </c>
      <c r="P1247">
        <v>63</v>
      </c>
      <c r="Q1247" t="s">
        <v>26</v>
      </c>
      <c r="R1247" t="s">
        <v>27</v>
      </c>
      <c r="S1247">
        <v>3415</v>
      </c>
      <c r="T1247" t="s">
        <v>34</v>
      </c>
      <c r="U1247" t="str">
        <f t="shared" si="19"/>
        <v>Pass</v>
      </c>
    </row>
    <row r="1248" spans="1:21">
      <c r="A1248" t="s">
        <v>2350</v>
      </c>
      <c r="B1248" t="s">
        <v>370</v>
      </c>
      <c r="C1248" t="s">
        <v>22</v>
      </c>
      <c r="D1248">
        <v>10</v>
      </c>
      <c r="E1248" t="s">
        <v>23</v>
      </c>
      <c r="F1248">
        <v>16</v>
      </c>
      <c r="G1248" t="s">
        <v>58</v>
      </c>
      <c r="H1248" t="s">
        <v>1791</v>
      </c>
      <c r="I1248">
        <v>74</v>
      </c>
      <c r="J1248">
        <v>57</v>
      </c>
      <c r="K1248">
        <v>67</v>
      </c>
      <c r="L1248">
        <v>57</v>
      </c>
      <c r="M1248">
        <v>100</v>
      </c>
      <c r="N1248">
        <v>87</v>
      </c>
      <c r="O1248">
        <v>368</v>
      </c>
      <c r="P1248">
        <v>73.599999999999994</v>
      </c>
      <c r="Q1248" t="s">
        <v>40</v>
      </c>
      <c r="R1248" t="s">
        <v>27</v>
      </c>
      <c r="S1248">
        <v>4140</v>
      </c>
      <c r="T1248" t="s">
        <v>34</v>
      </c>
      <c r="U1248" t="str">
        <f t="shared" si="19"/>
        <v>Pass</v>
      </c>
    </row>
    <row r="1249" spans="1:21">
      <c r="A1249" t="s">
        <v>2351</v>
      </c>
      <c r="B1249" t="s">
        <v>1410</v>
      </c>
      <c r="C1249" t="s">
        <v>22</v>
      </c>
      <c r="D1249">
        <v>8</v>
      </c>
      <c r="E1249" t="s">
        <v>26</v>
      </c>
      <c r="F1249">
        <v>13</v>
      </c>
      <c r="G1249" t="s">
        <v>64</v>
      </c>
      <c r="H1249" t="s">
        <v>772</v>
      </c>
      <c r="I1249">
        <v>64</v>
      </c>
      <c r="J1249">
        <v>100</v>
      </c>
      <c r="K1249">
        <v>47</v>
      </c>
      <c r="L1249">
        <v>61</v>
      </c>
      <c r="M1249">
        <v>70</v>
      </c>
      <c r="N1249">
        <v>46</v>
      </c>
      <c r="O1249">
        <v>324</v>
      </c>
      <c r="P1249">
        <v>64.8</v>
      </c>
      <c r="Q1249" t="s">
        <v>26</v>
      </c>
      <c r="R1249" t="s">
        <v>41</v>
      </c>
      <c r="S1249">
        <v>2108</v>
      </c>
      <c r="T1249" t="s">
        <v>34</v>
      </c>
      <c r="U1249" t="str">
        <f t="shared" si="19"/>
        <v>Pass</v>
      </c>
    </row>
    <row r="1250" spans="1:21">
      <c r="A1250" t="s">
        <v>2352</v>
      </c>
      <c r="B1250" t="s">
        <v>835</v>
      </c>
      <c r="C1250" t="s">
        <v>22</v>
      </c>
      <c r="D1250">
        <v>2</v>
      </c>
      <c r="E1250" t="s">
        <v>23</v>
      </c>
      <c r="F1250">
        <v>8</v>
      </c>
      <c r="G1250" t="s">
        <v>24</v>
      </c>
      <c r="H1250" t="s">
        <v>2197</v>
      </c>
      <c r="I1250">
        <v>64</v>
      </c>
      <c r="J1250">
        <v>78</v>
      </c>
      <c r="K1250">
        <v>67</v>
      </c>
      <c r="L1250">
        <v>49</v>
      </c>
      <c r="M1250">
        <v>41</v>
      </c>
      <c r="N1250">
        <v>36</v>
      </c>
      <c r="O1250">
        <v>271</v>
      </c>
      <c r="P1250">
        <v>54.2</v>
      </c>
      <c r="Q1250" t="s">
        <v>31</v>
      </c>
      <c r="R1250" t="s">
        <v>41</v>
      </c>
      <c r="S1250">
        <v>2406</v>
      </c>
      <c r="T1250" t="s">
        <v>48</v>
      </c>
      <c r="U1250" t="str">
        <f t="shared" si="19"/>
        <v>Fail</v>
      </c>
    </row>
    <row r="1251" spans="1:21">
      <c r="A1251" t="s">
        <v>2353</v>
      </c>
      <c r="B1251" t="s">
        <v>151</v>
      </c>
      <c r="C1251" t="s">
        <v>37</v>
      </c>
      <c r="D1251">
        <v>2</v>
      </c>
      <c r="E1251" t="s">
        <v>26</v>
      </c>
      <c r="F1251">
        <v>8</v>
      </c>
      <c r="G1251" t="s">
        <v>24</v>
      </c>
      <c r="H1251" t="s">
        <v>1578</v>
      </c>
      <c r="I1251">
        <v>61</v>
      </c>
      <c r="J1251">
        <v>85</v>
      </c>
      <c r="K1251">
        <v>73</v>
      </c>
      <c r="L1251">
        <v>47</v>
      </c>
      <c r="M1251">
        <v>75</v>
      </c>
      <c r="N1251">
        <v>49</v>
      </c>
      <c r="O1251">
        <v>329</v>
      </c>
      <c r="P1251">
        <v>65.8</v>
      </c>
      <c r="Q1251" t="s">
        <v>26</v>
      </c>
      <c r="R1251" t="s">
        <v>27</v>
      </c>
      <c r="S1251">
        <v>3964</v>
      </c>
      <c r="T1251" t="s">
        <v>34</v>
      </c>
      <c r="U1251" t="str">
        <f t="shared" si="19"/>
        <v>Pass</v>
      </c>
    </row>
    <row r="1252" spans="1:21">
      <c r="A1252" t="s">
        <v>2354</v>
      </c>
      <c r="B1252" t="s">
        <v>99</v>
      </c>
      <c r="C1252" t="s">
        <v>22</v>
      </c>
      <c r="D1252">
        <v>6</v>
      </c>
      <c r="E1252" t="s">
        <v>47</v>
      </c>
      <c r="F1252">
        <v>10</v>
      </c>
      <c r="G1252" t="s">
        <v>32</v>
      </c>
      <c r="H1252" t="s">
        <v>1052</v>
      </c>
      <c r="I1252">
        <v>81</v>
      </c>
      <c r="J1252">
        <v>99</v>
      </c>
      <c r="K1252">
        <v>62</v>
      </c>
      <c r="L1252">
        <v>52</v>
      </c>
      <c r="M1252">
        <v>77</v>
      </c>
      <c r="N1252">
        <v>55</v>
      </c>
      <c r="O1252">
        <v>345</v>
      </c>
      <c r="P1252">
        <v>69</v>
      </c>
      <c r="Q1252" t="s">
        <v>26</v>
      </c>
      <c r="R1252" t="s">
        <v>27</v>
      </c>
      <c r="S1252">
        <v>3523</v>
      </c>
      <c r="T1252" t="s">
        <v>42</v>
      </c>
      <c r="U1252" t="str">
        <f t="shared" si="19"/>
        <v>Pass</v>
      </c>
    </row>
    <row r="1253" spans="1:21">
      <c r="A1253" t="s">
        <v>2355</v>
      </c>
      <c r="B1253" t="s">
        <v>614</v>
      </c>
      <c r="C1253" t="s">
        <v>22</v>
      </c>
      <c r="D1253">
        <v>9</v>
      </c>
      <c r="E1253" t="s">
        <v>26</v>
      </c>
      <c r="F1253">
        <v>13</v>
      </c>
      <c r="G1253" t="s">
        <v>24</v>
      </c>
      <c r="H1253" t="s">
        <v>569</v>
      </c>
      <c r="I1253">
        <v>61</v>
      </c>
      <c r="J1253">
        <v>75</v>
      </c>
      <c r="K1253">
        <v>84</v>
      </c>
      <c r="L1253">
        <v>36</v>
      </c>
      <c r="M1253">
        <v>55</v>
      </c>
      <c r="N1253">
        <v>92</v>
      </c>
      <c r="O1253">
        <v>342</v>
      </c>
      <c r="P1253">
        <v>68.400000000000006</v>
      </c>
      <c r="Q1253" t="s">
        <v>26</v>
      </c>
      <c r="R1253" t="s">
        <v>27</v>
      </c>
      <c r="S1253">
        <v>3759</v>
      </c>
      <c r="T1253" t="s">
        <v>66</v>
      </c>
      <c r="U1253" t="str">
        <f t="shared" si="19"/>
        <v>Pass</v>
      </c>
    </row>
    <row r="1254" spans="1:21">
      <c r="A1254" t="s">
        <v>2356</v>
      </c>
      <c r="B1254" t="s">
        <v>57</v>
      </c>
      <c r="C1254" t="s">
        <v>22</v>
      </c>
      <c r="D1254">
        <v>11</v>
      </c>
      <c r="E1254" t="s">
        <v>47</v>
      </c>
      <c r="F1254">
        <v>15</v>
      </c>
      <c r="G1254" t="s">
        <v>64</v>
      </c>
      <c r="H1254" t="s">
        <v>1929</v>
      </c>
      <c r="I1254">
        <v>99</v>
      </c>
      <c r="J1254">
        <v>74</v>
      </c>
      <c r="K1254">
        <v>56</v>
      </c>
      <c r="L1254">
        <v>93</v>
      </c>
      <c r="M1254">
        <v>98</v>
      </c>
      <c r="N1254">
        <v>38</v>
      </c>
      <c r="O1254">
        <v>359</v>
      </c>
      <c r="P1254">
        <v>71.8</v>
      </c>
      <c r="Q1254" t="s">
        <v>40</v>
      </c>
      <c r="R1254" t="s">
        <v>41</v>
      </c>
      <c r="S1254">
        <v>2975</v>
      </c>
      <c r="T1254" t="s">
        <v>70</v>
      </c>
      <c r="U1254" t="str">
        <f t="shared" si="19"/>
        <v>Pass</v>
      </c>
    </row>
    <row r="1255" spans="1:21">
      <c r="A1255" t="s">
        <v>2357</v>
      </c>
      <c r="B1255" t="s">
        <v>184</v>
      </c>
      <c r="C1255" t="s">
        <v>37</v>
      </c>
      <c r="D1255">
        <v>4</v>
      </c>
      <c r="E1255" t="s">
        <v>31</v>
      </c>
      <c r="F1255">
        <v>8</v>
      </c>
      <c r="G1255" t="s">
        <v>64</v>
      </c>
      <c r="H1255" t="s">
        <v>2358</v>
      </c>
      <c r="I1255">
        <v>66</v>
      </c>
      <c r="J1255">
        <v>36</v>
      </c>
      <c r="K1255">
        <v>81</v>
      </c>
      <c r="L1255">
        <v>97</v>
      </c>
      <c r="M1255">
        <v>45</v>
      </c>
      <c r="N1255">
        <v>71</v>
      </c>
      <c r="O1255">
        <v>330</v>
      </c>
      <c r="P1255">
        <v>66</v>
      </c>
      <c r="Q1255" t="s">
        <v>26</v>
      </c>
      <c r="R1255" t="s">
        <v>41</v>
      </c>
      <c r="S1255">
        <v>1587</v>
      </c>
      <c r="T1255" t="s">
        <v>34</v>
      </c>
      <c r="U1255" t="str">
        <f t="shared" si="19"/>
        <v>Pass</v>
      </c>
    </row>
    <row r="1256" spans="1:21">
      <c r="A1256" t="s">
        <v>2359</v>
      </c>
      <c r="B1256" t="s">
        <v>978</v>
      </c>
      <c r="C1256" t="s">
        <v>22</v>
      </c>
      <c r="D1256">
        <v>2</v>
      </c>
      <c r="E1256" t="s">
        <v>26</v>
      </c>
      <c r="F1256">
        <v>8</v>
      </c>
      <c r="G1256" t="s">
        <v>54</v>
      </c>
      <c r="H1256" t="s">
        <v>2360</v>
      </c>
      <c r="I1256">
        <v>68</v>
      </c>
      <c r="J1256">
        <v>85</v>
      </c>
      <c r="K1256">
        <v>98</v>
      </c>
      <c r="L1256">
        <v>38</v>
      </c>
      <c r="M1256">
        <v>60</v>
      </c>
      <c r="N1256">
        <v>86</v>
      </c>
      <c r="O1256">
        <v>367</v>
      </c>
      <c r="P1256">
        <v>73.400000000000006</v>
      </c>
      <c r="Q1256" t="s">
        <v>40</v>
      </c>
      <c r="R1256" t="s">
        <v>41</v>
      </c>
      <c r="S1256">
        <v>2576</v>
      </c>
      <c r="T1256" t="s">
        <v>42</v>
      </c>
      <c r="U1256" t="str">
        <f t="shared" si="19"/>
        <v>Pass</v>
      </c>
    </row>
    <row r="1257" spans="1:21">
      <c r="A1257" t="s">
        <v>2361</v>
      </c>
      <c r="B1257" t="s">
        <v>208</v>
      </c>
      <c r="C1257" t="s">
        <v>22</v>
      </c>
      <c r="D1257">
        <v>10</v>
      </c>
      <c r="E1257" t="s">
        <v>23</v>
      </c>
      <c r="F1257">
        <v>14</v>
      </c>
      <c r="G1257" t="s">
        <v>58</v>
      </c>
      <c r="H1257" t="s">
        <v>1181</v>
      </c>
      <c r="I1257">
        <v>90</v>
      </c>
      <c r="J1257">
        <v>42</v>
      </c>
      <c r="K1257">
        <v>49</v>
      </c>
      <c r="L1257">
        <v>71</v>
      </c>
      <c r="M1257">
        <v>98</v>
      </c>
      <c r="N1257">
        <v>85</v>
      </c>
      <c r="O1257">
        <v>345</v>
      </c>
      <c r="P1257">
        <v>69</v>
      </c>
      <c r="Q1257" t="s">
        <v>26</v>
      </c>
      <c r="R1257" t="s">
        <v>27</v>
      </c>
      <c r="S1257">
        <v>2181</v>
      </c>
      <c r="T1257" t="s">
        <v>28</v>
      </c>
      <c r="U1257" t="str">
        <f t="shared" si="19"/>
        <v>Pass</v>
      </c>
    </row>
    <row r="1258" spans="1:21">
      <c r="A1258" t="s">
        <v>2362</v>
      </c>
      <c r="B1258" t="s">
        <v>622</v>
      </c>
      <c r="C1258" t="s">
        <v>22</v>
      </c>
      <c r="D1258">
        <v>1</v>
      </c>
      <c r="E1258" t="s">
        <v>23</v>
      </c>
      <c r="F1258">
        <v>6</v>
      </c>
      <c r="G1258" t="s">
        <v>24</v>
      </c>
      <c r="H1258" t="s">
        <v>736</v>
      </c>
      <c r="I1258">
        <v>81</v>
      </c>
      <c r="J1258">
        <v>40</v>
      </c>
      <c r="K1258">
        <v>55</v>
      </c>
      <c r="L1258">
        <v>45</v>
      </c>
      <c r="M1258">
        <v>73</v>
      </c>
      <c r="N1258">
        <v>85</v>
      </c>
      <c r="O1258">
        <v>298</v>
      </c>
      <c r="P1258">
        <v>59.6</v>
      </c>
      <c r="Q1258" t="s">
        <v>31</v>
      </c>
      <c r="R1258" t="s">
        <v>41</v>
      </c>
      <c r="S1258">
        <v>3564</v>
      </c>
      <c r="T1258" t="s">
        <v>34</v>
      </c>
      <c r="U1258" t="str">
        <f t="shared" si="19"/>
        <v>Pass</v>
      </c>
    </row>
    <row r="1259" spans="1:21">
      <c r="A1259" t="s">
        <v>2363</v>
      </c>
      <c r="B1259" t="s">
        <v>1644</v>
      </c>
      <c r="C1259" t="s">
        <v>37</v>
      </c>
      <c r="D1259">
        <v>12</v>
      </c>
      <c r="E1259" t="s">
        <v>26</v>
      </c>
      <c r="F1259">
        <v>18</v>
      </c>
      <c r="G1259" t="s">
        <v>45</v>
      </c>
      <c r="H1259" t="s">
        <v>2266</v>
      </c>
      <c r="I1259">
        <v>72</v>
      </c>
      <c r="J1259">
        <v>99</v>
      </c>
      <c r="K1259">
        <v>36</v>
      </c>
      <c r="L1259">
        <v>37</v>
      </c>
      <c r="M1259">
        <v>76</v>
      </c>
      <c r="N1259">
        <v>97</v>
      </c>
      <c r="O1259">
        <v>345</v>
      </c>
      <c r="P1259">
        <v>69</v>
      </c>
      <c r="Q1259" t="s">
        <v>26</v>
      </c>
      <c r="R1259" t="s">
        <v>27</v>
      </c>
      <c r="S1259">
        <v>3193</v>
      </c>
      <c r="T1259" t="s">
        <v>48</v>
      </c>
      <c r="U1259" t="str">
        <f t="shared" si="19"/>
        <v>Pass</v>
      </c>
    </row>
    <row r="1260" spans="1:21">
      <c r="A1260" t="s">
        <v>2364</v>
      </c>
      <c r="B1260" t="s">
        <v>493</v>
      </c>
      <c r="C1260" t="s">
        <v>37</v>
      </c>
      <c r="D1260">
        <v>12</v>
      </c>
      <c r="E1260" t="s">
        <v>47</v>
      </c>
      <c r="F1260">
        <v>16</v>
      </c>
      <c r="G1260" t="s">
        <v>38</v>
      </c>
      <c r="H1260" t="s">
        <v>143</v>
      </c>
      <c r="I1260">
        <v>85</v>
      </c>
      <c r="J1260">
        <v>64</v>
      </c>
      <c r="K1260">
        <v>57</v>
      </c>
      <c r="L1260">
        <v>43</v>
      </c>
      <c r="M1260">
        <v>83</v>
      </c>
      <c r="N1260">
        <v>57</v>
      </c>
      <c r="O1260">
        <v>304</v>
      </c>
      <c r="P1260">
        <v>60.8</v>
      </c>
      <c r="Q1260" t="s">
        <v>26</v>
      </c>
      <c r="R1260" t="s">
        <v>27</v>
      </c>
      <c r="S1260">
        <v>4853</v>
      </c>
      <c r="T1260" t="s">
        <v>34</v>
      </c>
      <c r="U1260" t="str">
        <f t="shared" si="19"/>
        <v>Pass</v>
      </c>
    </row>
    <row r="1261" spans="1:21">
      <c r="A1261" t="s">
        <v>2365</v>
      </c>
      <c r="B1261" t="s">
        <v>126</v>
      </c>
      <c r="C1261" t="s">
        <v>37</v>
      </c>
      <c r="D1261">
        <v>4</v>
      </c>
      <c r="E1261" t="s">
        <v>47</v>
      </c>
      <c r="F1261">
        <v>9</v>
      </c>
      <c r="G1261" t="s">
        <v>54</v>
      </c>
      <c r="H1261" t="s">
        <v>2366</v>
      </c>
      <c r="I1261">
        <v>100</v>
      </c>
      <c r="J1261">
        <v>56</v>
      </c>
      <c r="K1261">
        <v>58</v>
      </c>
      <c r="L1261">
        <v>49</v>
      </c>
      <c r="M1261">
        <v>100</v>
      </c>
      <c r="N1261">
        <v>65</v>
      </c>
      <c r="O1261">
        <v>328</v>
      </c>
      <c r="P1261">
        <v>65.599999999999994</v>
      </c>
      <c r="Q1261" t="s">
        <v>26</v>
      </c>
      <c r="R1261" t="s">
        <v>27</v>
      </c>
      <c r="S1261">
        <v>2539</v>
      </c>
      <c r="T1261" t="s">
        <v>34</v>
      </c>
      <c r="U1261" t="str">
        <f t="shared" si="19"/>
        <v>Pass</v>
      </c>
    </row>
    <row r="1262" spans="1:21">
      <c r="A1262" t="s">
        <v>2367</v>
      </c>
      <c r="B1262" t="s">
        <v>175</v>
      </c>
      <c r="C1262" t="s">
        <v>22</v>
      </c>
      <c r="D1262">
        <v>4</v>
      </c>
      <c r="E1262" t="s">
        <v>26</v>
      </c>
      <c r="F1262">
        <v>8</v>
      </c>
      <c r="G1262" t="s">
        <v>38</v>
      </c>
      <c r="H1262" t="s">
        <v>1194</v>
      </c>
      <c r="I1262">
        <v>74</v>
      </c>
      <c r="J1262">
        <v>76</v>
      </c>
      <c r="K1262">
        <v>87</v>
      </c>
      <c r="L1262">
        <v>37</v>
      </c>
      <c r="M1262">
        <v>77</v>
      </c>
      <c r="N1262">
        <v>44</v>
      </c>
      <c r="O1262">
        <v>321</v>
      </c>
      <c r="P1262">
        <v>64.2</v>
      </c>
      <c r="Q1262" t="s">
        <v>26</v>
      </c>
      <c r="R1262" t="s">
        <v>41</v>
      </c>
      <c r="S1262">
        <v>2454</v>
      </c>
      <c r="T1262" t="s">
        <v>70</v>
      </c>
      <c r="U1262" t="str">
        <f t="shared" si="19"/>
        <v>Pass</v>
      </c>
    </row>
    <row r="1263" spans="1:21">
      <c r="A1263" t="s">
        <v>2368</v>
      </c>
      <c r="B1263" t="s">
        <v>236</v>
      </c>
      <c r="C1263" t="s">
        <v>22</v>
      </c>
      <c r="D1263">
        <v>5</v>
      </c>
      <c r="E1263" t="s">
        <v>26</v>
      </c>
      <c r="F1263">
        <v>11</v>
      </c>
      <c r="G1263" t="s">
        <v>58</v>
      </c>
      <c r="H1263" t="s">
        <v>2369</v>
      </c>
      <c r="I1263">
        <v>71</v>
      </c>
      <c r="J1263">
        <v>65</v>
      </c>
      <c r="K1263">
        <v>90</v>
      </c>
      <c r="L1263">
        <v>66</v>
      </c>
      <c r="M1263">
        <v>59</v>
      </c>
      <c r="N1263">
        <v>51</v>
      </c>
      <c r="O1263">
        <v>331</v>
      </c>
      <c r="P1263">
        <v>66.2</v>
      </c>
      <c r="Q1263" t="s">
        <v>26</v>
      </c>
      <c r="R1263" t="s">
        <v>27</v>
      </c>
      <c r="S1263">
        <v>4223</v>
      </c>
      <c r="T1263" t="s">
        <v>66</v>
      </c>
      <c r="U1263" t="str">
        <f t="shared" si="19"/>
        <v>Pass</v>
      </c>
    </row>
    <row r="1264" spans="1:21">
      <c r="A1264" t="s">
        <v>2370</v>
      </c>
      <c r="B1264" t="s">
        <v>145</v>
      </c>
      <c r="C1264" t="s">
        <v>37</v>
      </c>
      <c r="D1264">
        <v>10</v>
      </c>
      <c r="E1264" t="s">
        <v>26</v>
      </c>
      <c r="F1264">
        <v>16</v>
      </c>
      <c r="G1264" t="s">
        <v>64</v>
      </c>
      <c r="H1264" t="s">
        <v>2371</v>
      </c>
      <c r="I1264">
        <v>88</v>
      </c>
      <c r="J1264">
        <v>88</v>
      </c>
      <c r="K1264">
        <v>96</v>
      </c>
      <c r="L1264">
        <v>72</v>
      </c>
      <c r="M1264">
        <v>80</v>
      </c>
      <c r="N1264">
        <v>81</v>
      </c>
      <c r="O1264">
        <v>417</v>
      </c>
      <c r="P1264">
        <v>83.4</v>
      </c>
      <c r="Q1264" t="s">
        <v>47</v>
      </c>
      <c r="R1264" t="s">
        <v>27</v>
      </c>
      <c r="S1264">
        <v>1941</v>
      </c>
      <c r="T1264" t="s">
        <v>70</v>
      </c>
      <c r="U1264" t="str">
        <f t="shared" si="19"/>
        <v>Pass</v>
      </c>
    </row>
    <row r="1265" spans="1:21">
      <c r="A1265" t="s">
        <v>2372</v>
      </c>
      <c r="B1265" t="s">
        <v>579</v>
      </c>
      <c r="C1265" t="s">
        <v>22</v>
      </c>
      <c r="D1265">
        <v>5</v>
      </c>
      <c r="E1265" t="s">
        <v>23</v>
      </c>
      <c r="F1265">
        <v>11</v>
      </c>
      <c r="G1265" t="s">
        <v>58</v>
      </c>
      <c r="H1265" t="s">
        <v>731</v>
      </c>
      <c r="I1265">
        <v>94</v>
      </c>
      <c r="J1265">
        <v>90</v>
      </c>
      <c r="K1265">
        <v>54</v>
      </c>
      <c r="L1265">
        <v>56</v>
      </c>
      <c r="M1265">
        <v>88</v>
      </c>
      <c r="N1265">
        <v>86</v>
      </c>
      <c r="O1265">
        <v>374</v>
      </c>
      <c r="P1265">
        <v>74.8</v>
      </c>
      <c r="Q1265" t="s">
        <v>40</v>
      </c>
      <c r="R1265" t="s">
        <v>27</v>
      </c>
      <c r="S1265">
        <v>4262</v>
      </c>
      <c r="T1265" t="s">
        <v>66</v>
      </c>
      <c r="U1265" t="str">
        <f t="shared" si="19"/>
        <v>Pass</v>
      </c>
    </row>
    <row r="1266" spans="1:21">
      <c r="A1266" t="s">
        <v>2373</v>
      </c>
      <c r="B1266" t="s">
        <v>302</v>
      </c>
      <c r="C1266" t="s">
        <v>37</v>
      </c>
      <c r="D1266">
        <v>4</v>
      </c>
      <c r="E1266" t="s">
        <v>23</v>
      </c>
      <c r="F1266">
        <v>9</v>
      </c>
      <c r="G1266" t="s">
        <v>24</v>
      </c>
      <c r="H1266" t="s">
        <v>2012</v>
      </c>
      <c r="I1266">
        <v>70</v>
      </c>
      <c r="J1266">
        <v>56</v>
      </c>
      <c r="K1266">
        <v>69</v>
      </c>
      <c r="L1266">
        <v>87</v>
      </c>
      <c r="M1266">
        <v>79</v>
      </c>
      <c r="N1266">
        <v>45</v>
      </c>
      <c r="O1266">
        <v>336</v>
      </c>
      <c r="P1266">
        <v>67.2</v>
      </c>
      <c r="Q1266" t="s">
        <v>26</v>
      </c>
      <c r="R1266" t="s">
        <v>27</v>
      </c>
      <c r="S1266">
        <v>3208</v>
      </c>
      <c r="T1266" t="s">
        <v>70</v>
      </c>
      <c r="U1266" t="str">
        <f t="shared" si="19"/>
        <v>Pass</v>
      </c>
    </row>
    <row r="1267" spans="1:21">
      <c r="A1267" t="s">
        <v>2374</v>
      </c>
      <c r="B1267" t="s">
        <v>439</v>
      </c>
      <c r="C1267" t="s">
        <v>22</v>
      </c>
      <c r="D1267">
        <v>11</v>
      </c>
      <c r="E1267" t="s">
        <v>47</v>
      </c>
      <c r="F1267">
        <v>16</v>
      </c>
      <c r="G1267" t="s">
        <v>54</v>
      </c>
      <c r="H1267" t="s">
        <v>357</v>
      </c>
      <c r="I1267">
        <v>91</v>
      </c>
      <c r="J1267">
        <v>38</v>
      </c>
      <c r="K1267">
        <v>38</v>
      </c>
      <c r="L1267">
        <v>45</v>
      </c>
      <c r="M1267">
        <v>70</v>
      </c>
      <c r="N1267">
        <v>67</v>
      </c>
      <c r="O1267">
        <v>258</v>
      </c>
      <c r="P1267">
        <v>51.6</v>
      </c>
      <c r="Q1267" t="s">
        <v>31</v>
      </c>
      <c r="R1267" t="s">
        <v>41</v>
      </c>
      <c r="S1267">
        <v>4522</v>
      </c>
      <c r="T1267" t="s">
        <v>42</v>
      </c>
      <c r="U1267" t="str">
        <f t="shared" si="19"/>
        <v>Fail</v>
      </c>
    </row>
    <row r="1268" spans="1:21">
      <c r="A1268" t="s">
        <v>2375</v>
      </c>
      <c r="B1268" t="s">
        <v>123</v>
      </c>
      <c r="C1268" t="s">
        <v>22</v>
      </c>
      <c r="D1268">
        <v>9</v>
      </c>
      <c r="E1268" t="s">
        <v>23</v>
      </c>
      <c r="F1268">
        <v>13</v>
      </c>
      <c r="G1268" t="s">
        <v>54</v>
      </c>
      <c r="H1268" t="s">
        <v>1640</v>
      </c>
      <c r="I1268">
        <v>81</v>
      </c>
      <c r="J1268">
        <v>88</v>
      </c>
      <c r="K1268">
        <v>84</v>
      </c>
      <c r="L1268">
        <v>98</v>
      </c>
      <c r="M1268">
        <v>62</v>
      </c>
      <c r="N1268">
        <v>61</v>
      </c>
      <c r="O1268">
        <v>393</v>
      </c>
      <c r="P1268">
        <v>78.599999999999994</v>
      </c>
      <c r="Q1268" t="s">
        <v>40</v>
      </c>
      <c r="R1268" t="s">
        <v>27</v>
      </c>
      <c r="S1268">
        <v>3781</v>
      </c>
      <c r="T1268" t="s">
        <v>66</v>
      </c>
      <c r="U1268" t="str">
        <f t="shared" si="19"/>
        <v>Pass</v>
      </c>
    </row>
    <row r="1269" spans="1:21">
      <c r="A1269" t="s">
        <v>2376</v>
      </c>
      <c r="B1269" t="s">
        <v>190</v>
      </c>
      <c r="C1269" t="s">
        <v>37</v>
      </c>
      <c r="D1269">
        <v>1</v>
      </c>
      <c r="E1269" t="s">
        <v>23</v>
      </c>
      <c r="F1269">
        <v>6</v>
      </c>
      <c r="G1269" t="s">
        <v>58</v>
      </c>
      <c r="H1269" t="s">
        <v>2377</v>
      </c>
      <c r="I1269">
        <v>100</v>
      </c>
      <c r="J1269">
        <v>66</v>
      </c>
      <c r="K1269">
        <v>100</v>
      </c>
      <c r="L1269">
        <v>41</v>
      </c>
      <c r="M1269">
        <v>54</v>
      </c>
      <c r="N1269">
        <v>96</v>
      </c>
      <c r="O1269">
        <v>357</v>
      </c>
      <c r="P1269">
        <v>71.400000000000006</v>
      </c>
      <c r="Q1269" t="s">
        <v>40</v>
      </c>
      <c r="R1269" t="s">
        <v>27</v>
      </c>
      <c r="S1269">
        <v>4855</v>
      </c>
      <c r="T1269" t="s">
        <v>66</v>
      </c>
      <c r="U1269" t="str">
        <f t="shared" si="19"/>
        <v>Pass</v>
      </c>
    </row>
    <row r="1270" spans="1:21">
      <c r="A1270" t="s">
        <v>2378</v>
      </c>
      <c r="B1270" t="s">
        <v>75</v>
      </c>
      <c r="C1270" t="s">
        <v>37</v>
      </c>
      <c r="D1270">
        <v>3</v>
      </c>
      <c r="E1270" t="s">
        <v>31</v>
      </c>
      <c r="F1270">
        <v>9</v>
      </c>
      <c r="G1270" t="s">
        <v>45</v>
      </c>
      <c r="H1270" t="s">
        <v>2379</v>
      </c>
      <c r="I1270">
        <v>81</v>
      </c>
      <c r="J1270">
        <v>65</v>
      </c>
      <c r="K1270">
        <v>91</v>
      </c>
      <c r="L1270">
        <v>39</v>
      </c>
      <c r="M1270">
        <v>72</v>
      </c>
      <c r="N1270">
        <v>59</v>
      </c>
      <c r="O1270">
        <v>326</v>
      </c>
      <c r="P1270">
        <v>65.2</v>
      </c>
      <c r="Q1270" t="s">
        <v>26</v>
      </c>
      <c r="R1270" t="s">
        <v>27</v>
      </c>
      <c r="S1270">
        <v>2727</v>
      </c>
      <c r="T1270" t="s">
        <v>34</v>
      </c>
      <c r="U1270" t="str">
        <f t="shared" si="19"/>
        <v>Pass</v>
      </c>
    </row>
    <row r="1271" spans="1:21">
      <c r="A1271" t="s">
        <v>2380</v>
      </c>
      <c r="B1271" t="s">
        <v>322</v>
      </c>
      <c r="C1271" t="s">
        <v>37</v>
      </c>
      <c r="D1271">
        <v>10</v>
      </c>
      <c r="E1271" t="s">
        <v>26</v>
      </c>
      <c r="F1271">
        <v>16</v>
      </c>
      <c r="G1271" t="s">
        <v>38</v>
      </c>
      <c r="H1271" t="s">
        <v>2328</v>
      </c>
      <c r="I1271">
        <v>69</v>
      </c>
      <c r="J1271">
        <v>88</v>
      </c>
      <c r="K1271">
        <v>88</v>
      </c>
      <c r="L1271">
        <v>60</v>
      </c>
      <c r="M1271">
        <v>52</v>
      </c>
      <c r="N1271">
        <v>93</v>
      </c>
      <c r="O1271">
        <v>381</v>
      </c>
      <c r="P1271">
        <v>76.2</v>
      </c>
      <c r="Q1271" t="s">
        <v>40</v>
      </c>
      <c r="R1271" t="s">
        <v>41</v>
      </c>
      <c r="S1271">
        <v>4591</v>
      </c>
      <c r="T1271" t="s">
        <v>34</v>
      </c>
      <c r="U1271" t="str">
        <f t="shared" si="19"/>
        <v>Pass</v>
      </c>
    </row>
    <row r="1272" spans="1:21">
      <c r="A1272" t="s">
        <v>2381</v>
      </c>
      <c r="B1272" t="s">
        <v>187</v>
      </c>
      <c r="C1272" t="s">
        <v>22</v>
      </c>
      <c r="D1272">
        <v>8</v>
      </c>
      <c r="E1272" t="s">
        <v>31</v>
      </c>
      <c r="F1272">
        <v>12</v>
      </c>
      <c r="G1272" t="s">
        <v>45</v>
      </c>
      <c r="H1272" t="s">
        <v>1757</v>
      </c>
      <c r="I1272">
        <v>90</v>
      </c>
      <c r="J1272">
        <v>65</v>
      </c>
      <c r="K1272">
        <v>35</v>
      </c>
      <c r="L1272">
        <v>60</v>
      </c>
      <c r="M1272">
        <v>60</v>
      </c>
      <c r="N1272">
        <v>41</v>
      </c>
      <c r="O1272">
        <v>261</v>
      </c>
      <c r="P1272">
        <v>52.2</v>
      </c>
      <c r="Q1272" t="s">
        <v>31</v>
      </c>
      <c r="R1272" t="s">
        <v>41</v>
      </c>
      <c r="S1272">
        <v>2030</v>
      </c>
      <c r="T1272" t="s">
        <v>42</v>
      </c>
      <c r="U1272" t="str">
        <f t="shared" si="19"/>
        <v>Fail</v>
      </c>
    </row>
    <row r="1273" spans="1:21">
      <c r="A1273" t="s">
        <v>2382</v>
      </c>
      <c r="B1273" t="s">
        <v>767</v>
      </c>
      <c r="C1273" t="s">
        <v>22</v>
      </c>
      <c r="D1273">
        <v>6</v>
      </c>
      <c r="E1273" t="s">
        <v>23</v>
      </c>
      <c r="F1273">
        <v>11</v>
      </c>
      <c r="G1273" t="s">
        <v>32</v>
      </c>
      <c r="H1273" t="s">
        <v>2111</v>
      </c>
      <c r="I1273">
        <v>62</v>
      </c>
      <c r="J1273">
        <v>79</v>
      </c>
      <c r="K1273">
        <v>76</v>
      </c>
      <c r="L1273">
        <v>94</v>
      </c>
      <c r="M1273">
        <v>89</v>
      </c>
      <c r="N1273">
        <v>94</v>
      </c>
      <c r="O1273">
        <v>432</v>
      </c>
      <c r="P1273">
        <v>86.4</v>
      </c>
      <c r="Q1273" t="s">
        <v>47</v>
      </c>
      <c r="R1273" t="s">
        <v>41</v>
      </c>
      <c r="S1273">
        <v>3778</v>
      </c>
      <c r="T1273" t="s">
        <v>70</v>
      </c>
      <c r="U1273" t="str">
        <f t="shared" si="19"/>
        <v>Pass</v>
      </c>
    </row>
    <row r="1274" spans="1:21">
      <c r="A1274" t="s">
        <v>2383</v>
      </c>
      <c r="B1274" t="s">
        <v>798</v>
      </c>
      <c r="C1274" t="s">
        <v>22</v>
      </c>
      <c r="D1274">
        <v>7</v>
      </c>
      <c r="E1274" t="s">
        <v>31</v>
      </c>
      <c r="F1274">
        <v>13</v>
      </c>
      <c r="G1274" t="s">
        <v>24</v>
      </c>
      <c r="H1274" t="s">
        <v>2247</v>
      </c>
      <c r="I1274">
        <v>84</v>
      </c>
      <c r="J1274">
        <v>64</v>
      </c>
      <c r="K1274">
        <v>87</v>
      </c>
      <c r="L1274">
        <v>55</v>
      </c>
      <c r="M1274">
        <v>37</v>
      </c>
      <c r="N1274">
        <v>88</v>
      </c>
      <c r="O1274">
        <v>331</v>
      </c>
      <c r="P1274">
        <v>66.2</v>
      </c>
      <c r="Q1274" t="s">
        <v>26</v>
      </c>
      <c r="R1274" t="s">
        <v>41</v>
      </c>
      <c r="S1274">
        <v>2268</v>
      </c>
      <c r="T1274" t="s">
        <v>66</v>
      </c>
      <c r="U1274" t="str">
        <f t="shared" si="19"/>
        <v>Pass</v>
      </c>
    </row>
    <row r="1275" spans="1:21">
      <c r="A1275" t="s">
        <v>2384</v>
      </c>
      <c r="B1275" t="s">
        <v>93</v>
      </c>
      <c r="C1275" t="s">
        <v>37</v>
      </c>
      <c r="D1275">
        <v>8</v>
      </c>
      <c r="E1275" t="s">
        <v>47</v>
      </c>
      <c r="F1275">
        <v>12</v>
      </c>
      <c r="G1275" t="s">
        <v>58</v>
      </c>
      <c r="H1275" t="s">
        <v>94</v>
      </c>
      <c r="I1275">
        <v>99</v>
      </c>
      <c r="J1275">
        <v>75</v>
      </c>
      <c r="K1275">
        <v>48</v>
      </c>
      <c r="L1275">
        <v>95</v>
      </c>
      <c r="M1275">
        <v>56</v>
      </c>
      <c r="N1275">
        <v>87</v>
      </c>
      <c r="O1275">
        <v>361</v>
      </c>
      <c r="P1275">
        <v>72.2</v>
      </c>
      <c r="Q1275" t="s">
        <v>40</v>
      </c>
      <c r="R1275" t="s">
        <v>27</v>
      </c>
      <c r="S1275">
        <v>4133</v>
      </c>
      <c r="T1275" t="s">
        <v>42</v>
      </c>
      <c r="U1275" t="str">
        <f t="shared" si="19"/>
        <v>Pass</v>
      </c>
    </row>
    <row r="1276" spans="1:21">
      <c r="A1276" t="s">
        <v>2385</v>
      </c>
      <c r="B1276" t="s">
        <v>579</v>
      </c>
      <c r="C1276" t="s">
        <v>37</v>
      </c>
      <c r="D1276">
        <v>11</v>
      </c>
      <c r="E1276" t="s">
        <v>26</v>
      </c>
      <c r="F1276">
        <v>15</v>
      </c>
      <c r="G1276" t="s">
        <v>45</v>
      </c>
      <c r="H1276" t="s">
        <v>749</v>
      </c>
      <c r="I1276">
        <v>97</v>
      </c>
      <c r="J1276">
        <v>69</v>
      </c>
      <c r="K1276">
        <v>53</v>
      </c>
      <c r="L1276">
        <v>100</v>
      </c>
      <c r="M1276">
        <v>86</v>
      </c>
      <c r="N1276">
        <v>63</v>
      </c>
      <c r="O1276">
        <v>371</v>
      </c>
      <c r="P1276">
        <v>74.2</v>
      </c>
      <c r="Q1276" t="s">
        <v>40</v>
      </c>
      <c r="R1276" t="s">
        <v>41</v>
      </c>
      <c r="S1276">
        <v>1972</v>
      </c>
      <c r="T1276" t="s">
        <v>66</v>
      </c>
      <c r="U1276" t="str">
        <f t="shared" si="19"/>
        <v>Pass</v>
      </c>
    </row>
    <row r="1277" spans="1:21">
      <c r="A1277" t="s">
        <v>2386</v>
      </c>
      <c r="B1277" t="s">
        <v>258</v>
      </c>
      <c r="C1277" t="s">
        <v>37</v>
      </c>
      <c r="D1277">
        <v>2</v>
      </c>
      <c r="E1277" t="s">
        <v>31</v>
      </c>
      <c r="F1277">
        <v>8</v>
      </c>
      <c r="G1277" t="s">
        <v>32</v>
      </c>
      <c r="H1277" t="s">
        <v>270</v>
      </c>
      <c r="I1277">
        <v>87</v>
      </c>
      <c r="J1277">
        <v>89</v>
      </c>
      <c r="K1277">
        <v>93</v>
      </c>
      <c r="L1277">
        <v>47</v>
      </c>
      <c r="M1277">
        <v>39</v>
      </c>
      <c r="N1277">
        <v>91</v>
      </c>
      <c r="O1277">
        <v>359</v>
      </c>
      <c r="P1277">
        <v>71.8</v>
      </c>
      <c r="Q1277" t="s">
        <v>40</v>
      </c>
      <c r="R1277" t="s">
        <v>27</v>
      </c>
      <c r="S1277">
        <v>1991</v>
      </c>
      <c r="T1277" t="s">
        <v>66</v>
      </c>
      <c r="U1277" t="str">
        <f t="shared" si="19"/>
        <v>Pass</v>
      </c>
    </row>
    <row r="1278" spans="1:21">
      <c r="A1278" t="s">
        <v>2387</v>
      </c>
      <c r="B1278" t="s">
        <v>555</v>
      </c>
      <c r="C1278" t="s">
        <v>22</v>
      </c>
      <c r="D1278">
        <v>10</v>
      </c>
      <c r="E1278" t="s">
        <v>31</v>
      </c>
      <c r="F1278">
        <v>14</v>
      </c>
      <c r="G1278" t="s">
        <v>54</v>
      </c>
      <c r="H1278" t="s">
        <v>871</v>
      </c>
      <c r="I1278">
        <v>92</v>
      </c>
      <c r="J1278">
        <v>97</v>
      </c>
      <c r="K1278">
        <v>52</v>
      </c>
      <c r="L1278">
        <v>100</v>
      </c>
      <c r="M1278">
        <v>91</v>
      </c>
      <c r="N1278">
        <v>76</v>
      </c>
      <c r="O1278">
        <v>416</v>
      </c>
      <c r="P1278">
        <v>83.2</v>
      </c>
      <c r="Q1278" t="s">
        <v>47</v>
      </c>
      <c r="R1278" t="s">
        <v>41</v>
      </c>
      <c r="S1278">
        <v>1910</v>
      </c>
      <c r="T1278" t="s">
        <v>34</v>
      </c>
      <c r="U1278" t="str">
        <f t="shared" si="19"/>
        <v>Pass</v>
      </c>
    </row>
    <row r="1279" spans="1:21">
      <c r="A1279" t="s">
        <v>2388</v>
      </c>
      <c r="B1279" t="s">
        <v>211</v>
      </c>
      <c r="C1279" t="s">
        <v>22</v>
      </c>
      <c r="D1279">
        <v>12</v>
      </c>
      <c r="E1279" t="s">
        <v>31</v>
      </c>
      <c r="F1279">
        <v>16</v>
      </c>
      <c r="G1279" t="s">
        <v>38</v>
      </c>
      <c r="H1279" t="s">
        <v>757</v>
      </c>
      <c r="I1279">
        <v>93</v>
      </c>
      <c r="J1279">
        <v>46</v>
      </c>
      <c r="K1279">
        <v>56</v>
      </c>
      <c r="L1279">
        <v>73</v>
      </c>
      <c r="M1279">
        <v>73</v>
      </c>
      <c r="N1279">
        <v>89</v>
      </c>
      <c r="O1279">
        <v>337</v>
      </c>
      <c r="P1279">
        <v>67.400000000000006</v>
      </c>
      <c r="Q1279" t="s">
        <v>26</v>
      </c>
      <c r="R1279" t="s">
        <v>27</v>
      </c>
      <c r="S1279">
        <v>2500</v>
      </c>
      <c r="T1279" t="s">
        <v>42</v>
      </c>
      <c r="U1279" t="str">
        <f t="shared" si="19"/>
        <v>Pass</v>
      </c>
    </row>
    <row r="1280" spans="1:21">
      <c r="A1280" t="s">
        <v>2389</v>
      </c>
      <c r="B1280" t="s">
        <v>178</v>
      </c>
      <c r="C1280" t="s">
        <v>22</v>
      </c>
      <c r="D1280">
        <v>7</v>
      </c>
      <c r="E1280" t="s">
        <v>31</v>
      </c>
      <c r="F1280">
        <v>12</v>
      </c>
      <c r="G1280" t="s">
        <v>32</v>
      </c>
      <c r="H1280" t="s">
        <v>1315</v>
      </c>
      <c r="I1280">
        <v>85</v>
      </c>
      <c r="J1280">
        <v>91</v>
      </c>
      <c r="K1280">
        <v>59</v>
      </c>
      <c r="L1280">
        <v>49</v>
      </c>
      <c r="M1280">
        <v>59</v>
      </c>
      <c r="N1280">
        <v>47</v>
      </c>
      <c r="O1280">
        <v>305</v>
      </c>
      <c r="P1280">
        <v>61</v>
      </c>
      <c r="Q1280" t="s">
        <v>26</v>
      </c>
      <c r="R1280" t="s">
        <v>41</v>
      </c>
      <c r="S1280">
        <v>3793</v>
      </c>
      <c r="T1280" t="s">
        <v>42</v>
      </c>
      <c r="U1280" t="str">
        <f t="shared" si="19"/>
        <v>Pass</v>
      </c>
    </row>
    <row r="1281" spans="1:21">
      <c r="A1281" t="s">
        <v>2390</v>
      </c>
      <c r="B1281" t="s">
        <v>211</v>
      </c>
      <c r="C1281" t="s">
        <v>37</v>
      </c>
      <c r="D1281">
        <v>7</v>
      </c>
      <c r="E1281" t="s">
        <v>26</v>
      </c>
      <c r="F1281">
        <v>12</v>
      </c>
      <c r="G1281" t="s">
        <v>45</v>
      </c>
      <c r="H1281" t="s">
        <v>890</v>
      </c>
      <c r="I1281">
        <v>74</v>
      </c>
      <c r="J1281">
        <v>75</v>
      </c>
      <c r="K1281">
        <v>70</v>
      </c>
      <c r="L1281">
        <v>71</v>
      </c>
      <c r="M1281">
        <v>95</v>
      </c>
      <c r="N1281">
        <v>56</v>
      </c>
      <c r="O1281">
        <v>367</v>
      </c>
      <c r="P1281">
        <v>73.400000000000006</v>
      </c>
      <c r="Q1281" t="s">
        <v>40</v>
      </c>
      <c r="R1281" t="s">
        <v>27</v>
      </c>
      <c r="S1281">
        <v>3722</v>
      </c>
      <c r="T1281" t="s">
        <v>42</v>
      </c>
      <c r="U1281" t="str">
        <f t="shared" si="19"/>
        <v>Pass</v>
      </c>
    </row>
    <row r="1282" spans="1:21">
      <c r="A1282" t="s">
        <v>2391</v>
      </c>
      <c r="B1282" t="s">
        <v>148</v>
      </c>
      <c r="C1282" t="s">
        <v>37</v>
      </c>
      <c r="D1282">
        <v>10</v>
      </c>
      <c r="E1282" t="s">
        <v>31</v>
      </c>
      <c r="F1282">
        <v>14</v>
      </c>
      <c r="G1282" t="s">
        <v>58</v>
      </c>
      <c r="H1282" t="s">
        <v>1688</v>
      </c>
      <c r="I1282">
        <v>62</v>
      </c>
      <c r="J1282">
        <v>35</v>
      </c>
      <c r="K1282">
        <v>49</v>
      </c>
      <c r="L1282">
        <v>72</v>
      </c>
      <c r="M1282">
        <v>80</v>
      </c>
      <c r="N1282">
        <v>53</v>
      </c>
      <c r="O1282">
        <v>289</v>
      </c>
      <c r="P1282">
        <v>57.8</v>
      </c>
      <c r="Q1282" t="s">
        <v>31</v>
      </c>
      <c r="R1282" t="s">
        <v>27</v>
      </c>
      <c r="S1282">
        <v>1654</v>
      </c>
      <c r="T1282" t="s">
        <v>28</v>
      </c>
      <c r="U1282" t="str">
        <f t="shared" si="19"/>
        <v>Pass</v>
      </c>
    </row>
    <row r="1283" spans="1:21">
      <c r="A1283" t="s">
        <v>2392</v>
      </c>
      <c r="B1283" t="s">
        <v>50</v>
      </c>
      <c r="C1283" t="s">
        <v>22</v>
      </c>
      <c r="D1283">
        <v>12</v>
      </c>
      <c r="E1283" t="s">
        <v>23</v>
      </c>
      <c r="F1283">
        <v>18</v>
      </c>
      <c r="G1283" t="s">
        <v>64</v>
      </c>
      <c r="H1283" t="s">
        <v>2393</v>
      </c>
      <c r="I1283">
        <v>76</v>
      </c>
      <c r="J1283">
        <v>94</v>
      </c>
      <c r="K1283">
        <v>76</v>
      </c>
      <c r="L1283">
        <v>86</v>
      </c>
      <c r="M1283">
        <v>100</v>
      </c>
      <c r="N1283">
        <v>67</v>
      </c>
      <c r="O1283">
        <v>423</v>
      </c>
      <c r="P1283">
        <v>84.6</v>
      </c>
      <c r="Q1283" t="s">
        <v>47</v>
      </c>
      <c r="R1283" t="s">
        <v>41</v>
      </c>
      <c r="S1283">
        <v>4536</v>
      </c>
      <c r="T1283" t="s">
        <v>28</v>
      </c>
      <c r="U1283" t="str">
        <f t="shared" ref="U1283:U1346" si="20">IF(P1283&gt;55,"Pass","Fail")</f>
        <v>Pass</v>
      </c>
    </row>
    <row r="1284" spans="1:21">
      <c r="A1284" t="s">
        <v>2394</v>
      </c>
      <c r="B1284" t="s">
        <v>329</v>
      </c>
      <c r="C1284" t="s">
        <v>22</v>
      </c>
      <c r="D1284">
        <v>8</v>
      </c>
      <c r="E1284" t="s">
        <v>23</v>
      </c>
      <c r="F1284">
        <v>14</v>
      </c>
      <c r="G1284" t="s">
        <v>32</v>
      </c>
      <c r="H1284" t="s">
        <v>1136</v>
      </c>
      <c r="I1284">
        <v>81</v>
      </c>
      <c r="J1284">
        <v>68</v>
      </c>
      <c r="K1284">
        <v>99</v>
      </c>
      <c r="L1284">
        <v>89</v>
      </c>
      <c r="M1284">
        <v>67</v>
      </c>
      <c r="N1284">
        <v>47</v>
      </c>
      <c r="O1284">
        <v>370</v>
      </c>
      <c r="P1284">
        <v>74</v>
      </c>
      <c r="Q1284" t="s">
        <v>40</v>
      </c>
      <c r="R1284" t="s">
        <v>41</v>
      </c>
      <c r="S1284">
        <v>2614</v>
      </c>
      <c r="T1284" t="s">
        <v>34</v>
      </c>
      <c r="U1284" t="str">
        <f t="shared" si="20"/>
        <v>Pass</v>
      </c>
    </row>
    <row r="1285" spans="1:21">
      <c r="A1285" t="s">
        <v>2395</v>
      </c>
      <c r="B1285" t="s">
        <v>208</v>
      </c>
      <c r="C1285" t="s">
        <v>37</v>
      </c>
      <c r="D1285">
        <v>3</v>
      </c>
      <c r="E1285" t="s">
        <v>23</v>
      </c>
      <c r="F1285">
        <v>7</v>
      </c>
      <c r="G1285" t="s">
        <v>64</v>
      </c>
      <c r="H1285" t="s">
        <v>2396</v>
      </c>
      <c r="I1285">
        <v>75</v>
      </c>
      <c r="J1285">
        <v>60</v>
      </c>
      <c r="K1285">
        <v>79</v>
      </c>
      <c r="L1285">
        <v>65</v>
      </c>
      <c r="M1285">
        <v>89</v>
      </c>
      <c r="N1285">
        <v>51</v>
      </c>
      <c r="O1285">
        <v>344</v>
      </c>
      <c r="P1285">
        <v>68.8</v>
      </c>
      <c r="Q1285" t="s">
        <v>26</v>
      </c>
      <c r="R1285" t="s">
        <v>27</v>
      </c>
      <c r="S1285">
        <v>1886</v>
      </c>
      <c r="T1285" t="s">
        <v>70</v>
      </c>
      <c r="U1285" t="str">
        <f t="shared" si="20"/>
        <v>Pass</v>
      </c>
    </row>
    <row r="1286" spans="1:21">
      <c r="A1286" t="s">
        <v>2397</v>
      </c>
      <c r="B1286" t="s">
        <v>231</v>
      </c>
      <c r="C1286" t="s">
        <v>22</v>
      </c>
      <c r="D1286">
        <v>10</v>
      </c>
      <c r="E1286" t="s">
        <v>31</v>
      </c>
      <c r="F1286">
        <v>15</v>
      </c>
      <c r="G1286" t="s">
        <v>24</v>
      </c>
      <c r="H1286" t="s">
        <v>338</v>
      </c>
      <c r="I1286">
        <v>95</v>
      </c>
      <c r="J1286">
        <v>37</v>
      </c>
      <c r="K1286">
        <v>56</v>
      </c>
      <c r="L1286">
        <v>77</v>
      </c>
      <c r="M1286">
        <v>45</v>
      </c>
      <c r="N1286">
        <v>39</v>
      </c>
      <c r="O1286">
        <v>254</v>
      </c>
      <c r="P1286">
        <v>50.8</v>
      </c>
      <c r="Q1286" t="s">
        <v>31</v>
      </c>
      <c r="R1286" t="s">
        <v>41</v>
      </c>
      <c r="S1286">
        <v>2748</v>
      </c>
      <c r="T1286" t="s">
        <v>42</v>
      </c>
      <c r="U1286" t="str">
        <f t="shared" si="20"/>
        <v>Fail</v>
      </c>
    </row>
    <row r="1287" spans="1:21">
      <c r="A1287" t="s">
        <v>2398</v>
      </c>
      <c r="B1287" t="s">
        <v>68</v>
      </c>
      <c r="C1287" t="s">
        <v>37</v>
      </c>
      <c r="D1287">
        <v>9</v>
      </c>
      <c r="E1287" t="s">
        <v>47</v>
      </c>
      <c r="F1287">
        <v>15</v>
      </c>
      <c r="G1287" t="s">
        <v>58</v>
      </c>
      <c r="H1287" t="s">
        <v>1404</v>
      </c>
      <c r="I1287">
        <v>71</v>
      </c>
      <c r="J1287">
        <v>39</v>
      </c>
      <c r="K1287">
        <v>57</v>
      </c>
      <c r="L1287">
        <v>61</v>
      </c>
      <c r="M1287">
        <v>66</v>
      </c>
      <c r="N1287">
        <v>89</v>
      </c>
      <c r="O1287">
        <v>312</v>
      </c>
      <c r="P1287">
        <v>62.4</v>
      </c>
      <c r="Q1287" t="s">
        <v>26</v>
      </c>
      <c r="R1287" t="s">
        <v>41</v>
      </c>
      <c r="S1287">
        <v>4842</v>
      </c>
      <c r="T1287" t="s">
        <v>34</v>
      </c>
      <c r="U1287" t="str">
        <f t="shared" si="20"/>
        <v>Pass</v>
      </c>
    </row>
    <row r="1288" spans="1:21">
      <c r="A1288" t="s">
        <v>2399</v>
      </c>
      <c r="B1288" t="s">
        <v>305</v>
      </c>
      <c r="C1288" t="s">
        <v>22</v>
      </c>
      <c r="D1288">
        <v>7</v>
      </c>
      <c r="E1288" t="s">
        <v>47</v>
      </c>
      <c r="F1288">
        <v>12</v>
      </c>
      <c r="G1288" t="s">
        <v>45</v>
      </c>
      <c r="H1288" t="s">
        <v>2400</v>
      </c>
      <c r="I1288">
        <v>69</v>
      </c>
      <c r="J1288">
        <v>59</v>
      </c>
      <c r="K1288">
        <v>55</v>
      </c>
      <c r="L1288">
        <v>71</v>
      </c>
      <c r="M1288">
        <v>95</v>
      </c>
      <c r="N1288">
        <v>66</v>
      </c>
      <c r="O1288">
        <v>346</v>
      </c>
      <c r="P1288">
        <v>69.2</v>
      </c>
      <c r="Q1288" t="s">
        <v>26</v>
      </c>
      <c r="R1288" t="s">
        <v>41</v>
      </c>
      <c r="S1288">
        <v>2071</v>
      </c>
      <c r="T1288" t="s">
        <v>66</v>
      </c>
      <c r="U1288" t="str">
        <f t="shared" si="20"/>
        <v>Pass</v>
      </c>
    </row>
    <row r="1289" spans="1:21">
      <c r="A1289" t="s">
        <v>2401</v>
      </c>
      <c r="B1289" t="s">
        <v>378</v>
      </c>
      <c r="C1289" t="s">
        <v>37</v>
      </c>
      <c r="D1289">
        <v>9</v>
      </c>
      <c r="E1289" t="s">
        <v>31</v>
      </c>
      <c r="F1289">
        <v>13</v>
      </c>
      <c r="G1289" t="s">
        <v>54</v>
      </c>
      <c r="H1289" t="s">
        <v>2402</v>
      </c>
      <c r="I1289">
        <v>86</v>
      </c>
      <c r="J1289">
        <v>71</v>
      </c>
      <c r="K1289">
        <v>88</v>
      </c>
      <c r="L1289">
        <v>87</v>
      </c>
      <c r="M1289">
        <v>36</v>
      </c>
      <c r="N1289">
        <v>56</v>
      </c>
      <c r="O1289">
        <v>338</v>
      </c>
      <c r="P1289">
        <v>67.599999999999994</v>
      </c>
      <c r="Q1289" t="s">
        <v>26</v>
      </c>
      <c r="R1289" t="s">
        <v>41</v>
      </c>
      <c r="S1289">
        <v>3112</v>
      </c>
      <c r="T1289" t="s">
        <v>42</v>
      </c>
      <c r="U1289" t="str">
        <f t="shared" si="20"/>
        <v>Pass</v>
      </c>
    </row>
    <row r="1290" spans="1:21">
      <c r="A1290" t="s">
        <v>2403</v>
      </c>
      <c r="B1290" t="s">
        <v>319</v>
      </c>
      <c r="C1290" t="s">
        <v>22</v>
      </c>
      <c r="D1290">
        <v>11</v>
      </c>
      <c r="E1290" t="s">
        <v>47</v>
      </c>
      <c r="F1290">
        <v>17</v>
      </c>
      <c r="G1290" t="s">
        <v>45</v>
      </c>
      <c r="H1290" t="s">
        <v>2404</v>
      </c>
      <c r="I1290">
        <v>86</v>
      </c>
      <c r="J1290">
        <v>95</v>
      </c>
      <c r="K1290">
        <v>93</v>
      </c>
      <c r="L1290">
        <v>60</v>
      </c>
      <c r="M1290">
        <v>99</v>
      </c>
      <c r="N1290">
        <v>79</v>
      </c>
      <c r="O1290">
        <v>426</v>
      </c>
      <c r="P1290">
        <v>85.2</v>
      </c>
      <c r="Q1290" t="s">
        <v>47</v>
      </c>
      <c r="R1290" t="s">
        <v>41</v>
      </c>
      <c r="S1290">
        <v>3835</v>
      </c>
      <c r="T1290" t="s">
        <v>28</v>
      </c>
      <c r="U1290" t="str">
        <f t="shared" si="20"/>
        <v>Pass</v>
      </c>
    </row>
    <row r="1291" spans="1:21">
      <c r="A1291" t="s">
        <v>2405</v>
      </c>
      <c r="B1291" t="s">
        <v>199</v>
      </c>
      <c r="C1291" t="s">
        <v>37</v>
      </c>
      <c r="D1291">
        <v>12</v>
      </c>
      <c r="E1291" t="s">
        <v>26</v>
      </c>
      <c r="F1291">
        <v>17</v>
      </c>
      <c r="G1291" t="s">
        <v>64</v>
      </c>
      <c r="H1291" t="s">
        <v>2406</v>
      </c>
      <c r="I1291">
        <v>91</v>
      </c>
      <c r="J1291">
        <v>80</v>
      </c>
      <c r="K1291">
        <v>59</v>
      </c>
      <c r="L1291">
        <v>76</v>
      </c>
      <c r="M1291">
        <v>44</v>
      </c>
      <c r="N1291">
        <v>92</v>
      </c>
      <c r="O1291">
        <v>351</v>
      </c>
      <c r="P1291">
        <v>70.2</v>
      </c>
      <c r="Q1291" t="s">
        <v>40</v>
      </c>
      <c r="R1291" t="s">
        <v>27</v>
      </c>
      <c r="S1291">
        <v>3220</v>
      </c>
      <c r="T1291" t="s">
        <v>70</v>
      </c>
      <c r="U1291" t="str">
        <f t="shared" si="20"/>
        <v>Pass</v>
      </c>
    </row>
    <row r="1292" spans="1:21">
      <c r="A1292" t="s">
        <v>2407</v>
      </c>
      <c r="B1292" t="s">
        <v>61</v>
      </c>
      <c r="C1292" t="s">
        <v>22</v>
      </c>
      <c r="D1292">
        <v>3</v>
      </c>
      <c r="E1292" t="s">
        <v>23</v>
      </c>
      <c r="F1292">
        <v>9</v>
      </c>
      <c r="G1292" t="s">
        <v>38</v>
      </c>
      <c r="H1292" t="s">
        <v>33</v>
      </c>
      <c r="I1292">
        <v>90</v>
      </c>
      <c r="J1292">
        <v>65</v>
      </c>
      <c r="K1292">
        <v>49</v>
      </c>
      <c r="L1292">
        <v>37</v>
      </c>
      <c r="M1292">
        <v>80</v>
      </c>
      <c r="N1292">
        <v>68</v>
      </c>
      <c r="O1292">
        <v>299</v>
      </c>
      <c r="P1292">
        <v>59.8</v>
      </c>
      <c r="Q1292" t="s">
        <v>31</v>
      </c>
      <c r="R1292" t="s">
        <v>27</v>
      </c>
      <c r="S1292">
        <v>1583</v>
      </c>
      <c r="T1292" t="s">
        <v>70</v>
      </c>
      <c r="U1292" t="str">
        <f t="shared" si="20"/>
        <v>Pass</v>
      </c>
    </row>
    <row r="1293" spans="1:21">
      <c r="A1293" t="s">
        <v>2408</v>
      </c>
      <c r="B1293" t="s">
        <v>555</v>
      </c>
      <c r="C1293" t="s">
        <v>22</v>
      </c>
      <c r="D1293">
        <v>1</v>
      </c>
      <c r="E1293" t="s">
        <v>47</v>
      </c>
      <c r="F1293">
        <v>7</v>
      </c>
      <c r="G1293" t="s">
        <v>64</v>
      </c>
      <c r="H1293" t="s">
        <v>2409</v>
      </c>
      <c r="I1293">
        <v>69</v>
      </c>
      <c r="J1293">
        <v>92</v>
      </c>
      <c r="K1293">
        <v>54</v>
      </c>
      <c r="L1293">
        <v>90</v>
      </c>
      <c r="M1293">
        <v>88</v>
      </c>
      <c r="N1293">
        <v>54</v>
      </c>
      <c r="O1293">
        <v>378</v>
      </c>
      <c r="P1293">
        <v>75.599999999999994</v>
      </c>
      <c r="Q1293" t="s">
        <v>40</v>
      </c>
      <c r="R1293" t="s">
        <v>41</v>
      </c>
      <c r="S1293">
        <v>4778</v>
      </c>
      <c r="T1293" t="s">
        <v>70</v>
      </c>
      <c r="U1293" t="str">
        <f t="shared" si="20"/>
        <v>Pass</v>
      </c>
    </row>
    <row r="1294" spans="1:21">
      <c r="A1294" t="s">
        <v>2410</v>
      </c>
      <c r="B1294" t="s">
        <v>884</v>
      </c>
      <c r="C1294" t="s">
        <v>37</v>
      </c>
      <c r="D1294">
        <v>6</v>
      </c>
      <c r="E1294" t="s">
        <v>26</v>
      </c>
      <c r="F1294">
        <v>12</v>
      </c>
      <c r="G1294" t="s">
        <v>58</v>
      </c>
      <c r="H1294" t="s">
        <v>2411</v>
      </c>
      <c r="I1294">
        <v>100</v>
      </c>
      <c r="J1294">
        <v>99</v>
      </c>
      <c r="K1294">
        <v>59</v>
      </c>
      <c r="L1294">
        <v>79</v>
      </c>
      <c r="M1294">
        <v>82</v>
      </c>
      <c r="N1294">
        <v>47</v>
      </c>
      <c r="O1294">
        <v>366</v>
      </c>
      <c r="P1294">
        <v>73.2</v>
      </c>
      <c r="Q1294" t="s">
        <v>40</v>
      </c>
      <c r="R1294" t="s">
        <v>27</v>
      </c>
      <c r="S1294">
        <v>3568</v>
      </c>
      <c r="T1294" t="s">
        <v>42</v>
      </c>
      <c r="U1294" t="str">
        <f t="shared" si="20"/>
        <v>Pass</v>
      </c>
    </row>
    <row r="1295" spans="1:21">
      <c r="A1295" t="s">
        <v>2412</v>
      </c>
      <c r="B1295" t="s">
        <v>359</v>
      </c>
      <c r="C1295" t="s">
        <v>37</v>
      </c>
      <c r="D1295">
        <v>5</v>
      </c>
      <c r="E1295" t="s">
        <v>47</v>
      </c>
      <c r="F1295">
        <v>11</v>
      </c>
      <c r="G1295" t="s">
        <v>38</v>
      </c>
      <c r="H1295" t="s">
        <v>303</v>
      </c>
      <c r="I1295">
        <v>88</v>
      </c>
      <c r="J1295">
        <v>77</v>
      </c>
      <c r="K1295">
        <v>63</v>
      </c>
      <c r="L1295">
        <v>85</v>
      </c>
      <c r="M1295">
        <v>92</v>
      </c>
      <c r="N1295">
        <v>84</v>
      </c>
      <c r="O1295">
        <v>401</v>
      </c>
      <c r="P1295">
        <v>80.2</v>
      </c>
      <c r="Q1295" t="s">
        <v>47</v>
      </c>
      <c r="R1295" t="s">
        <v>27</v>
      </c>
      <c r="S1295">
        <v>3797</v>
      </c>
      <c r="T1295" t="s">
        <v>42</v>
      </c>
      <c r="U1295" t="str">
        <f t="shared" si="20"/>
        <v>Pass</v>
      </c>
    </row>
    <row r="1296" spans="1:21">
      <c r="A1296" t="s">
        <v>2413</v>
      </c>
      <c r="B1296" t="s">
        <v>982</v>
      </c>
      <c r="C1296" t="s">
        <v>22</v>
      </c>
      <c r="D1296">
        <v>8</v>
      </c>
      <c r="E1296" t="s">
        <v>26</v>
      </c>
      <c r="F1296">
        <v>14</v>
      </c>
      <c r="G1296" t="s">
        <v>32</v>
      </c>
      <c r="H1296" t="s">
        <v>2414</v>
      </c>
      <c r="I1296">
        <v>98</v>
      </c>
      <c r="J1296">
        <v>74</v>
      </c>
      <c r="K1296">
        <v>61</v>
      </c>
      <c r="L1296">
        <v>52</v>
      </c>
      <c r="M1296">
        <v>96</v>
      </c>
      <c r="N1296">
        <v>53</v>
      </c>
      <c r="O1296">
        <v>336</v>
      </c>
      <c r="P1296">
        <v>67.2</v>
      </c>
      <c r="Q1296" t="s">
        <v>26</v>
      </c>
      <c r="R1296" t="s">
        <v>27</v>
      </c>
      <c r="S1296">
        <v>3430</v>
      </c>
      <c r="T1296" t="s">
        <v>42</v>
      </c>
      <c r="U1296" t="str">
        <f t="shared" si="20"/>
        <v>Pass</v>
      </c>
    </row>
    <row r="1297" spans="1:21">
      <c r="A1297" t="s">
        <v>2415</v>
      </c>
      <c r="B1297" t="s">
        <v>258</v>
      </c>
      <c r="C1297" t="s">
        <v>37</v>
      </c>
      <c r="D1297">
        <v>8</v>
      </c>
      <c r="E1297" t="s">
        <v>47</v>
      </c>
      <c r="F1297">
        <v>13</v>
      </c>
      <c r="G1297" t="s">
        <v>38</v>
      </c>
      <c r="H1297" t="s">
        <v>2416</v>
      </c>
      <c r="I1297">
        <v>88</v>
      </c>
      <c r="J1297">
        <v>85</v>
      </c>
      <c r="K1297">
        <v>59</v>
      </c>
      <c r="L1297">
        <v>42</v>
      </c>
      <c r="M1297">
        <v>37</v>
      </c>
      <c r="N1297">
        <v>41</v>
      </c>
      <c r="O1297">
        <v>264</v>
      </c>
      <c r="P1297">
        <v>52.8</v>
      </c>
      <c r="Q1297" t="s">
        <v>31</v>
      </c>
      <c r="R1297" t="s">
        <v>41</v>
      </c>
      <c r="S1297">
        <v>2051</v>
      </c>
      <c r="T1297" t="s">
        <v>42</v>
      </c>
      <c r="U1297" t="str">
        <f t="shared" si="20"/>
        <v>Fail</v>
      </c>
    </row>
    <row r="1298" spans="1:21">
      <c r="A1298" t="s">
        <v>2417</v>
      </c>
      <c r="B1298" t="s">
        <v>383</v>
      </c>
      <c r="C1298" t="s">
        <v>37</v>
      </c>
      <c r="D1298">
        <v>1</v>
      </c>
      <c r="E1298" t="s">
        <v>31</v>
      </c>
      <c r="F1298">
        <v>7</v>
      </c>
      <c r="G1298" t="s">
        <v>24</v>
      </c>
      <c r="H1298" t="s">
        <v>1798</v>
      </c>
      <c r="I1298">
        <v>83</v>
      </c>
      <c r="J1298">
        <v>59</v>
      </c>
      <c r="K1298">
        <v>87</v>
      </c>
      <c r="L1298">
        <v>68</v>
      </c>
      <c r="M1298">
        <v>56</v>
      </c>
      <c r="N1298">
        <v>36</v>
      </c>
      <c r="O1298">
        <v>306</v>
      </c>
      <c r="P1298">
        <v>61.2</v>
      </c>
      <c r="Q1298" t="s">
        <v>26</v>
      </c>
      <c r="R1298" t="s">
        <v>41</v>
      </c>
      <c r="S1298">
        <v>1508</v>
      </c>
      <c r="T1298" t="s">
        <v>66</v>
      </c>
      <c r="U1298" t="str">
        <f t="shared" si="20"/>
        <v>Pass</v>
      </c>
    </row>
    <row r="1299" spans="1:21">
      <c r="A1299" t="s">
        <v>2418</v>
      </c>
      <c r="B1299" t="s">
        <v>302</v>
      </c>
      <c r="C1299" t="s">
        <v>22</v>
      </c>
      <c r="D1299">
        <v>8</v>
      </c>
      <c r="E1299" t="s">
        <v>23</v>
      </c>
      <c r="F1299">
        <v>12</v>
      </c>
      <c r="G1299" t="s">
        <v>32</v>
      </c>
      <c r="H1299" t="s">
        <v>1527</v>
      </c>
      <c r="I1299">
        <v>93</v>
      </c>
      <c r="J1299">
        <v>84</v>
      </c>
      <c r="K1299">
        <v>54</v>
      </c>
      <c r="L1299">
        <v>47</v>
      </c>
      <c r="M1299">
        <v>80</v>
      </c>
      <c r="N1299">
        <v>82</v>
      </c>
      <c r="O1299">
        <v>347</v>
      </c>
      <c r="P1299">
        <v>69.400000000000006</v>
      </c>
      <c r="Q1299" t="s">
        <v>26</v>
      </c>
      <c r="R1299" t="s">
        <v>27</v>
      </c>
      <c r="S1299">
        <v>4172</v>
      </c>
      <c r="T1299" t="s">
        <v>34</v>
      </c>
      <c r="U1299" t="str">
        <f t="shared" si="20"/>
        <v>Pass</v>
      </c>
    </row>
    <row r="1300" spans="1:21">
      <c r="A1300" t="s">
        <v>2419</v>
      </c>
      <c r="B1300" t="s">
        <v>579</v>
      </c>
      <c r="C1300" t="s">
        <v>22</v>
      </c>
      <c r="D1300">
        <v>6</v>
      </c>
      <c r="E1300" t="s">
        <v>47</v>
      </c>
      <c r="F1300">
        <v>12</v>
      </c>
      <c r="G1300" t="s">
        <v>32</v>
      </c>
      <c r="H1300" t="s">
        <v>573</v>
      </c>
      <c r="I1300">
        <v>71</v>
      </c>
      <c r="J1300">
        <v>49</v>
      </c>
      <c r="K1300">
        <v>49</v>
      </c>
      <c r="L1300">
        <v>85</v>
      </c>
      <c r="M1300">
        <v>62</v>
      </c>
      <c r="N1300">
        <v>46</v>
      </c>
      <c r="O1300">
        <v>291</v>
      </c>
      <c r="P1300">
        <v>58.2</v>
      </c>
      <c r="Q1300" t="s">
        <v>31</v>
      </c>
      <c r="R1300" t="s">
        <v>27</v>
      </c>
      <c r="S1300">
        <v>1551</v>
      </c>
      <c r="T1300" t="s">
        <v>66</v>
      </c>
      <c r="U1300" t="str">
        <f t="shared" si="20"/>
        <v>Pass</v>
      </c>
    </row>
    <row r="1301" spans="1:21">
      <c r="A1301" t="s">
        <v>2420</v>
      </c>
      <c r="B1301" t="s">
        <v>798</v>
      </c>
      <c r="C1301" t="s">
        <v>22</v>
      </c>
      <c r="D1301">
        <v>12</v>
      </c>
      <c r="E1301" t="s">
        <v>26</v>
      </c>
      <c r="F1301">
        <v>16</v>
      </c>
      <c r="G1301" t="s">
        <v>38</v>
      </c>
      <c r="H1301" t="s">
        <v>1511</v>
      </c>
      <c r="I1301">
        <v>70</v>
      </c>
      <c r="J1301">
        <v>35</v>
      </c>
      <c r="K1301">
        <v>93</v>
      </c>
      <c r="L1301">
        <v>53</v>
      </c>
      <c r="M1301">
        <v>35</v>
      </c>
      <c r="N1301">
        <v>65</v>
      </c>
      <c r="O1301">
        <v>281</v>
      </c>
      <c r="P1301">
        <v>56.2</v>
      </c>
      <c r="Q1301" t="s">
        <v>31</v>
      </c>
      <c r="R1301" t="s">
        <v>41</v>
      </c>
      <c r="S1301">
        <v>2818</v>
      </c>
      <c r="T1301" t="s">
        <v>70</v>
      </c>
      <c r="U1301" t="str">
        <f t="shared" si="20"/>
        <v>Pass</v>
      </c>
    </row>
    <row r="1302" spans="1:21">
      <c r="A1302" t="s">
        <v>2421</v>
      </c>
      <c r="B1302" t="s">
        <v>678</v>
      </c>
      <c r="C1302" t="s">
        <v>37</v>
      </c>
      <c r="D1302">
        <v>8</v>
      </c>
      <c r="E1302" t="s">
        <v>31</v>
      </c>
      <c r="F1302">
        <v>14</v>
      </c>
      <c r="G1302" t="s">
        <v>64</v>
      </c>
      <c r="H1302" t="s">
        <v>2422</v>
      </c>
      <c r="I1302">
        <v>97</v>
      </c>
      <c r="J1302">
        <v>38</v>
      </c>
      <c r="K1302">
        <v>65</v>
      </c>
      <c r="L1302">
        <v>37</v>
      </c>
      <c r="M1302">
        <v>67</v>
      </c>
      <c r="N1302">
        <v>85</v>
      </c>
      <c r="O1302">
        <v>292</v>
      </c>
      <c r="P1302">
        <v>58.4</v>
      </c>
      <c r="Q1302" t="s">
        <v>31</v>
      </c>
      <c r="R1302" t="s">
        <v>41</v>
      </c>
      <c r="S1302">
        <v>2796</v>
      </c>
      <c r="T1302" t="s">
        <v>34</v>
      </c>
      <c r="U1302" t="str">
        <f t="shared" si="20"/>
        <v>Pass</v>
      </c>
    </row>
    <row r="1303" spans="1:21">
      <c r="A1303" t="s">
        <v>2423</v>
      </c>
      <c r="B1303" t="s">
        <v>61</v>
      </c>
      <c r="C1303" t="s">
        <v>37</v>
      </c>
      <c r="D1303">
        <v>7</v>
      </c>
      <c r="E1303" t="s">
        <v>26</v>
      </c>
      <c r="F1303">
        <v>11</v>
      </c>
      <c r="G1303" t="s">
        <v>24</v>
      </c>
      <c r="H1303" t="s">
        <v>2424</v>
      </c>
      <c r="I1303">
        <v>76</v>
      </c>
      <c r="J1303">
        <v>67</v>
      </c>
      <c r="K1303">
        <v>82</v>
      </c>
      <c r="L1303">
        <v>36</v>
      </c>
      <c r="M1303">
        <v>91</v>
      </c>
      <c r="N1303">
        <v>97</v>
      </c>
      <c r="O1303">
        <v>373</v>
      </c>
      <c r="P1303">
        <v>74.599999999999994</v>
      </c>
      <c r="Q1303" t="s">
        <v>40</v>
      </c>
      <c r="R1303" t="s">
        <v>41</v>
      </c>
      <c r="S1303">
        <v>4677</v>
      </c>
      <c r="T1303" t="s">
        <v>48</v>
      </c>
      <c r="U1303" t="str">
        <f t="shared" si="20"/>
        <v>Pass</v>
      </c>
    </row>
    <row r="1304" spans="1:21">
      <c r="A1304" t="s">
        <v>2425</v>
      </c>
      <c r="B1304" t="s">
        <v>322</v>
      </c>
      <c r="C1304" t="s">
        <v>22</v>
      </c>
      <c r="D1304">
        <v>2</v>
      </c>
      <c r="E1304" t="s">
        <v>26</v>
      </c>
      <c r="F1304">
        <v>7</v>
      </c>
      <c r="G1304" t="s">
        <v>24</v>
      </c>
      <c r="H1304" t="s">
        <v>2148</v>
      </c>
      <c r="I1304">
        <v>97</v>
      </c>
      <c r="J1304">
        <v>46</v>
      </c>
      <c r="K1304">
        <v>78</v>
      </c>
      <c r="L1304">
        <v>64</v>
      </c>
      <c r="M1304">
        <v>59</v>
      </c>
      <c r="N1304">
        <v>94</v>
      </c>
      <c r="O1304">
        <v>341</v>
      </c>
      <c r="P1304">
        <v>68.2</v>
      </c>
      <c r="Q1304" t="s">
        <v>26</v>
      </c>
      <c r="R1304" t="s">
        <v>27</v>
      </c>
      <c r="S1304">
        <v>2229</v>
      </c>
      <c r="T1304" t="s">
        <v>66</v>
      </c>
      <c r="U1304" t="str">
        <f t="shared" si="20"/>
        <v>Pass</v>
      </c>
    </row>
    <row r="1305" spans="1:21">
      <c r="A1305" t="s">
        <v>2426</v>
      </c>
      <c r="B1305" t="s">
        <v>68</v>
      </c>
      <c r="C1305" t="s">
        <v>22</v>
      </c>
      <c r="D1305">
        <v>12</v>
      </c>
      <c r="E1305" t="s">
        <v>23</v>
      </c>
      <c r="F1305">
        <v>16</v>
      </c>
      <c r="G1305" t="s">
        <v>45</v>
      </c>
      <c r="H1305" t="s">
        <v>2369</v>
      </c>
      <c r="I1305">
        <v>85</v>
      </c>
      <c r="J1305">
        <v>99</v>
      </c>
      <c r="K1305">
        <v>41</v>
      </c>
      <c r="L1305">
        <v>44</v>
      </c>
      <c r="M1305">
        <v>81</v>
      </c>
      <c r="N1305">
        <v>49</v>
      </c>
      <c r="O1305">
        <v>314</v>
      </c>
      <c r="P1305">
        <v>62.8</v>
      </c>
      <c r="Q1305" t="s">
        <v>26</v>
      </c>
      <c r="R1305" t="s">
        <v>41</v>
      </c>
      <c r="S1305">
        <v>4772</v>
      </c>
      <c r="T1305" t="s">
        <v>66</v>
      </c>
      <c r="U1305" t="str">
        <f t="shared" si="20"/>
        <v>Pass</v>
      </c>
    </row>
    <row r="1306" spans="1:21">
      <c r="A1306" t="s">
        <v>2427</v>
      </c>
      <c r="B1306" t="s">
        <v>274</v>
      </c>
      <c r="C1306" t="s">
        <v>37</v>
      </c>
      <c r="D1306">
        <v>5</v>
      </c>
      <c r="E1306" t="s">
        <v>31</v>
      </c>
      <c r="F1306">
        <v>10</v>
      </c>
      <c r="G1306" t="s">
        <v>64</v>
      </c>
      <c r="H1306" t="s">
        <v>2308</v>
      </c>
      <c r="I1306">
        <v>72</v>
      </c>
      <c r="J1306">
        <v>80</v>
      </c>
      <c r="K1306">
        <v>87</v>
      </c>
      <c r="L1306">
        <v>63</v>
      </c>
      <c r="M1306">
        <v>63</v>
      </c>
      <c r="N1306">
        <v>55</v>
      </c>
      <c r="O1306">
        <v>348</v>
      </c>
      <c r="P1306">
        <v>69.599999999999994</v>
      </c>
      <c r="Q1306" t="s">
        <v>26</v>
      </c>
      <c r="R1306" t="s">
        <v>41</v>
      </c>
      <c r="S1306">
        <v>1647</v>
      </c>
      <c r="T1306" t="s">
        <v>34</v>
      </c>
      <c r="U1306" t="str">
        <f t="shared" si="20"/>
        <v>Pass</v>
      </c>
    </row>
    <row r="1307" spans="1:21">
      <c r="A1307" t="s">
        <v>2428</v>
      </c>
      <c r="B1307" t="s">
        <v>835</v>
      </c>
      <c r="C1307" t="s">
        <v>22</v>
      </c>
      <c r="D1307">
        <v>10</v>
      </c>
      <c r="E1307" t="s">
        <v>47</v>
      </c>
      <c r="F1307">
        <v>14</v>
      </c>
      <c r="G1307" t="s">
        <v>45</v>
      </c>
      <c r="H1307" t="s">
        <v>88</v>
      </c>
      <c r="I1307">
        <v>66</v>
      </c>
      <c r="J1307">
        <v>89</v>
      </c>
      <c r="K1307">
        <v>77</v>
      </c>
      <c r="L1307">
        <v>43</v>
      </c>
      <c r="M1307">
        <v>77</v>
      </c>
      <c r="N1307">
        <v>69</v>
      </c>
      <c r="O1307">
        <v>355</v>
      </c>
      <c r="P1307">
        <v>71</v>
      </c>
      <c r="Q1307" t="s">
        <v>40</v>
      </c>
      <c r="R1307" t="s">
        <v>41</v>
      </c>
      <c r="S1307">
        <v>1582</v>
      </c>
      <c r="T1307" t="s">
        <v>70</v>
      </c>
      <c r="U1307" t="str">
        <f t="shared" si="20"/>
        <v>Pass</v>
      </c>
    </row>
    <row r="1308" spans="1:21">
      <c r="A1308" t="s">
        <v>2429</v>
      </c>
      <c r="B1308" t="s">
        <v>308</v>
      </c>
      <c r="C1308" t="s">
        <v>22</v>
      </c>
      <c r="D1308">
        <v>12</v>
      </c>
      <c r="E1308" t="s">
        <v>23</v>
      </c>
      <c r="F1308">
        <v>17</v>
      </c>
      <c r="G1308" t="s">
        <v>32</v>
      </c>
      <c r="H1308" t="s">
        <v>176</v>
      </c>
      <c r="I1308">
        <v>79</v>
      </c>
      <c r="J1308">
        <v>85</v>
      </c>
      <c r="K1308">
        <v>47</v>
      </c>
      <c r="L1308">
        <v>35</v>
      </c>
      <c r="M1308">
        <v>79</v>
      </c>
      <c r="N1308">
        <v>38</v>
      </c>
      <c r="O1308">
        <v>284</v>
      </c>
      <c r="P1308">
        <v>56.8</v>
      </c>
      <c r="Q1308" t="s">
        <v>31</v>
      </c>
      <c r="R1308" t="s">
        <v>27</v>
      </c>
      <c r="S1308">
        <v>4524</v>
      </c>
      <c r="T1308" t="s">
        <v>70</v>
      </c>
      <c r="U1308" t="str">
        <f t="shared" si="20"/>
        <v>Pass</v>
      </c>
    </row>
    <row r="1309" spans="1:21">
      <c r="A1309" t="s">
        <v>2430</v>
      </c>
      <c r="B1309" t="s">
        <v>137</v>
      </c>
      <c r="C1309" t="s">
        <v>37</v>
      </c>
      <c r="D1309">
        <v>12</v>
      </c>
      <c r="E1309" t="s">
        <v>31</v>
      </c>
      <c r="F1309">
        <v>17</v>
      </c>
      <c r="G1309" t="s">
        <v>58</v>
      </c>
      <c r="H1309" t="s">
        <v>2431</v>
      </c>
      <c r="I1309">
        <v>97</v>
      </c>
      <c r="J1309">
        <v>90</v>
      </c>
      <c r="K1309">
        <v>78</v>
      </c>
      <c r="L1309">
        <v>84</v>
      </c>
      <c r="M1309">
        <v>79</v>
      </c>
      <c r="N1309">
        <v>40</v>
      </c>
      <c r="O1309">
        <v>371</v>
      </c>
      <c r="P1309">
        <v>74.2</v>
      </c>
      <c r="Q1309" t="s">
        <v>40</v>
      </c>
      <c r="R1309" t="s">
        <v>27</v>
      </c>
      <c r="S1309">
        <v>1919</v>
      </c>
      <c r="T1309" t="s">
        <v>48</v>
      </c>
      <c r="U1309" t="str">
        <f t="shared" si="20"/>
        <v>Pass</v>
      </c>
    </row>
    <row r="1310" spans="1:21">
      <c r="A1310" t="s">
        <v>2432</v>
      </c>
      <c r="B1310" t="s">
        <v>50</v>
      </c>
      <c r="C1310" t="s">
        <v>37</v>
      </c>
      <c r="D1310">
        <v>8</v>
      </c>
      <c r="E1310" t="s">
        <v>26</v>
      </c>
      <c r="F1310">
        <v>12</v>
      </c>
      <c r="G1310" t="s">
        <v>38</v>
      </c>
      <c r="H1310" t="s">
        <v>2433</v>
      </c>
      <c r="I1310">
        <v>97</v>
      </c>
      <c r="J1310">
        <v>63</v>
      </c>
      <c r="K1310">
        <v>39</v>
      </c>
      <c r="L1310">
        <v>92</v>
      </c>
      <c r="M1310">
        <v>95</v>
      </c>
      <c r="N1310">
        <v>36</v>
      </c>
      <c r="O1310">
        <v>325</v>
      </c>
      <c r="P1310">
        <v>65</v>
      </c>
      <c r="Q1310" t="s">
        <v>26</v>
      </c>
      <c r="R1310" t="s">
        <v>41</v>
      </c>
      <c r="S1310">
        <v>3129</v>
      </c>
      <c r="T1310" t="s">
        <v>28</v>
      </c>
      <c r="U1310" t="str">
        <f t="shared" si="20"/>
        <v>Pass</v>
      </c>
    </row>
    <row r="1311" spans="1:21">
      <c r="A1311" t="s">
        <v>2434</v>
      </c>
      <c r="B1311" t="s">
        <v>378</v>
      </c>
      <c r="C1311" t="s">
        <v>22</v>
      </c>
      <c r="D1311">
        <v>2</v>
      </c>
      <c r="E1311" t="s">
        <v>26</v>
      </c>
      <c r="F1311">
        <v>6</v>
      </c>
      <c r="G1311" t="s">
        <v>24</v>
      </c>
      <c r="H1311" t="s">
        <v>2435</v>
      </c>
      <c r="I1311">
        <v>93</v>
      </c>
      <c r="J1311">
        <v>35</v>
      </c>
      <c r="K1311">
        <v>40</v>
      </c>
      <c r="L1311">
        <v>99</v>
      </c>
      <c r="M1311">
        <v>55</v>
      </c>
      <c r="N1311">
        <v>51</v>
      </c>
      <c r="O1311">
        <v>280</v>
      </c>
      <c r="P1311">
        <v>56</v>
      </c>
      <c r="Q1311" t="s">
        <v>31</v>
      </c>
      <c r="R1311" t="s">
        <v>41</v>
      </c>
      <c r="S1311">
        <v>4306</v>
      </c>
      <c r="T1311" t="s">
        <v>48</v>
      </c>
      <c r="U1311" t="str">
        <f t="shared" si="20"/>
        <v>Pass</v>
      </c>
    </row>
    <row r="1312" spans="1:21">
      <c r="A1312" t="s">
        <v>2436</v>
      </c>
      <c r="B1312" t="s">
        <v>900</v>
      </c>
      <c r="C1312" t="s">
        <v>22</v>
      </c>
      <c r="D1312">
        <v>3</v>
      </c>
      <c r="E1312" t="s">
        <v>26</v>
      </c>
      <c r="F1312">
        <v>7</v>
      </c>
      <c r="G1312" t="s">
        <v>58</v>
      </c>
      <c r="H1312" t="s">
        <v>2118</v>
      </c>
      <c r="I1312">
        <v>87</v>
      </c>
      <c r="J1312">
        <v>86</v>
      </c>
      <c r="K1312">
        <v>56</v>
      </c>
      <c r="L1312">
        <v>81</v>
      </c>
      <c r="M1312">
        <v>78</v>
      </c>
      <c r="N1312">
        <v>92</v>
      </c>
      <c r="O1312">
        <v>393</v>
      </c>
      <c r="P1312">
        <v>78.599999999999994</v>
      </c>
      <c r="Q1312" t="s">
        <v>40</v>
      </c>
      <c r="R1312" t="s">
        <v>27</v>
      </c>
      <c r="S1312">
        <v>4755</v>
      </c>
      <c r="T1312" t="s">
        <v>42</v>
      </c>
      <c r="U1312" t="str">
        <f t="shared" si="20"/>
        <v>Pass</v>
      </c>
    </row>
    <row r="1313" spans="1:21">
      <c r="A1313" t="s">
        <v>2437</v>
      </c>
      <c r="B1313" t="s">
        <v>239</v>
      </c>
      <c r="C1313" t="s">
        <v>22</v>
      </c>
      <c r="D1313">
        <v>1</v>
      </c>
      <c r="E1313" t="s">
        <v>47</v>
      </c>
      <c r="F1313">
        <v>6</v>
      </c>
      <c r="G1313" t="s">
        <v>32</v>
      </c>
      <c r="H1313" t="s">
        <v>2438</v>
      </c>
      <c r="I1313">
        <v>94</v>
      </c>
      <c r="J1313">
        <v>90</v>
      </c>
      <c r="K1313">
        <v>92</v>
      </c>
      <c r="L1313">
        <v>87</v>
      </c>
      <c r="M1313">
        <v>80</v>
      </c>
      <c r="N1313">
        <v>47</v>
      </c>
      <c r="O1313">
        <v>396</v>
      </c>
      <c r="P1313">
        <v>79.2</v>
      </c>
      <c r="Q1313" t="s">
        <v>40</v>
      </c>
      <c r="R1313" t="s">
        <v>41</v>
      </c>
      <c r="S1313">
        <v>1701</v>
      </c>
      <c r="T1313" t="s">
        <v>28</v>
      </c>
      <c r="U1313" t="str">
        <f t="shared" si="20"/>
        <v>Pass</v>
      </c>
    </row>
    <row r="1314" spans="1:21">
      <c r="A1314" t="s">
        <v>2439</v>
      </c>
      <c r="B1314" t="s">
        <v>383</v>
      </c>
      <c r="C1314" t="s">
        <v>37</v>
      </c>
      <c r="D1314">
        <v>9</v>
      </c>
      <c r="E1314" t="s">
        <v>23</v>
      </c>
      <c r="F1314">
        <v>14</v>
      </c>
      <c r="G1314" t="s">
        <v>24</v>
      </c>
      <c r="H1314" t="s">
        <v>2440</v>
      </c>
      <c r="I1314">
        <v>60</v>
      </c>
      <c r="J1314">
        <v>77</v>
      </c>
      <c r="K1314">
        <v>41</v>
      </c>
      <c r="L1314">
        <v>45</v>
      </c>
      <c r="M1314">
        <v>38</v>
      </c>
      <c r="N1314">
        <v>65</v>
      </c>
      <c r="O1314">
        <v>266</v>
      </c>
      <c r="P1314">
        <v>53.2</v>
      </c>
      <c r="Q1314" t="s">
        <v>31</v>
      </c>
      <c r="R1314" t="s">
        <v>27</v>
      </c>
      <c r="S1314">
        <v>4992</v>
      </c>
      <c r="T1314" t="s">
        <v>70</v>
      </c>
      <c r="U1314" t="str">
        <f t="shared" si="20"/>
        <v>Fail</v>
      </c>
    </row>
    <row r="1315" spans="1:21">
      <c r="A1315" t="s">
        <v>2441</v>
      </c>
      <c r="B1315" t="s">
        <v>181</v>
      </c>
      <c r="C1315" t="s">
        <v>22</v>
      </c>
      <c r="D1315">
        <v>1</v>
      </c>
      <c r="E1315" t="s">
        <v>31</v>
      </c>
      <c r="F1315">
        <v>7</v>
      </c>
      <c r="G1315" t="s">
        <v>45</v>
      </c>
      <c r="H1315" t="s">
        <v>2442</v>
      </c>
      <c r="I1315">
        <v>64</v>
      </c>
      <c r="J1315">
        <v>95</v>
      </c>
      <c r="K1315">
        <v>89</v>
      </c>
      <c r="L1315">
        <v>68</v>
      </c>
      <c r="M1315">
        <v>97</v>
      </c>
      <c r="N1315">
        <v>68</v>
      </c>
      <c r="O1315">
        <v>417</v>
      </c>
      <c r="P1315">
        <v>83.4</v>
      </c>
      <c r="Q1315" t="s">
        <v>47</v>
      </c>
      <c r="R1315" t="s">
        <v>41</v>
      </c>
      <c r="S1315">
        <v>4864</v>
      </c>
      <c r="T1315" t="s">
        <v>34</v>
      </c>
      <c r="U1315" t="str">
        <f t="shared" si="20"/>
        <v>Pass</v>
      </c>
    </row>
    <row r="1316" spans="1:21">
      <c r="A1316" t="s">
        <v>2443</v>
      </c>
      <c r="B1316" t="s">
        <v>250</v>
      </c>
      <c r="C1316" t="s">
        <v>37</v>
      </c>
      <c r="D1316">
        <v>6</v>
      </c>
      <c r="E1316" t="s">
        <v>23</v>
      </c>
      <c r="F1316">
        <v>10</v>
      </c>
      <c r="G1316" t="s">
        <v>58</v>
      </c>
      <c r="H1316" t="s">
        <v>905</v>
      </c>
      <c r="I1316">
        <v>69</v>
      </c>
      <c r="J1316">
        <v>43</v>
      </c>
      <c r="K1316">
        <v>59</v>
      </c>
      <c r="L1316">
        <v>99</v>
      </c>
      <c r="M1316">
        <v>44</v>
      </c>
      <c r="N1316">
        <v>88</v>
      </c>
      <c r="O1316">
        <v>333</v>
      </c>
      <c r="P1316">
        <v>66.599999999999994</v>
      </c>
      <c r="Q1316" t="s">
        <v>26</v>
      </c>
      <c r="R1316" t="s">
        <v>41</v>
      </c>
      <c r="S1316">
        <v>4349</v>
      </c>
      <c r="T1316" t="s">
        <v>42</v>
      </c>
      <c r="U1316" t="str">
        <f t="shared" si="20"/>
        <v>Pass</v>
      </c>
    </row>
    <row r="1317" spans="1:21">
      <c r="A1317" t="s">
        <v>2444</v>
      </c>
      <c r="B1317" t="s">
        <v>258</v>
      </c>
      <c r="C1317" t="s">
        <v>22</v>
      </c>
      <c r="D1317">
        <v>9</v>
      </c>
      <c r="E1317" t="s">
        <v>47</v>
      </c>
      <c r="F1317">
        <v>14</v>
      </c>
      <c r="G1317" t="s">
        <v>38</v>
      </c>
      <c r="H1317" t="s">
        <v>2445</v>
      </c>
      <c r="I1317">
        <v>75</v>
      </c>
      <c r="J1317">
        <v>38</v>
      </c>
      <c r="K1317">
        <v>69</v>
      </c>
      <c r="L1317">
        <v>88</v>
      </c>
      <c r="M1317">
        <v>55</v>
      </c>
      <c r="N1317">
        <v>95</v>
      </c>
      <c r="O1317">
        <v>345</v>
      </c>
      <c r="P1317">
        <v>69</v>
      </c>
      <c r="Q1317" t="s">
        <v>26</v>
      </c>
      <c r="R1317" t="s">
        <v>41</v>
      </c>
      <c r="S1317">
        <v>2019</v>
      </c>
      <c r="T1317" t="s">
        <v>66</v>
      </c>
      <c r="U1317" t="str">
        <f t="shared" si="20"/>
        <v>Pass</v>
      </c>
    </row>
    <row r="1318" spans="1:21">
      <c r="A1318" t="s">
        <v>2446</v>
      </c>
      <c r="B1318" t="s">
        <v>322</v>
      </c>
      <c r="C1318" t="s">
        <v>37</v>
      </c>
      <c r="D1318">
        <v>1</v>
      </c>
      <c r="E1318" t="s">
        <v>23</v>
      </c>
      <c r="F1318">
        <v>6</v>
      </c>
      <c r="G1318" t="s">
        <v>38</v>
      </c>
      <c r="H1318" t="s">
        <v>402</v>
      </c>
      <c r="I1318">
        <v>79</v>
      </c>
      <c r="J1318">
        <v>98</v>
      </c>
      <c r="K1318">
        <v>97</v>
      </c>
      <c r="L1318">
        <v>93</v>
      </c>
      <c r="M1318">
        <v>74</v>
      </c>
      <c r="N1318">
        <v>42</v>
      </c>
      <c r="O1318">
        <v>404</v>
      </c>
      <c r="P1318">
        <v>80.8</v>
      </c>
      <c r="Q1318" t="s">
        <v>47</v>
      </c>
      <c r="R1318" t="s">
        <v>27</v>
      </c>
      <c r="S1318">
        <v>2045</v>
      </c>
      <c r="T1318" t="s">
        <v>48</v>
      </c>
      <c r="U1318" t="str">
        <f t="shared" si="20"/>
        <v>Pass</v>
      </c>
    </row>
    <row r="1319" spans="1:21">
      <c r="A1319" t="s">
        <v>2447</v>
      </c>
      <c r="B1319" t="s">
        <v>735</v>
      </c>
      <c r="C1319" t="s">
        <v>22</v>
      </c>
      <c r="D1319">
        <v>6</v>
      </c>
      <c r="E1319" t="s">
        <v>26</v>
      </c>
      <c r="F1319">
        <v>10</v>
      </c>
      <c r="G1319" t="s">
        <v>58</v>
      </c>
      <c r="H1319" t="s">
        <v>102</v>
      </c>
      <c r="I1319">
        <v>87</v>
      </c>
      <c r="J1319">
        <v>83</v>
      </c>
      <c r="K1319">
        <v>77</v>
      </c>
      <c r="L1319">
        <v>80</v>
      </c>
      <c r="M1319">
        <v>97</v>
      </c>
      <c r="N1319">
        <v>37</v>
      </c>
      <c r="O1319">
        <v>374</v>
      </c>
      <c r="P1319">
        <v>74.8</v>
      </c>
      <c r="Q1319" t="s">
        <v>40</v>
      </c>
      <c r="R1319" t="s">
        <v>27</v>
      </c>
      <c r="S1319">
        <v>4235</v>
      </c>
      <c r="T1319" t="s">
        <v>70</v>
      </c>
      <c r="U1319" t="str">
        <f t="shared" si="20"/>
        <v>Pass</v>
      </c>
    </row>
    <row r="1320" spans="1:21">
      <c r="A1320" t="s">
        <v>2448</v>
      </c>
      <c r="B1320" t="s">
        <v>844</v>
      </c>
      <c r="C1320" t="s">
        <v>22</v>
      </c>
      <c r="D1320">
        <v>6</v>
      </c>
      <c r="E1320" t="s">
        <v>31</v>
      </c>
      <c r="F1320">
        <v>11</v>
      </c>
      <c r="G1320" t="s">
        <v>38</v>
      </c>
      <c r="H1320" t="s">
        <v>2449</v>
      </c>
      <c r="I1320">
        <v>76</v>
      </c>
      <c r="J1320">
        <v>55</v>
      </c>
      <c r="K1320">
        <v>96</v>
      </c>
      <c r="L1320">
        <v>49</v>
      </c>
      <c r="M1320">
        <v>67</v>
      </c>
      <c r="N1320">
        <v>75</v>
      </c>
      <c r="O1320">
        <v>342</v>
      </c>
      <c r="P1320">
        <v>68.400000000000006</v>
      </c>
      <c r="Q1320" t="s">
        <v>26</v>
      </c>
      <c r="R1320" t="s">
        <v>27</v>
      </c>
      <c r="S1320">
        <v>3719</v>
      </c>
      <c r="T1320" t="s">
        <v>66</v>
      </c>
      <c r="U1320" t="str">
        <f t="shared" si="20"/>
        <v>Pass</v>
      </c>
    </row>
    <row r="1321" spans="1:21">
      <c r="A1321" t="s">
        <v>2450</v>
      </c>
      <c r="B1321" t="s">
        <v>113</v>
      </c>
      <c r="C1321" t="s">
        <v>22</v>
      </c>
      <c r="D1321">
        <v>5</v>
      </c>
      <c r="E1321" t="s">
        <v>26</v>
      </c>
      <c r="F1321">
        <v>9</v>
      </c>
      <c r="G1321" t="s">
        <v>38</v>
      </c>
      <c r="H1321" t="s">
        <v>2034</v>
      </c>
      <c r="I1321">
        <v>92</v>
      </c>
      <c r="J1321">
        <v>87</v>
      </c>
      <c r="K1321">
        <v>51</v>
      </c>
      <c r="L1321">
        <v>96</v>
      </c>
      <c r="M1321">
        <v>52</v>
      </c>
      <c r="N1321">
        <v>64</v>
      </c>
      <c r="O1321">
        <v>350</v>
      </c>
      <c r="P1321">
        <v>70</v>
      </c>
      <c r="Q1321" t="s">
        <v>40</v>
      </c>
      <c r="R1321" t="s">
        <v>27</v>
      </c>
      <c r="S1321">
        <v>4382</v>
      </c>
      <c r="T1321" t="s">
        <v>70</v>
      </c>
      <c r="U1321" t="str">
        <f t="shared" si="20"/>
        <v>Pass</v>
      </c>
    </row>
    <row r="1322" spans="1:21">
      <c r="A1322" t="s">
        <v>2451</v>
      </c>
      <c r="B1322" t="s">
        <v>134</v>
      </c>
      <c r="C1322" t="s">
        <v>22</v>
      </c>
      <c r="D1322">
        <v>11</v>
      </c>
      <c r="E1322" t="s">
        <v>23</v>
      </c>
      <c r="F1322">
        <v>15</v>
      </c>
      <c r="G1322" t="s">
        <v>24</v>
      </c>
      <c r="H1322" t="s">
        <v>2452</v>
      </c>
      <c r="I1322">
        <v>76</v>
      </c>
      <c r="J1322">
        <v>84</v>
      </c>
      <c r="K1322">
        <v>72</v>
      </c>
      <c r="L1322">
        <v>35</v>
      </c>
      <c r="M1322">
        <v>49</v>
      </c>
      <c r="N1322">
        <v>64</v>
      </c>
      <c r="O1322">
        <v>304</v>
      </c>
      <c r="P1322">
        <v>60.8</v>
      </c>
      <c r="Q1322" t="s">
        <v>26</v>
      </c>
      <c r="R1322" t="s">
        <v>27</v>
      </c>
      <c r="S1322">
        <v>2414</v>
      </c>
      <c r="T1322" t="s">
        <v>66</v>
      </c>
      <c r="U1322" t="str">
        <f t="shared" si="20"/>
        <v>Pass</v>
      </c>
    </row>
    <row r="1323" spans="1:21">
      <c r="A1323" t="s">
        <v>2453</v>
      </c>
      <c r="B1323" t="s">
        <v>184</v>
      </c>
      <c r="C1323" t="s">
        <v>37</v>
      </c>
      <c r="D1323">
        <v>7</v>
      </c>
      <c r="E1323" t="s">
        <v>31</v>
      </c>
      <c r="F1323">
        <v>11</v>
      </c>
      <c r="G1323" t="s">
        <v>54</v>
      </c>
      <c r="H1323" t="s">
        <v>2454</v>
      </c>
      <c r="I1323">
        <v>70</v>
      </c>
      <c r="J1323">
        <v>99</v>
      </c>
      <c r="K1323">
        <v>96</v>
      </c>
      <c r="L1323">
        <v>82</v>
      </c>
      <c r="M1323">
        <v>58</v>
      </c>
      <c r="N1323">
        <v>72</v>
      </c>
      <c r="O1323">
        <v>407</v>
      </c>
      <c r="P1323">
        <v>81.400000000000006</v>
      </c>
      <c r="Q1323" t="s">
        <v>47</v>
      </c>
      <c r="R1323" t="s">
        <v>41</v>
      </c>
      <c r="S1323">
        <v>1620</v>
      </c>
      <c r="T1323" t="s">
        <v>66</v>
      </c>
      <c r="U1323" t="str">
        <f t="shared" si="20"/>
        <v>Pass</v>
      </c>
    </row>
    <row r="1324" spans="1:21">
      <c r="A1324" t="s">
        <v>2455</v>
      </c>
      <c r="B1324" t="s">
        <v>1644</v>
      </c>
      <c r="C1324" t="s">
        <v>22</v>
      </c>
      <c r="D1324">
        <v>1</v>
      </c>
      <c r="E1324" t="s">
        <v>31</v>
      </c>
      <c r="F1324">
        <v>6</v>
      </c>
      <c r="G1324" t="s">
        <v>32</v>
      </c>
      <c r="H1324" t="s">
        <v>2456</v>
      </c>
      <c r="I1324">
        <v>69</v>
      </c>
      <c r="J1324">
        <v>82</v>
      </c>
      <c r="K1324">
        <v>98</v>
      </c>
      <c r="L1324">
        <v>62</v>
      </c>
      <c r="M1324">
        <v>60</v>
      </c>
      <c r="N1324">
        <v>48</v>
      </c>
      <c r="O1324">
        <v>350</v>
      </c>
      <c r="P1324">
        <v>70</v>
      </c>
      <c r="Q1324" t="s">
        <v>40</v>
      </c>
      <c r="R1324" t="s">
        <v>27</v>
      </c>
      <c r="S1324">
        <v>4423</v>
      </c>
      <c r="T1324" t="s">
        <v>28</v>
      </c>
      <c r="U1324" t="str">
        <f t="shared" si="20"/>
        <v>Pass</v>
      </c>
    </row>
    <row r="1325" spans="1:21">
      <c r="A1325" t="s">
        <v>2457</v>
      </c>
      <c r="B1325" t="s">
        <v>226</v>
      </c>
      <c r="C1325" t="s">
        <v>22</v>
      </c>
      <c r="D1325">
        <v>4</v>
      </c>
      <c r="E1325" t="s">
        <v>23</v>
      </c>
      <c r="F1325">
        <v>8</v>
      </c>
      <c r="G1325" t="s">
        <v>24</v>
      </c>
      <c r="H1325" t="s">
        <v>1833</v>
      </c>
      <c r="I1325">
        <v>64</v>
      </c>
      <c r="J1325">
        <v>80</v>
      </c>
      <c r="K1325">
        <v>55</v>
      </c>
      <c r="L1325">
        <v>57</v>
      </c>
      <c r="M1325">
        <v>88</v>
      </c>
      <c r="N1325">
        <v>92</v>
      </c>
      <c r="O1325">
        <v>372</v>
      </c>
      <c r="P1325">
        <v>74.400000000000006</v>
      </c>
      <c r="Q1325" t="s">
        <v>40</v>
      </c>
      <c r="R1325" t="s">
        <v>27</v>
      </c>
      <c r="S1325">
        <v>1828</v>
      </c>
      <c r="T1325" t="s">
        <v>70</v>
      </c>
      <c r="U1325" t="str">
        <f t="shared" si="20"/>
        <v>Pass</v>
      </c>
    </row>
    <row r="1326" spans="1:21">
      <c r="A1326" t="s">
        <v>2458</v>
      </c>
      <c r="B1326" t="s">
        <v>879</v>
      </c>
      <c r="C1326" t="s">
        <v>22</v>
      </c>
      <c r="D1326">
        <v>3</v>
      </c>
      <c r="E1326" t="s">
        <v>31</v>
      </c>
      <c r="F1326">
        <v>8</v>
      </c>
      <c r="G1326" t="s">
        <v>54</v>
      </c>
      <c r="H1326" t="s">
        <v>830</v>
      </c>
      <c r="I1326">
        <v>75</v>
      </c>
      <c r="J1326">
        <v>58</v>
      </c>
      <c r="K1326">
        <v>74</v>
      </c>
      <c r="L1326">
        <v>97</v>
      </c>
      <c r="M1326">
        <v>88</v>
      </c>
      <c r="N1326">
        <v>80</v>
      </c>
      <c r="O1326">
        <v>397</v>
      </c>
      <c r="P1326">
        <v>79.400000000000006</v>
      </c>
      <c r="Q1326" t="s">
        <v>40</v>
      </c>
      <c r="R1326" t="s">
        <v>27</v>
      </c>
      <c r="S1326">
        <v>4933</v>
      </c>
      <c r="T1326" t="s">
        <v>48</v>
      </c>
      <c r="U1326" t="str">
        <f t="shared" si="20"/>
        <v>Pass</v>
      </c>
    </row>
    <row r="1327" spans="1:21">
      <c r="A1327" t="s">
        <v>2459</v>
      </c>
      <c r="B1327" t="s">
        <v>87</v>
      </c>
      <c r="C1327" t="s">
        <v>37</v>
      </c>
      <c r="D1327">
        <v>8</v>
      </c>
      <c r="E1327" t="s">
        <v>23</v>
      </c>
      <c r="F1327">
        <v>13</v>
      </c>
      <c r="G1327" t="s">
        <v>54</v>
      </c>
      <c r="H1327" t="s">
        <v>2454</v>
      </c>
      <c r="I1327">
        <v>63</v>
      </c>
      <c r="J1327">
        <v>82</v>
      </c>
      <c r="K1327">
        <v>70</v>
      </c>
      <c r="L1327">
        <v>61</v>
      </c>
      <c r="M1327">
        <v>51</v>
      </c>
      <c r="N1327">
        <v>98</v>
      </c>
      <c r="O1327">
        <v>362</v>
      </c>
      <c r="P1327">
        <v>72.400000000000006</v>
      </c>
      <c r="Q1327" t="s">
        <v>40</v>
      </c>
      <c r="R1327" t="s">
        <v>27</v>
      </c>
      <c r="S1327">
        <v>2518</v>
      </c>
      <c r="T1327" t="s">
        <v>66</v>
      </c>
      <c r="U1327" t="str">
        <f t="shared" si="20"/>
        <v>Pass</v>
      </c>
    </row>
    <row r="1328" spans="1:21">
      <c r="A1328" t="s">
        <v>2460</v>
      </c>
      <c r="B1328" t="s">
        <v>359</v>
      </c>
      <c r="C1328" t="s">
        <v>37</v>
      </c>
      <c r="D1328">
        <v>12</v>
      </c>
      <c r="E1328" t="s">
        <v>47</v>
      </c>
      <c r="F1328">
        <v>17</v>
      </c>
      <c r="G1328" t="s">
        <v>24</v>
      </c>
      <c r="H1328" t="s">
        <v>2461</v>
      </c>
      <c r="I1328">
        <v>94</v>
      </c>
      <c r="J1328">
        <v>66</v>
      </c>
      <c r="K1328">
        <v>55</v>
      </c>
      <c r="L1328">
        <v>85</v>
      </c>
      <c r="M1328">
        <v>43</v>
      </c>
      <c r="N1328">
        <v>79</v>
      </c>
      <c r="O1328">
        <v>328</v>
      </c>
      <c r="P1328">
        <v>65.599999999999994</v>
      </c>
      <c r="Q1328" t="s">
        <v>26</v>
      </c>
      <c r="R1328" t="s">
        <v>27</v>
      </c>
      <c r="S1328">
        <v>3045</v>
      </c>
      <c r="T1328" t="s">
        <v>42</v>
      </c>
      <c r="U1328" t="str">
        <f t="shared" si="20"/>
        <v>Pass</v>
      </c>
    </row>
    <row r="1329" spans="1:21">
      <c r="A1329" t="s">
        <v>2462</v>
      </c>
      <c r="B1329" t="s">
        <v>131</v>
      </c>
      <c r="C1329" t="s">
        <v>22</v>
      </c>
      <c r="D1329">
        <v>7</v>
      </c>
      <c r="E1329" t="s">
        <v>23</v>
      </c>
      <c r="F1329">
        <v>12</v>
      </c>
      <c r="G1329" t="s">
        <v>54</v>
      </c>
      <c r="H1329" t="s">
        <v>2463</v>
      </c>
      <c r="I1329">
        <v>100</v>
      </c>
      <c r="J1329">
        <v>95</v>
      </c>
      <c r="K1329">
        <v>55</v>
      </c>
      <c r="L1329">
        <v>86</v>
      </c>
      <c r="M1329">
        <v>97</v>
      </c>
      <c r="N1329">
        <v>69</v>
      </c>
      <c r="O1329">
        <v>402</v>
      </c>
      <c r="P1329">
        <v>80.400000000000006</v>
      </c>
      <c r="Q1329" t="s">
        <v>47</v>
      </c>
      <c r="R1329" t="s">
        <v>41</v>
      </c>
      <c r="S1329">
        <v>3656</v>
      </c>
      <c r="T1329" t="s">
        <v>42</v>
      </c>
      <c r="U1329" t="str">
        <f t="shared" si="20"/>
        <v>Pass</v>
      </c>
    </row>
    <row r="1330" spans="1:21">
      <c r="A1330" t="s">
        <v>2464</v>
      </c>
      <c r="B1330" t="s">
        <v>343</v>
      </c>
      <c r="C1330" t="s">
        <v>22</v>
      </c>
      <c r="D1330">
        <v>10</v>
      </c>
      <c r="E1330" t="s">
        <v>47</v>
      </c>
      <c r="F1330">
        <v>16</v>
      </c>
      <c r="G1330" t="s">
        <v>24</v>
      </c>
      <c r="H1330" t="s">
        <v>1560</v>
      </c>
      <c r="I1330">
        <v>87</v>
      </c>
      <c r="J1330">
        <v>72</v>
      </c>
      <c r="K1330">
        <v>68</v>
      </c>
      <c r="L1330">
        <v>63</v>
      </c>
      <c r="M1330">
        <v>91</v>
      </c>
      <c r="N1330">
        <v>99</v>
      </c>
      <c r="O1330">
        <v>393</v>
      </c>
      <c r="P1330">
        <v>78.599999999999994</v>
      </c>
      <c r="Q1330" t="s">
        <v>40</v>
      </c>
      <c r="R1330" t="s">
        <v>41</v>
      </c>
      <c r="S1330">
        <v>4605</v>
      </c>
      <c r="T1330" t="s">
        <v>34</v>
      </c>
      <c r="U1330" t="str">
        <f t="shared" si="20"/>
        <v>Pass</v>
      </c>
    </row>
    <row r="1331" spans="1:21">
      <c r="A1331" t="s">
        <v>2465</v>
      </c>
      <c r="B1331" t="s">
        <v>107</v>
      </c>
      <c r="C1331" t="s">
        <v>37</v>
      </c>
      <c r="D1331">
        <v>12</v>
      </c>
      <c r="E1331" t="s">
        <v>47</v>
      </c>
      <c r="F1331">
        <v>18</v>
      </c>
      <c r="G1331" t="s">
        <v>54</v>
      </c>
      <c r="H1331" t="s">
        <v>1782</v>
      </c>
      <c r="I1331">
        <v>76</v>
      </c>
      <c r="J1331">
        <v>97</v>
      </c>
      <c r="K1331">
        <v>87</v>
      </c>
      <c r="L1331">
        <v>76</v>
      </c>
      <c r="M1331">
        <v>54</v>
      </c>
      <c r="N1331">
        <v>82</v>
      </c>
      <c r="O1331">
        <v>396</v>
      </c>
      <c r="P1331">
        <v>79.2</v>
      </c>
      <c r="Q1331" t="s">
        <v>40</v>
      </c>
      <c r="R1331" t="s">
        <v>41</v>
      </c>
      <c r="S1331">
        <v>1543</v>
      </c>
      <c r="T1331" t="s">
        <v>42</v>
      </c>
      <c r="U1331" t="str">
        <f t="shared" si="20"/>
        <v>Pass</v>
      </c>
    </row>
    <row r="1332" spans="1:21">
      <c r="A1332" t="s">
        <v>2466</v>
      </c>
      <c r="B1332" t="s">
        <v>199</v>
      </c>
      <c r="C1332" t="s">
        <v>22</v>
      </c>
      <c r="D1332">
        <v>7</v>
      </c>
      <c r="E1332" t="s">
        <v>23</v>
      </c>
      <c r="F1332">
        <v>12</v>
      </c>
      <c r="G1332" t="s">
        <v>32</v>
      </c>
      <c r="H1332" t="s">
        <v>2377</v>
      </c>
      <c r="I1332">
        <v>89</v>
      </c>
      <c r="J1332">
        <v>81</v>
      </c>
      <c r="K1332">
        <v>95</v>
      </c>
      <c r="L1332">
        <v>69</v>
      </c>
      <c r="M1332">
        <v>69</v>
      </c>
      <c r="N1332">
        <v>97</v>
      </c>
      <c r="O1332">
        <v>411</v>
      </c>
      <c r="P1332">
        <v>82.2</v>
      </c>
      <c r="Q1332" t="s">
        <v>47</v>
      </c>
      <c r="R1332" t="s">
        <v>27</v>
      </c>
      <c r="S1332">
        <v>3349</v>
      </c>
      <c r="T1332" t="s">
        <v>66</v>
      </c>
      <c r="U1332" t="str">
        <f t="shared" si="20"/>
        <v>Pass</v>
      </c>
    </row>
    <row r="1333" spans="1:21">
      <c r="A1333" t="s">
        <v>2467</v>
      </c>
      <c r="B1333" t="s">
        <v>308</v>
      </c>
      <c r="C1333" t="s">
        <v>22</v>
      </c>
      <c r="D1333">
        <v>6</v>
      </c>
      <c r="E1333" t="s">
        <v>23</v>
      </c>
      <c r="F1333">
        <v>10</v>
      </c>
      <c r="G1333" t="s">
        <v>64</v>
      </c>
      <c r="H1333" t="s">
        <v>2468</v>
      </c>
      <c r="I1333">
        <v>76</v>
      </c>
      <c r="J1333">
        <v>46</v>
      </c>
      <c r="K1333">
        <v>41</v>
      </c>
      <c r="L1333">
        <v>41</v>
      </c>
      <c r="M1333">
        <v>82</v>
      </c>
      <c r="N1333">
        <v>63</v>
      </c>
      <c r="O1333">
        <v>273</v>
      </c>
      <c r="P1333">
        <v>54.6</v>
      </c>
      <c r="Q1333" t="s">
        <v>31</v>
      </c>
      <c r="R1333" t="s">
        <v>27</v>
      </c>
      <c r="S1333">
        <v>2655</v>
      </c>
      <c r="T1333" t="s">
        <v>34</v>
      </c>
      <c r="U1333" t="str">
        <f t="shared" si="20"/>
        <v>Fail</v>
      </c>
    </row>
    <row r="1334" spans="1:21">
      <c r="A1334" t="s">
        <v>2469</v>
      </c>
      <c r="B1334" t="s">
        <v>322</v>
      </c>
      <c r="C1334" t="s">
        <v>22</v>
      </c>
      <c r="D1334">
        <v>4</v>
      </c>
      <c r="E1334" t="s">
        <v>47</v>
      </c>
      <c r="F1334">
        <v>9</v>
      </c>
      <c r="G1334" t="s">
        <v>24</v>
      </c>
      <c r="H1334" t="s">
        <v>2470</v>
      </c>
      <c r="I1334">
        <v>61</v>
      </c>
      <c r="J1334">
        <v>46</v>
      </c>
      <c r="K1334">
        <v>100</v>
      </c>
      <c r="L1334">
        <v>97</v>
      </c>
      <c r="M1334">
        <v>54</v>
      </c>
      <c r="N1334">
        <v>36</v>
      </c>
      <c r="O1334">
        <v>333</v>
      </c>
      <c r="P1334">
        <v>66.599999999999994</v>
      </c>
      <c r="Q1334" t="s">
        <v>26</v>
      </c>
      <c r="R1334" t="s">
        <v>41</v>
      </c>
      <c r="S1334">
        <v>2495</v>
      </c>
      <c r="T1334" t="s">
        <v>66</v>
      </c>
      <c r="U1334" t="str">
        <f t="shared" si="20"/>
        <v>Pass</v>
      </c>
    </row>
    <row r="1335" spans="1:21">
      <c r="A1335" t="s">
        <v>2471</v>
      </c>
      <c r="B1335" t="s">
        <v>137</v>
      </c>
      <c r="C1335" t="s">
        <v>37</v>
      </c>
      <c r="D1335">
        <v>2</v>
      </c>
      <c r="E1335" t="s">
        <v>47</v>
      </c>
      <c r="F1335">
        <v>6</v>
      </c>
      <c r="G1335" t="s">
        <v>32</v>
      </c>
      <c r="H1335" t="s">
        <v>1072</v>
      </c>
      <c r="I1335">
        <v>85</v>
      </c>
      <c r="J1335">
        <v>100</v>
      </c>
      <c r="K1335">
        <v>39</v>
      </c>
      <c r="L1335">
        <v>83</v>
      </c>
      <c r="M1335">
        <v>64</v>
      </c>
      <c r="N1335">
        <v>43</v>
      </c>
      <c r="O1335">
        <v>329</v>
      </c>
      <c r="P1335">
        <v>65.8</v>
      </c>
      <c r="Q1335" t="s">
        <v>26</v>
      </c>
      <c r="R1335" t="s">
        <v>27</v>
      </c>
      <c r="S1335">
        <v>4007</v>
      </c>
      <c r="T1335" t="s">
        <v>70</v>
      </c>
      <c r="U1335" t="str">
        <f t="shared" si="20"/>
        <v>Pass</v>
      </c>
    </row>
    <row r="1336" spans="1:21">
      <c r="A1336" t="s">
        <v>2472</v>
      </c>
      <c r="B1336" t="s">
        <v>126</v>
      </c>
      <c r="C1336" t="s">
        <v>22</v>
      </c>
      <c r="D1336">
        <v>11</v>
      </c>
      <c r="E1336" t="s">
        <v>31</v>
      </c>
      <c r="F1336">
        <v>15</v>
      </c>
      <c r="G1336" t="s">
        <v>32</v>
      </c>
      <c r="H1336" t="s">
        <v>2473</v>
      </c>
      <c r="I1336">
        <v>84</v>
      </c>
      <c r="J1336">
        <v>45</v>
      </c>
      <c r="K1336">
        <v>66</v>
      </c>
      <c r="L1336">
        <v>71</v>
      </c>
      <c r="M1336">
        <v>86</v>
      </c>
      <c r="N1336">
        <v>84</v>
      </c>
      <c r="O1336">
        <v>352</v>
      </c>
      <c r="P1336">
        <v>70.400000000000006</v>
      </c>
      <c r="Q1336" t="s">
        <v>40</v>
      </c>
      <c r="R1336" t="s">
        <v>41</v>
      </c>
      <c r="S1336">
        <v>2586</v>
      </c>
      <c r="T1336" t="s">
        <v>28</v>
      </c>
      <c r="U1336" t="str">
        <f t="shared" si="20"/>
        <v>Pass</v>
      </c>
    </row>
    <row r="1337" spans="1:21">
      <c r="A1337" t="s">
        <v>2474</v>
      </c>
      <c r="B1337" t="s">
        <v>332</v>
      </c>
      <c r="C1337" t="s">
        <v>22</v>
      </c>
      <c r="D1337">
        <v>1</v>
      </c>
      <c r="E1337" t="s">
        <v>26</v>
      </c>
      <c r="F1337">
        <v>6</v>
      </c>
      <c r="G1337" t="s">
        <v>54</v>
      </c>
      <c r="H1337" t="s">
        <v>2332</v>
      </c>
      <c r="I1337">
        <v>75</v>
      </c>
      <c r="J1337">
        <v>60</v>
      </c>
      <c r="K1337">
        <v>53</v>
      </c>
      <c r="L1337">
        <v>60</v>
      </c>
      <c r="M1337">
        <v>65</v>
      </c>
      <c r="N1337">
        <v>73</v>
      </c>
      <c r="O1337">
        <v>311</v>
      </c>
      <c r="P1337">
        <v>62.2</v>
      </c>
      <c r="Q1337" t="s">
        <v>26</v>
      </c>
      <c r="R1337" t="s">
        <v>27</v>
      </c>
      <c r="S1337">
        <v>1682</v>
      </c>
      <c r="T1337" t="s">
        <v>34</v>
      </c>
      <c r="U1337" t="str">
        <f t="shared" si="20"/>
        <v>Pass</v>
      </c>
    </row>
    <row r="1338" spans="1:21">
      <c r="A1338" t="s">
        <v>2475</v>
      </c>
      <c r="B1338" t="s">
        <v>1281</v>
      </c>
      <c r="C1338" t="s">
        <v>22</v>
      </c>
      <c r="D1338">
        <v>12</v>
      </c>
      <c r="E1338" t="s">
        <v>31</v>
      </c>
      <c r="F1338">
        <v>18</v>
      </c>
      <c r="G1338" t="s">
        <v>45</v>
      </c>
      <c r="H1338" t="s">
        <v>2476</v>
      </c>
      <c r="I1338">
        <v>60</v>
      </c>
      <c r="J1338">
        <v>53</v>
      </c>
      <c r="K1338">
        <v>57</v>
      </c>
      <c r="L1338">
        <v>45</v>
      </c>
      <c r="M1338">
        <v>54</v>
      </c>
      <c r="N1338">
        <v>90</v>
      </c>
      <c r="O1338">
        <v>299</v>
      </c>
      <c r="P1338">
        <v>59.8</v>
      </c>
      <c r="Q1338" t="s">
        <v>31</v>
      </c>
      <c r="R1338" t="s">
        <v>27</v>
      </c>
      <c r="S1338">
        <v>4375</v>
      </c>
      <c r="T1338" t="s">
        <v>70</v>
      </c>
      <c r="U1338" t="str">
        <f t="shared" si="20"/>
        <v>Pass</v>
      </c>
    </row>
    <row r="1339" spans="1:21">
      <c r="A1339" t="s">
        <v>2477</v>
      </c>
      <c r="B1339" t="s">
        <v>555</v>
      </c>
      <c r="C1339" t="s">
        <v>37</v>
      </c>
      <c r="D1339">
        <v>4</v>
      </c>
      <c r="E1339" t="s">
        <v>47</v>
      </c>
      <c r="F1339">
        <v>10</v>
      </c>
      <c r="G1339" t="s">
        <v>58</v>
      </c>
      <c r="H1339" t="s">
        <v>1815</v>
      </c>
      <c r="I1339">
        <v>88</v>
      </c>
      <c r="J1339">
        <v>76</v>
      </c>
      <c r="K1339">
        <v>76</v>
      </c>
      <c r="L1339">
        <v>47</v>
      </c>
      <c r="M1339">
        <v>88</v>
      </c>
      <c r="N1339">
        <v>63</v>
      </c>
      <c r="O1339">
        <v>350</v>
      </c>
      <c r="P1339">
        <v>70</v>
      </c>
      <c r="Q1339" t="s">
        <v>40</v>
      </c>
      <c r="R1339" t="s">
        <v>27</v>
      </c>
      <c r="S1339">
        <v>3755</v>
      </c>
      <c r="T1339" t="s">
        <v>66</v>
      </c>
      <c r="U1339" t="str">
        <f t="shared" si="20"/>
        <v>Pass</v>
      </c>
    </row>
    <row r="1340" spans="1:21">
      <c r="A1340" t="s">
        <v>2478</v>
      </c>
      <c r="B1340" t="s">
        <v>175</v>
      </c>
      <c r="C1340" t="s">
        <v>37</v>
      </c>
      <c r="D1340">
        <v>2</v>
      </c>
      <c r="E1340" t="s">
        <v>47</v>
      </c>
      <c r="F1340">
        <v>6</v>
      </c>
      <c r="G1340" t="s">
        <v>24</v>
      </c>
      <c r="H1340" t="s">
        <v>534</v>
      </c>
      <c r="I1340">
        <v>89</v>
      </c>
      <c r="J1340">
        <v>56</v>
      </c>
      <c r="K1340">
        <v>39</v>
      </c>
      <c r="L1340">
        <v>53</v>
      </c>
      <c r="M1340">
        <v>67</v>
      </c>
      <c r="N1340">
        <v>83</v>
      </c>
      <c r="O1340">
        <v>298</v>
      </c>
      <c r="P1340">
        <v>59.6</v>
      </c>
      <c r="Q1340" t="s">
        <v>31</v>
      </c>
      <c r="R1340" t="s">
        <v>41</v>
      </c>
      <c r="S1340">
        <v>2825</v>
      </c>
      <c r="T1340" t="s">
        <v>34</v>
      </c>
      <c r="U1340" t="str">
        <f t="shared" si="20"/>
        <v>Pass</v>
      </c>
    </row>
    <row r="1341" spans="1:21">
      <c r="A1341" t="s">
        <v>2479</v>
      </c>
      <c r="B1341" t="s">
        <v>236</v>
      </c>
      <c r="C1341" t="s">
        <v>37</v>
      </c>
      <c r="D1341">
        <v>3</v>
      </c>
      <c r="E1341" t="s">
        <v>26</v>
      </c>
      <c r="F1341">
        <v>9</v>
      </c>
      <c r="G1341" t="s">
        <v>58</v>
      </c>
      <c r="H1341" t="s">
        <v>540</v>
      </c>
      <c r="I1341">
        <v>76</v>
      </c>
      <c r="J1341">
        <v>42</v>
      </c>
      <c r="K1341">
        <v>89</v>
      </c>
      <c r="L1341">
        <v>79</v>
      </c>
      <c r="M1341">
        <v>88</v>
      </c>
      <c r="N1341">
        <v>65</v>
      </c>
      <c r="O1341">
        <v>363</v>
      </c>
      <c r="P1341">
        <v>72.599999999999994</v>
      </c>
      <c r="Q1341" t="s">
        <v>40</v>
      </c>
      <c r="R1341" t="s">
        <v>27</v>
      </c>
      <c r="S1341">
        <v>3807</v>
      </c>
      <c r="T1341" t="s">
        <v>34</v>
      </c>
      <c r="U1341" t="str">
        <f t="shared" si="20"/>
        <v>Pass</v>
      </c>
    </row>
    <row r="1342" spans="1:21">
      <c r="A1342" t="s">
        <v>2480</v>
      </c>
      <c r="B1342" t="s">
        <v>239</v>
      </c>
      <c r="C1342" t="s">
        <v>22</v>
      </c>
      <c r="D1342">
        <v>4</v>
      </c>
      <c r="E1342" t="s">
        <v>31</v>
      </c>
      <c r="F1342">
        <v>10</v>
      </c>
      <c r="G1342" t="s">
        <v>24</v>
      </c>
      <c r="H1342" t="s">
        <v>2481</v>
      </c>
      <c r="I1342">
        <v>93</v>
      </c>
      <c r="J1342">
        <v>55</v>
      </c>
      <c r="K1342">
        <v>87</v>
      </c>
      <c r="L1342">
        <v>53</v>
      </c>
      <c r="M1342">
        <v>58</v>
      </c>
      <c r="N1342">
        <v>43</v>
      </c>
      <c r="O1342">
        <v>296</v>
      </c>
      <c r="P1342">
        <v>59.2</v>
      </c>
      <c r="Q1342" t="s">
        <v>31</v>
      </c>
      <c r="R1342" t="s">
        <v>41</v>
      </c>
      <c r="S1342">
        <v>3906</v>
      </c>
      <c r="T1342" t="s">
        <v>70</v>
      </c>
      <c r="U1342" t="str">
        <f t="shared" si="20"/>
        <v>Pass</v>
      </c>
    </row>
    <row r="1343" spans="1:21">
      <c r="A1343" t="s">
        <v>2482</v>
      </c>
      <c r="B1343" t="s">
        <v>253</v>
      </c>
      <c r="C1343" t="s">
        <v>37</v>
      </c>
      <c r="D1343">
        <v>10</v>
      </c>
      <c r="E1343" t="s">
        <v>31</v>
      </c>
      <c r="F1343">
        <v>16</v>
      </c>
      <c r="G1343" t="s">
        <v>45</v>
      </c>
      <c r="H1343" t="s">
        <v>2483</v>
      </c>
      <c r="I1343">
        <v>79</v>
      </c>
      <c r="J1343">
        <v>64</v>
      </c>
      <c r="K1343">
        <v>73</v>
      </c>
      <c r="L1343">
        <v>48</v>
      </c>
      <c r="M1343">
        <v>61</v>
      </c>
      <c r="N1343">
        <v>51</v>
      </c>
      <c r="O1343">
        <v>297</v>
      </c>
      <c r="P1343">
        <v>59.4</v>
      </c>
      <c r="Q1343" t="s">
        <v>31</v>
      </c>
      <c r="R1343" t="s">
        <v>27</v>
      </c>
      <c r="S1343">
        <v>2266</v>
      </c>
      <c r="T1343" t="s">
        <v>28</v>
      </c>
      <c r="U1343" t="str">
        <f t="shared" si="20"/>
        <v>Pass</v>
      </c>
    </row>
    <row r="1344" spans="1:21">
      <c r="A1344" t="s">
        <v>2484</v>
      </c>
      <c r="B1344" t="s">
        <v>21</v>
      </c>
      <c r="C1344" t="s">
        <v>37</v>
      </c>
      <c r="D1344">
        <v>2</v>
      </c>
      <c r="E1344" t="s">
        <v>23</v>
      </c>
      <c r="F1344">
        <v>6</v>
      </c>
      <c r="G1344" t="s">
        <v>58</v>
      </c>
      <c r="H1344" t="s">
        <v>2400</v>
      </c>
      <c r="I1344">
        <v>96</v>
      </c>
      <c r="J1344">
        <v>100</v>
      </c>
      <c r="K1344">
        <v>100</v>
      </c>
      <c r="L1344">
        <v>67</v>
      </c>
      <c r="M1344">
        <v>61</v>
      </c>
      <c r="N1344">
        <v>50</v>
      </c>
      <c r="O1344">
        <v>378</v>
      </c>
      <c r="P1344">
        <v>75.599999999999994</v>
      </c>
      <c r="Q1344" t="s">
        <v>40</v>
      </c>
      <c r="R1344" t="s">
        <v>41</v>
      </c>
      <c r="S1344">
        <v>2403</v>
      </c>
      <c r="T1344" t="s">
        <v>42</v>
      </c>
      <c r="U1344" t="str">
        <f t="shared" si="20"/>
        <v>Pass</v>
      </c>
    </row>
    <row r="1345" spans="1:21">
      <c r="A1345" t="s">
        <v>2485</v>
      </c>
      <c r="B1345" t="s">
        <v>1142</v>
      </c>
      <c r="C1345" t="s">
        <v>22</v>
      </c>
      <c r="D1345">
        <v>5</v>
      </c>
      <c r="E1345" t="s">
        <v>23</v>
      </c>
      <c r="F1345">
        <v>11</v>
      </c>
      <c r="G1345" t="s">
        <v>24</v>
      </c>
      <c r="H1345" t="s">
        <v>2486</v>
      </c>
      <c r="I1345">
        <v>78</v>
      </c>
      <c r="J1345">
        <v>71</v>
      </c>
      <c r="K1345">
        <v>57</v>
      </c>
      <c r="L1345">
        <v>43</v>
      </c>
      <c r="M1345">
        <v>89</v>
      </c>
      <c r="N1345">
        <v>65</v>
      </c>
      <c r="O1345">
        <v>325</v>
      </c>
      <c r="P1345">
        <v>65</v>
      </c>
      <c r="Q1345" t="s">
        <v>26</v>
      </c>
      <c r="R1345" t="s">
        <v>41</v>
      </c>
      <c r="S1345">
        <v>2819</v>
      </c>
      <c r="T1345" t="s">
        <v>66</v>
      </c>
      <c r="U1345" t="str">
        <f t="shared" si="20"/>
        <v>Pass</v>
      </c>
    </row>
    <row r="1346" spans="1:21">
      <c r="A1346" t="s">
        <v>2487</v>
      </c>
      <c r="B1346" t="s">
        <v>879</v>
      </c>
      <c r="C1346" t="s">
        <v>22</v>
      </c>
      <c r="D1346">
        <v>2</v>
      </c>
      <c r="E1346" t="s">
        <v>26</v>
      </c>
      <c r="F1346">
        <v>6</v>
      </c>
      <c r="G1346" t="s">
        <v>38</v>
      </c>
      <c r="H1346" t="s">
        <v>2488</v>
      </c>
      <c r="I1346">
        <v>91</v>
      </c>
      <c r="J1346">
        <v>66</v>
      </c>
      <c r="K1346">
        <v>76</v>
      </c>
      <c r="L1346">
        <v>89</v>
      </c>
      <c r="M1346">
        <v>94</v>
      </c>
      <c r="N1346">
        <v>43</v>
      </c>
      <c r="O1346">
        <v>368</v>
      </c>
      <c r="P1346">
        <v>73.599999999999994</v>
      </c>
      <c r="Q1346" t="s">
        <v>40</v>
      </c>
      <c r="R1346" t="s">
        <v>27</v>
      </c>
      <c r="S1346">
        <v>2997</v>
      </c>
      <c r="T1346" t="s">
        <v>66</v>
      </c>
      <c r="U1346" t="str">
        <f t="shared" si="20"/>
        <v>Pass</v>
      </c>
    </row>
    <row r="1347" spans="1:21">
      <c r="A1347" t="s">
        <v>2489</v>
      </c>
      <c r="B1347" t="s">
        <v>157</v>
      </c>
      <c r="C1347" t="s">
        <v>22</v>
      </c>
      <c r="D1347">
        <v>12</v>
      </c>
      <c r="E1347" t="s">
        <v>31</v>
      </c>
      <c r="F1347">
        <v>17</v>
      </c>
      <c r="G1347" t="s">
        <v>32</v>
      </c>
      <c r="H1347" t="s">
        <v>2490</v>
      </c>
      <c r="I1347">
        <v>81</v>
      </c>
      <c r="J1347">
        <v>69</v>
      </c>
      <c r="K1347">
        <v>55</v>
      </c>
      <c r="L1347">
        <v>45</v>
      </c>
      <c r="M1347">
        <v>45</v>
      </c>
      <c r="N1347">
        <v>93</v>
      </c>
      <c r="O1347">
        <v>307</v>
      </c>
      <c r="P1347">
        <v>61.4</v>
      </c>
      <c r="Q1347" t="s">
        <v>26</v>
      </c>
      <c r="R1347" t="s">
        <v>27</v>
      </c>
      <c r="S1347">
        <v>2972</v>
      </c>
      <c r="T1347" t="s">
        <v>28</v>
      </c>
      <c r="U1347" t="str">
        <f t="shared" ref="U1347:U1410" si="21">IF(P1347&gt;55,"Pass","Fail")</f>
        <v>Pass</v>
      </c>
    </row>
    <row r="1348" spans="1:21">
      <c r="A1348" t="s">
        <v>2491</v>
      </c>
      <c r="B1348" t="s">
        <v>819</v>
      </c>
      <c r="C1348" t="s">
        <v>37</v>
      </c>
      <c r="D1348">
        <v>1</v>
      </c>
      <c r="E1348" t="s">
        <v>26</v>
      </c>
      <c r="F1348">
        <v>6</v>
      </c>
      <c r="G1348" t="s">
        <v>64</v>
      </c>
      <c r="H1348" t="s">
        <v>903</v>
      </c>
      <c r="I1348">
        <v>72</v>
      </c>
      <c r="J1348">
        <v>49</v>
      </c>
      <c r="K1348">
        <v>49</v>
      </c>
      <c r="L1348">
        <v>96</v>
      </c>
      <c r="M1348">
        <v>69</v>
      </c>
      <c r="N1348">
        <v>98</v>
      </c>
      <c r="O1348">
        <v>361</v>
      </c>
      <c r="P1348">
        <v>72.2</v>
      </c>
      <c r="Q1348" t="s">
        <v>40</v>
      </c>
      <c r="R1348" t="s">
        <v>41</v>
      </c>
      <c r="S1348">
        <v>1684</v>
      </c>
      <c r="T1348" t="s">
        <v>28</v>
      </c>
      <c r="U1348" t="str">
        <f t="shared" si="21"/>
        <v>Pass</v>
      </c>
    </row>
    <row r="1349" spans="1:21">
      <c r="A1349" t="s">
        <v>2492</v>
      </c>
      <c r="B1349" t="s">
        <v>884</v>
      </c>
      <c r="C1349" t="s">
        <v>22</v>
      </c>
      <c r="D1349">
        <v>5</v>
      </c>
      <c r="E1349" t="s">
        <v>47</v>
      </c>
      <c r="F1349">
        <v>11</v>
      </c>
      <c r="G1349" t="s">
        <v>24</v>
      </c>
      <c r="H1349" t="s">
        <v>2493</v>
      </c>
      <c r="I1349">
        <v>79</v>
      </c>
      <c r="J1349">
        <v>81</v>
      </c>
      <c r="K1349">
        <v>86</v>
      </c>
      <c r="L1349">
        <v>54</v>
      </c>
      <c r="M1349">
        <v>59</v>
      </c>
      <c r="N1349">
        <v>61</v>
      </c>
      <c r="O1349">
        <v>341</v>
      </c>
      <c r="P1349">
        <v>68.2</v>
      </c>
      <c r="Q1349" t="s">
        <v>26</v>
      </c>
      <c r="R1349" t="s">
        <v>41</v>
      </c>
      <c r="S1349">
        <v>2711</v>
      </c>
      <c r="T1349" t="s">
        <v>70</v>
      </c>
      <c r="U1349" t="str">
        <f t="shared" si="21"/>
        <v>Pass</v>
      </c>
    </row>
    <row r="1350" spans="1:21">
      <c r="A1350" t="s">
        <v>2494</v>
      </c>
      <c r="B1350" t="s">
        <v>126</v>
      </c>
      <c r="C1350" t="s">
        <v>22</v>
      </c>
      <c r="D1350">
        <v>9</v>
      </c>
      <c r="E1350" t="s">
        <v>23</v>
      </c>
      <c r="F1350">
        <v>14</v>
      </c>
      <c r="G1350" t="s">
        <v>38</v>
      </c>
      <c r="H1350" t="s">
        <v>275</v>
      </c>
      <c r="I1350">
        <v>61</v>
      </c>
      <c r="J1350">
        <v>66</v>
      </c>
      <c r="K1350">
        <v>80</v>
      </c>
      <c r="L1350">
        <v>93</v>
      </c>
      <c r="M1350">
        <v>98</v>
      </c>
      <c r="N1350">
        <v>74</v>
      </c>
      <c r="O1350">
        <v>411</v>
      </c>
      <c r="P1350">
        <v>82.2</v>
      </c>
      <c r="Q1350" t="s">
        <v>47</v>
      </c>
      <c r="R1350" t="s">
        <v>27</v>
      </c>
      <c r="S1350">
        <v>3049</v>
      </c>
      <c r="T1350" t="s">
        <v>34</v>
      </c>
      <c r="U1350" t="str">
        <f t="shared" si="21"/>
        <v>Pass</v>
      </c>
    </row>
    <row r="1351" spans="1:21">
      <c r="A1351" t="s">
        <v>2495</v>
      </c>
      <c r="B1351" t="s">
        <v>113</v>
      </c>
      <c r="C1351" t="s">
        <v>22</v>
      </c>
      <c r="D1351">
        <v>1</v>
      </c>
      <c r="E1351" t="s">
        <v>47</v>
      </c>
      <c r="F1351">
        <v>6</v>
      </c>
      <c r="G1351" t="s">
        <v>58</v>
      </c>
      <c r="H1351" t="s">
        <v>2496</v>
      </c>
      <c r="I1351">
        <v>96</v>
      </c>
      <c r="J1351">
        <v>54</v>
      </c>
      <c r="K1351">
        <v>42</v>
      </c>
      <c r="L1351">
        <v>90</v>
      </c>
      <c r="M1351">
        <v>91</v>
      </c>
      <c r="N1351">
        <v>74</v>
      </c>
      <c r="O1351">
        <v>351</v>
      </c>
      <c r="P1351">
        <v>70.2</v>
      </c>
      <c r="Q1351" t="s">
        <v>40</v>
      </c>
      <c r="R1351" t="s">
        <v>41</v>
      </c>
      <c r="S1351">
        <v>2666</v>
      </c>
      <c r="T1351" t="s">
        <v>34</v>
      </c>
      <c r="U1351" t="str">
        <f t="shared" si="21"/>
        <v>Pass</v>
      </c>
    </row>
    <row r="1352" spans="1:21">
      <c r="A1352" t="s">
        <v>2497</v>
      </c>
      <c r="B1352" t="s">
        <v>1142</v>
      </c>
      <c r="C1352" t="s">
        <v>22</v>
      </c>
      <c r="D1352">
        <v>4</v>
      </c>
      <c r="E1352" t="s">
        <v>23</v>
      </c>
      <c r="F1352">
        <v>10</v>
      </c>
      <c r="G1352" t="s">
        <v>24</v>
      </c>
      <c r="H1352" t="s">
        <v>262</v>
      </c>
      <c r="I1352">
        <v>85</v>
      </c>
      <c r="J1352">
        <v>89</v>
      </c>
      <c r="K1352">
        <v>36</v>
      </c>
      <c r="L1352">
        <v>77</v>
      </c>
      <c r="M1352">
        <v>72</v>
      </c>
      <c r="N1352">
        <v>87</v>
      </c>
      <c r="O1352">
        <v>361</v>
      </c>
      <c r="P1352">
        <v>72.2</v>
      </c>
      <c r="Q1352" t="s">
        <v>40</v>
      </c>
      <c r="R1352" t="s">
        <v>41</v>
      </c>
      <c r="S1352">
        <v>3256</v>
      </c>
      <c r="T1352" t="s">
        <v>28</v>
      </c>
      <c r="U1352" t="str">
        <f t="shared" si="21"/>
        <v>Pass</v>
      </c>
    </row>
    <row r="1353" spans="1:21">
      <c r="A1353" t="s">
        <v>2498</v>
      </c>
      <c r="B1353" t="s">
        <v>50</v>
      </c>
      <c r="C1353" t="s">
        <v>22</v>
      </c>
      <c r="D1353">
        <v>10</v>
      </c>
      <c r="E1353" t="s">
        <v>31</v>
      </c>
      <c r="F1353">
        <v>16</v>
      </c>
      <c r="G1353" t="s">
        <v>54</v>
      </c>
      <c r="H1353" t="s">
        <v>2499</v>
      </c>
      <c r="I1353">
        <v>80</v>
      </c>
      <c r="J1353">
        <v>85</v>
      </c>
      <c r="K1353">
        <v>49</v>
      </c>
      <c r="L1353">
        <v>88</v>
      </c>
      <c r="M1353">
        <v>40</v>
      </c>
      <c r="N1353">
        <v>42</v>
      </c>
      <c r="O1353">
        <v>304</v>
      </c>
      <c r="P1353">
        <v>60.8</v>
      </c>
      <c r="Q1353" t="s">
        <v>26</v>
      </c>
      <c r="R1353" t="s">
        <v>41</v>
      </c>
      <c r="S1353">
        <v>1895</v>
      </c>
      <c r="T1353" t="s">
        <v>34</v>
      </c>
      <c r="U1353" t="str">
        <f t="shared" si="21"/>
        <v>Pass</v>
      </c>
    </row>
    <row r="1354" spans="1:21">
      <c r="A1354" t="s">
        <v>2500</v>
      </c>
      <c r="B1354" t="s">
        <v>416</v>
      </c>
      <c r="C1354" t="s">
        <v>22</v>
      </c>
      <c r="D1354">
        <v>10</v>
      </c>
      <c r="E1354" t="s">
        <v>23</v>
      </c>
      <c r="F1354">
        <v>16</v>
      </c>
      <c r="G1354" t="s">
        <v>64</v>
      </c>
      <c r="H1354" t="s">
        <v>2501</v>
      </c>
      <c r="I1354">
        <v>84</v>
      </c>
      <c r="J1354">
        <v>72</v>
      </c>
      <c r="K1354">
        <v>65</v>
      </c>
      <c r="L1354">
        <v>93</v>
      </c>
      <c r="M1354">
        <v>92</v>
      </c>
      <c r="N1354">
        <v>57</v>
      </c>
      <c r="O1354">
        <v>379</v>
      </c>
      <c r="P1354">
        <v>75.8</v>
      </c>
      <c r="Q1354" t="s">
        <v>40</v>
      </c>
      <c r="R1354" t="s">
        <v>27</v>
      </c>
      <c r="S1354">
        <v>4450</v>
      </c>
      <c r="T1354" t="s">
        <v>70</v>
      </c>
      <c r="U1354" t="str">
        <f t="shared" si="21"/>
        <v>Pass</v>
      </c>
    </row>
    <row r="1355" spans="1:21">
      <c r="A1355" t="s">
        <v>2502</v>
      </c>
      <c r="B1355" t="s">
        <v>798</v>
      </c>
      <c r="C1355" t="s">
        <v>22</v>
      </c>
      <c r="D1355">
        <v>3</v>
      </c>
      <c r="E1355" t="s">
        <v>23</v>
      </c>
      <c r="F1355">
        <v>8</v>
      </c>
      <c r="G1355" t="s">
        <v>38</v>
      </c>
      <c r="H1355" t="s">
        <v>1983</v>
      </c>
      <c r="I1355">
        <v>70</v>
      </c>
      <c r="J1355">
        <v>83</v>
      </c>
      <c r="K1355">
        <v>39</v>
      </c>
      <c r="L1355">
        <v>48</v>
      </c>
      <c r="M1355">
        <v>79</v>
      </c>
      <c r="N1355">
        <v>99</v>
      </c>
      <c r="O1355">
        <v>348</v>
      </c>
      <c r="P1355">
        <v>69.599999999999994</v>
      </c>
      <c r="Q1355" t="s">
        <v>26</v>
      </c>
      <c r="R1355" t="s">
        <v>41</v>
      </c>
      <c r="S1355">
        <v>4542</v>
      </c>
      <c r="T1355" t="s">
        <v>34</v>
      </c>
      <c r="U1355" t="str">
        <f t="shared" si="21"/>
        <v>Pass</v>
      </c>
    </row>
    <row r="1356" spans="1:21">
      <c r="A1356" t="s">
        <v>2503</v>
      </c>
      <c r="B1356" t="s">
        <v>96</v>
      </c>
      <c r="C1356" t="s">
        <v>22</v>
      </c>
      <c r="D1356">
        <v>5</v>
      </c>
      <c r="E1356" t="s">
        <v>23</v>
      </c>
      <c r="F1356">
        <v>11</v>
      </c>
      <c r="G1356" t="s">
        <v>32</v>
      </c>
      <c r="H1356" t="s">
        <v>1733</v>
      </c>
      <c r="I1356">
        <v>62</v>
      </c>
      <c r="J1356">
        <v>82</v>
      </c>
      <c r="K1356">
        <v>87</v>
      </c>
      <c r="L1356">
        <v>55</v>
      </c>
      <c r="M1356">
        <v>75</v>
      </c>
      <c r="N1356">
        <v>52</v>
      </c>
      <c r="O1356">
        <v>351</v>
      </c>
      <c r="P1356">
        <v>70.2</v>
      </c>
      <c r="Q1356" t="s">
        <v>40</v>
      </c>
      <c r="R1356" t="s">
        <v>27</v>
      </c>
      <c r="S1356">
        <v>3117</v>
      </c>
      <c r="T1356" t="s">
        <v>28</v>
      </c>
      <c r="U1356" t="str">
        <f t="shared" si="21"/>
        <v>Pass</v>
      </c>
    </row>
    <row r="1357" spans="1:21">
      <c r="A1357" t="s">
        <v>2504</v>
      </c>
      <c r="B1357" t="s">
        <v>562</v>
      </c>
      <c r="C1357" t="s">
        <v>37</v>
      </c>
      <c r="D1357">
        <v>5</v>
      </c>
      <c r="E1357" t="s">
        <v>47</v>
      </c>
      <c r="F1357">
        <v>11</v>
      </c>
      <c r="G1357" t="s">
        <v>38</v>
      </c>
      <c r="H1357" t="s">
        <v>387</v>
      </c>
      <c r="I1357">
        <v>80</v>
      </c>
      <c r="J1357">
        <v>65</v>
      </c>
      <c r="K1357">
        <v>98</v>
      </c>
      <c r="L1357">
        <v>74</v>
      </c>
      <c r="M1357">
        <v>98</v>
      </c>
      <c r="N1357">
        <v>92</v>
      </c>
      <c r="O1357">
        <v>427</v>
      </c>
      <c r="P1357">
        <v>85.4</v>
      </c>
      <c r="Q1357" t="s">
        <v>47</v>
      </c>
      <c r="R1357" t="s">
        <v>27</v>
      </c>
      <c r="S1357">
        <v>2170</v>
      </c>
      <c r="T1357" t="s">
        <v>70</v>
      </c>
      <c r="U1357" t="str">
        <f t="shared" si="21"/>
        <v>Pass</v>
      </c>
    </row>
    <row r="1358" spans="1:21">
      <c r="A1358" t="s">
        <v>2505</v>
      </c>
      <c r="B1358" t="s">
        <v>490</v>
      </c>
      <c r="C1358" t="s">
        <v>22</v>
      </c>
      <c r="D1358">
        <v>9</v>
      </c>
      <c r="E1358" t="s">
        <v>31</v>
      </c>
      <c r="F1358">
        <v>14</v>
      </c>
      <c r="G1358" t="s">
        <v>24</v>
      </c>
      <c r="H1358" t="s">
        <v>1762</v>
      </c>
      <c r="I1358">
        <v>63</v>
      </c>
      <c r="J1358">
        <v>95</v>
      </c>
      <c r="K1358">
        <v>86</v>
      </c>
      <c r="L1358">
        <v>76</v>
      </c>
      <c r="M1358">
        <v>62</v>
      </c>
      <c r="N1358">
        <v>57</v>
      </c>
      <c r="O1358">
        <v>376</v>
      </c>
      <c r="P1358">
        <v>75.2</v>
      </c>
      <c r="Q1358" t="s">
        <v>40</v>
      </c>
      <c r="R1358" t="s">
        <v>41</v>
      </c>
      <c r="S1358">
        <v>2231</v>
      </c>
      <c r="T1358" t="s">
        <v>42</v>
      </c>
      <c r="U1358" t="str">
        <f t="shared" si="21"/>
        <v>Pass</v>
      </c>
    </row>
    <row r="1359" spans="1:21">
      <c r="A1359" t="s">
        <v>2506</v>
      </c>
      <c r="B1359" t="s">
        <v>835</v>
      </c>
      <c r="C1359" t="s">
        <v>37</v>
      </c>
      <c r="D1359">
        <v>7</v>
      </c>
      <c r="E1359" t="s">
        <v>31</v>
      </c>
      <c r="F1359">
        <v>11</v>
      </c>
      <c r="G1359" t="s">
        <v>58</v>
      </c>
      <c r="H1359" t="s">
        <v>2507</v>
      </c>
      <c r="I1359">
        <v>74</v>
      </c>
      <c r="J1359">
        <v>69</v>
      </c>
      <c r="K1359">
        <v>49</v>
      </c>
      <c r="L1359">
        <v>71</v>
      </c>
      <c r="M1359">
        <v>58</v>
      </c>
      <c r="N1359">
        <v>41</v>
      </c>
      <c r="O1359">
        <v>288</v>
      </c>
      <c r="P1359">
        <v>57.6</v>
      </c>
      <c r="Q1359" t="s">
        <v>31</v>
      </c>
      <c r="R1359" t="s">
        <v>27</v>
      </c>
      <c r="S1359">
        <v>3501</v>
      </c>
      <c r="T1359" t="s">
        <v>28</v>
      </c>
      <c r="U1359" t="str">
        <f t="shared" si="21"/>
        <v>Pass</v>
      </c>
    </row>
    <row r="1360" spans="1:21">
      <c r="A1360" t="s">
        <v>2508</v>
      </c>
      <c r="B1360" t="s">
        <v>714</v>
      </c>
      <c r="C1360" t="s">
        <v>22</v>
      </c>
      <c r="D1360">
        <v>2</v>
      </c>
      <c r="E1360" t="s">
        <v>31</v>
      </c>
      <c r="F1360">
        <v>8</v>
      </c>
      <c r="G1360" t="s">
        <v>32</v>
      </c>
      <c r="H1360" t="s">
        <v>1846</v>
      </c>
      <c r="I1360">
        <v>100</v>
      </c>
      <c r="J1360">
        <v>68</v>
      </c>
      <c r="K1360">
        <v>37</v>
      </c>
      <c r="L1360">
        <v>60</v>
      </c>
      <c r="M1360">
        <v>41</v>
      </c>
      <c r="N1360">
        <v>38</v>
      </c>
      <c r="O1360">
        <v>244</v>
      </c>
      <c r="P1360">
        <v>48.8</v>
      </c>
      <c r="Q1360" t="s">
        <v>23</v>
      </c>
      <c r="R1360" t="s">
        <v>27</v>
      </c>
      <c r="S1360">
        <v>3122</v>
      </c>
      <c r="T1360" t="s">
        <v>66</v>
      </c>
      <c r="U1360" t="str">
        <f t="shared" si="21"/>
        <v>Fail</v>
      </c>
    </row>
    <row r="1361" spans="1:21">
      <c r="A1361" t="s">
        <v>2509</v>
      </c>
      <c r="B1361" t="s">
        <v>591</v>
      </c>
      <c r="C1361" t="s">
        <v>37</v>
      </c>
      <c r="D1361">
        <v>11</v>
      </c>
      <c r="E1361" t="s">
        <v>23</v>
      </c>
      <c r="F1361">
        <v>15</v>
      </c>
      <c r="G1361" t="s">
        <v>32</v>
      </c>
      <c r="H1361" t="s">
        <v>2510</v>
      </c>
      <c r="I1361">
        <v>80</v>
      </c>
      <c r="J1361">
        <v>87</v>
      </c>
      <c r="K1361">
        <v>58</v>
      </c>
      <c r="L1361">
        <v>47</v>
      </c>
      <c r="M1361">
        <v>86</v>
      </c>
      <c r="N1361">
        <v>64</v>
      </c>
      <c r="O1361">
        <v>342</v>
      </c>
      <c r="P1361">
        <v>68.400000000000006</v>
      </c>
      <c r="Q1361" t="s">
        <v>26</v>
      </c>
      <c r="R1361" t="s">
        <v>41</v>
      </c>
      <c r="S1361">
        <v>2003</v>
      </c>
      <c r="T1361" t="s">
        <v>34</v>
      </c>
      <c r="U1361" t="str">
        <f t="shared" si="21"/>
        <v>Pass</v>
      </c>
    </row>
    <row r="1362" spans="1:21">
      <c r="A1362" t="s">
        <v>2511</v>
      </c>
      <c r="B1362" t="s">
        <v>277</v>
      </c>
      <c r="C1362" t="s">
        <v>37</v>
      </c>
      <c r="D1362">
        <v>8</v>
      </c>
      <c r="E1362" t="s">
        <v>31</v>
      </c>
      <c r="F1362">
        <v>14</v>
      </c>
      <c r="G1362" t="s">
        <v>38</v>
      </c>
      <c r="H1362" t="s">
        <v>1656</v>
      </c>
      <c r="I1362">
        <v>92</v>
      </c>
      <c r="J1362">
        <v>36</v>
      </c>
      <c r="K1362">
        <v>43</v>
      </c>
      <c r="L1362">
        <v>83</v>
      </c>
      <c r="M1362">
        <v>52</v>
      </c>
      <c r="N1362">
        <v>37</v>
      </c>
      <c r="O1362">
        <v>251</v>
      </c>
      <c r="P1362">
        <v>50.2</v>
      </c>
      <c r="Q1362" t="s">
        <v>31</v>
      </c>
      <c r="R1362" t="s">
        <v>27</v>
      </c>
      <c r="S1362">
        <v>2269</v>
      </c>
      <c r="T1362" t="s">
        <v>42</v>
      </c>
      <c r="U1362" t="str">
        <f t="shared" si="21"/>
        <v>Fail</v>
      </c>
    </row>
    <row r="1363" spans="1:21">
      <c r="A1363" t="s">
        <v>2512</v>
      </c>
      <c r="B1363" t="s">
        <v>365</v>
      </c>
      <c r="C1363" t="s">
        <v>37</v>
      </c>
      <c r="D1363">
        <v>11</v>
      </c>
      <c r="E1363" t="s">
        <v>23</v>
      </c>
      <c r="F1363">
        <v>15</v>
      </c>
      <c r="G1363" t="s">
        <v>58</v>
      </c>
      <c r="H1363" t="s">
        <v>2513</v>
      </c>
      <c r="I1363">
        <v>74</v>
      </c>
      <c r="J1363">
        <v>38</v>
      </c>
      <c r="K1363">
        <v>65</v>
      </c>
      <c r="L1363">
        <v>38</v>
      </c>
      <c r="M1363">
        <v>92</v>
      </c>
      <c r="N1363">
        <v>78</v>
      </c>
      <c r="O1363">
        <v>311</v>
      </c>
      <c r="P1363">
        <v>62.2</v>
      </c>
      <c r="Q1363" t="s">
        <v>26</v>
      </c>
      <c r="R1363" t="s">
        <v>27</v>
      </c>
      <c r="S1363">
        <v>3596</v>
      </c>
      <c r="T1363" t="s">
        <v>66</v>
      </c>
      <c r="U1363" t="str">
        <f t="shared" si="21"/>
        <v>Pass</v>
      </c>
    </row>
    <row r="1364" spans="1:21">
      <c r="A1364" t="s">
        <v>2514</v>
      </c>
      <c r="B1364" t="s">
        <v>350</v>
      </c>
      <c r="C1364" t="s">
        <v>37</v>
      </c>
      <c r="D1364">
        <v>6</v>
      </c>
      <c r="E1364" t="s">
        <v>31</v>
      </c>
      <c r="F1364">
        <v>12</v>
      </c>
      <c r="G1364" t="s">
        <v>24</v>
      </c>
      <c r="H1364" t="s">
        <v>2515</v>
      </c>
      <c r="I1364">
        <v>93</v>
      </c>
      <c r="J1364">
        <v>40</v>
      </c>
      <c r="K1364">
        <v>43</v>
      </c>
      <c r="L1364">
        <v>60</v>
      </c>
      <c r="M1364">
        <v>92</v>
      </c>
      <c r="N1364">
        <v>50</v>
      </c>
      <c r="O1364">
        <v>285</v>
      </c>
      <c r="P1364">
        <v>57</v>
      </c>
      <c r="Q1364" t="s">
        <v>31</v>
      </c>
      <c r="R1364" t="s">
        <v>27</v>
      </c>
      <c r="S1364">
        <v>1651</v>
      </c>
      <c r="T1364" t="s">
        <v>34</v>
      </c>
      <c r="U1364" t="str">
        <f t="shared" si="21"/>
        <v>Pass</v>
      </c>
    </row>
    <row r="1365" spans="1:21">
      <c r="A1365" t="s">
        <v>2516</v>
      </c>
      <c r="B1365" t="s">
        <v>678</v>
      </c>
      <c r="C1365" t="s">
        <v>22</v>
      </c>
      <c r="D1365">
        <v>1</v>
      </c>
      <c r="E1365" t="s">
        <v>26</v>
      </c>
      <c r="F1365">
        <v>6</v>
      </c>
      <c r="G1365" t="s">
        <v>32</v>
      </c>
      <c r="H1365" t="s">
        <v>2517</v>
      </c>
      <c r="I1365">
        <v>74</v>
      </c>
      <c r="J1365">
        <v>69</v>
      </c>
      <c r="K1365">
        <v>75</v>
      </c>
      <c r="L1365">
        <v>64</v>
      </c>
      <c r="M1365">
        <v>65</v>
      </c>
      <c r="N1365">
        <v>97</v>
      </c>
      <c r="O1365">
        <v>370</v>
      </c>
      <c r="P1365">
        <v>74</v>
      </c>
      <c r="Q1365" t="s">
        <v>40</v>
      </c>
      <c r="R1365" t="s">
        <v>27</v>
      </c>
      <c r="S1365">
        <v>3922</v>
      </c>
      <c r="T1365" t="s">
        <v>42</v>
      </c>
      <c r="U1365" t="str">
        <f t="shared" si="21"/>
        <v>Pass</v>
      </c>
    </row>
    <row r="1366" spans="1:21">
      <c r="A1366" t="s">
        <v>2518</v>
      </c>
      <c r="B1366" t="s">
        <v>1207</v>
      </c>
      <c r="C1366" t="s">
        <v>37</v>
      </c>
      <c r="D1366">
        <v>5</v>
      </c>
      <c r="E1366" t="s">
        <v>47</v>
      </c>
      <c r="F1366">
        <v>10</v>
      </c>
      <c r="G1366" t="s">
        <v>58</v>
      </c>
      <c r="H1366" t="s">
        <v>679</v>
      </c>
      <c r="I1366">
        <v>68</v>
      </c>
      <c r="J1366">
        <v>50</v>
      </c>
      <c r="K1366">
        <v>99</v>
      </c>
      <c r="L1366">
        <v>93</v>
      </c>
      <c r="M1366">
        <v>64</v>
      </c>
      <c r="N1366">
        <v>48</v>
      </c>
      <c r="O1366">
        <v>354</v>
      </c>
      <c r="P1366">
        <v>70.8</v>
      </c>
      <c r="Q1366" t="s">
        <v>40</v>
      </c>
      <c r="R1366" t="s">
        <v>27</v>
      </c>
      <c r="S1366">
        <v>3832</v>
      </c>
      <c r="T1366" t="s">
        <v>42</v>
      </c>
      <c r="U1366" t="str">
        <f t="shared" si="21"/>
        <v>Pass</v>
      </c>
    </row>
    <row r="1367" spans="1:21">
      <c r="A1367" t="s">
        <v>2519</v>
      </c>
      <c r="B1367" t="s">
        <v>777</v>
      </c>
      <c r="C1367" t="s">
        <v>37</v>
      </c>
      <c r="D1367">
        <v>3</v>
      </c>
      <c r="E1367" t="s">
        <v>23</v>
      </c>
      <c r="F1367">
        <v>7</v>
      </c>
      <c r="G1367" t="s">
        <v>58</v>
      </c>
      <c r="H1367" t="s">
        <v>91</v>
      </c>
      <c r="I1367">
        <v>82</v>
      </c>
      <c r="J1367">
        <v>73</v>
      </c>
      <c r="K1367">
        <v>98</v>
      </c>
      <c r="L1367">
        <v>75</v>
      </c>
      <c r="M1367">
        <v>93</v>
      </c>
      <c r="N1367">
        <v>86</v>
      </c>
      <c r="O1367">
        <v>425</v>
      </c>
      <c r="P1367">
        <v>85</v>
      </c>
      <c r="Q1367" t="s">
        <v>47</v>
      </c>
      <c r="R1367" t="s">
        <v>27</v>
      </c>
      <c r="S1367">
        <v>2398</v>
      </c>
      <c r="T1367" t="s">
        <v>34</v>
      </c>
      <c r="U1367" t="str">
        <f t="shared" si="21"/>
        <v>Pass</v>
      </c>
    </row>
    <row r="1368" spans="1:21">
      <c r="A1368" t="s">
        <v>2520</v>
      </c>
      <c r="B1368" t="s">
        <v>242</v>
      </c>
      <c r="C1368" t="s">
        <v>37</v>
      </c>
      <c r="D1368">
        <v>1</v>
      </c>
      <c r="E1368" t="s">
        <v>47</v>
      </c>
      <c r="F1368">
        <v>6</v>
      </c>
      <c r="G1368" t="s">
        <v>24</v>
      </c>
      <c r="H1368" t="s">
        <v>1796</v>
      </c>
      <c r="I1368">
        <v>78</v>
      </c>
      <c r="J1368">
        <v>66</v>
      </c>
      <c r="K1368">
        <v>51</v>
      </c>
      <c r="L1368">
        <v>82</v>
      </c>
      <c r="M1368">
        <v>69</v>
      </c>
      <c r="N1368">
        <v>36</v>
      </c>
      <c r="O1368">
        <v>304</v>
      </c>
      <c r="P1368">
        <v>60.8</v>
      </c>
      <c r="Q1368" t="s">
        <v>26</v>
      </c>
      <c r="R1368" t="s">
        <v>27</v>
      </c>
      <c r="S1368">
        <v>3892</v>
      </c>
      <c r="T1368" t="s">
        <v>34</v>
      </c>
      <c r="U1368" t="str">
        <f t="shared" si="21"/>
        <v>Pass</v>
      </c>
    </row>
    <row r="1369" spans="1:21">
      <c r="A1369" t="s">
        <v>2521</v>
      </c>
      <c r="B1369" t="s">
        <v>824</v>
      </c>
      <c r="C1369" t="s">
        <v>37</v>
      </c>
      <c r="D1369">
        <v>4</v>
      </c>
      <c r="E1369" t="s">
        <v>31</v>
      </c>
      <c r="F1369">
        <v>8</v>
      </c>
      <c r="G1369" t="s">
        <v>64</v>
      </c>
      <c r="H1369" t="s">
        <v>2522</v>
      </c>
      <c r="I1369">
        <v>72</v>
      </c>
      <c r="J1369">
        <v>92</v>
      </c>
      <c r="K1369">
        <v>40</v>
      </c>
      <c r="L1369">
        <v>49</v>
      </c>
      <c r="M1369">
        <v>61</v>
      </c>
      <c r="N1369">
        <v>43</v>
      </c>
      <c r="O1369">
        <v>285</v>
      </c>
      <c r="P1369">
        <v>57</v>
      </c>
      <c r="Q1369" t="s">
        <v>31</v>
      </c>
      <c r="R1369" t="s">
        <v>27</v>
      </c>
      <c r="S1369">
        <v>2237</v>
      </c>
      <c r="T1369" t="s">
        <v>70</v>
      </c>
      <c r="U1369" t="str">
        <f t="shared" si="21"/>
        <v>Pass</v>
      </c>
    </row>
    <row r="1370" spans="1:21">
      <c r="A1370" t="s">
        <v>2523</v>
      </c>
      <c r="B1370" t="s">
        <v>96</v>
      </c>
      <c r="C1370" t="s">
        <v>37</v>
      </c>
      <c r="D1370">
        <v>2</v>
      </c>
      <c r="E1370" t="s">
        <v>23</v>
      </c>
      <c r="F1370">
        <v>6</v>
      </c>
      <c r="G1370" t="s">
        <v>64</v>
      </c>
      <c r="H1370" t="s">
        <v>2524</v>
      </c>
      <c r="I1370">
        <v>97</v>
      </c>
      <c r="J1370">
        <v>73</v>
      </c>
      <c r="K1370">
        <v>59</v>
      </c>
      <c r="L1370">
        <v>39</v>
      </c>
      <c r="M1370">
        <v>100</v>
      </c>
      <c r="N1370">
        <v>60</v>
      </c>
      <c r="O1370">
        <v>331</v>
      </c>
      <c r="P1370">
        <v>66.2</v>
      </c>
      <c r="Q1370" t="s">
        <v>26</v>
      </c>
      <c r="R1370" t="s">
        <v>27</v>
      </c>
      <c r="S1370">
        <v>4564</v>
      </c>
      <c r="T1370" t="s">
        <v>34</v>
      </c>
      <c r="U1370" t="str">
        <f t="shared" si="21"/>
        <v>Pass</v>
      </c>
    </row>
    <row r="1371" spans="1:21">
      <c r="A1371" t="s">
        <v>2525</v>
      </c>
      <c r="B1371" t="s">
        <v>389</v>
      </c>
      <c r="C1371" t="s">
        <v>37</v>
      </c>
      <c r="D1371">
        <v>11</v>
      </c>
      <c r="E1371" t="s">
        <v>26</v>
      </c>
      <c r="F1371">
        <v>15</v>
      </c>
      <c r="G1371" t="s">
        <v>64</v>
      </c>
      <c r="H1371" t="s">
        <v>330</v>
      </c>
      <c r="I1371">
        <v>88</v>
      </c>
      <c r="J1371">
        <v>76</v>
      </c>
      <c r="K1371">
        <v>91</v>
      </c>
      <c r="L1371">
        <v>61</v>
      </c>
      <c r="M1371">
        <v>76</v>
      </c>
      <c r="N1371">
        <v>42</v>
      </c>
      <c r="O1371">
        <v>346</v>
      </c>
      <c r="P1371">
        <v>69.2</v>
      </c>
      <c r="Q1371" t="s">
        <v>26</v>
      </c>
      <c r="R1371" t="s">
        <v>27</v>
      </c>
      <c r="S1371">
        <v>4864</v>
      </c>
      <c r="T1371" t="s">
        <v>66</v>
      </c>
      <c r="U1371" t="str">
        <f t="shared" si="21"/>
        <v>Pass</v>
      </c>
    </row>
    <row r="1372" spans="1:21">
      <c r="A1372" t="s">
        <v>2526</v>
      </c>
      <c r="B1372" t="s">
        <v>335</v>
      </c>
      <c r="C1372" t="s">
        <v>22</v>
      </c>
      <c r="D1372">
        <v>3</v>
      </c>
      <c r="E1372" t="s">
        <v>47</v>
      </c>
      <c r="F1372">
        <v>7</v>
      </c>
      <c r="G1372" t="s">
        <v>38</v>
      </c>
      <c r="H1372" t="s">
        <v>2527</v>
      </c>
      <c r="I1372">
        <v>78</v>
      </c>
      <c r="J1372">
        <v>46</v>
      </c>
      <c r="K1372">
        <v>54</v>
      </c>
      <c r="L1372">
        <v>75</v>
      </c>
      <c r="M1372">
        <v>57</v>
      </c>
      <c r="N1372">
        <v>94</v>
      </c>
      <c r="O1372">
        <v>326</v>
      </c>
      <c r="P1372">
        <v>65.2</v>
      </c>
      <c r="Q1372" t="s">
        <v>26</v>
      </c>
      <c r="R1372" t="s">
        <v>27</v>
      </c>
      <c r="S1372">
        <v>2728</v>
      </c>
      <c r="T1372" t="s">
        <v>70</v>
      </c>
      <c r="U1372" t="str">
        <f t="shared" si="21"/>
        <v>Pass</v>
      </c>
    </row>
    <row r="1373" spans="1:21">
      <c r="A1373" t="s">
        <v>2528</v>
      </c>
      <c r="B1373" t="s">
        <v>370</v>
      </c>
      <c r="C1373" t="s">
        <v>37</v>
      </c>
      <c r="D1373">
        <v>3</v>
      </c>
      <c r="E1373" t="s">
        <v>26</v>
      </c>
      <c r="F1373">
        <v>8</v>
      </c>
      <c r="G1373" t="s">
        <v>64</v>
      </c>
      <c r="H1373" t="s">
        <v>749</v>
      </c>
      <c r="I1373">
        <v>95</v>
      </c>
      <c r="J1373">
        <v>99</v>
      </c>
      <c r="K1373">
        <v>97</v>
      </c>
      <c r="L1373">
        <v>67</v>
      </c>
      <c r="M1373">
        <v>67</v>
      </c>
      <c r="N1373">
        <v>74</v>
      </c>
      <c r="O1373">
        <v>404</v>
      </c>
      <c r="P1373">
        <v>80.8</v>
      </c>
      <c r="Q1373" t="s">
        <v>47</v>
      </c>
      <c r="R1373" t="s">
        <v>41</v>
      </c>
      <c r="S1373">
        <v>2627</v>
      </c>
      <c r="T1373" t="s">
        <v>42</v>
      </c>
      <c r="U1373" t="str">
        <f t="shared" si="21"/>
        <v>Pass</v>
      </c>
    </row>
    <row r="1374" spans="1:21">
      <c r="A1374" t="s">
        <v>2529</v>
      </c>
      <c r="B1374" t="s">
        <v>1207</v>
      </c>
      <c r="C1374" t="s">
        <v>22</v>
      </c>
      <c r="D1374">
        <v>9</v>
      </c>
      <c r="E1374" t="s">
        <v>47</v>
      </c>
      <c r="F1374">
        <v>15</v>
      </c>
      <c r="G1374" t="s">
        <v>54</v>
      </c>
      <c r="H1374" t="s">
        <v>1122</v>
      </c>
      <c r="I1374">
        <v>83</v>
      </c>
      <c r="J1374">
        <v>38</v>
      </c>
      <c r="K1374">
        <v>99</v>
      </c>
      <c r="L1374">
        <v>59</v>
      </c>
      <c r="M1374">
        <v>84</v>
      </c>
      <c r="N1374">
        <v>87</v>
      </c>
      <c r="O1374">
        <v>367</v>
      </c>
      <c r="P1374">
        <v>73.400000000000006</v>
      </c>
      <c r="Q1374" t="s">
        <v>40</v>
      </c>
      <c r="R1374" t="s">
        <v>41</v>
      </c>
      <c r="S1374">
        <v>4173</v>
      </c>
      <c r="T1374" t="s">
        <v>48</v>
      </c>
      <c r="U1374" t="str">
        <f t="shared" si="21"/>
        <v>Pass</v>
      </c>
    </row>
    <row r="1375" spans="1:21">
      <c r="A1375" t="s">
        <v>2530</v>
      </c>
      <c r="B1375" t="s">
        <v>211</v>
      </c>
      <c r="C1375" t="s">
        <v>22</v>
      </c>
      <c r="D1375">
        <v>12</v>
      </c>
      <c r="E1375" t="s">
        <v>23</v>
      </c>
      <c r="F1375">
        <v>18</v>
      </c>
      <c r="G1375" t="s">
        <v>54</v>
      </c>
      <c r="H1375" t="s">
        <v>2531</v>
      </c>
      <c r="I1375">
        <v>84</v>
      </c>
      <c r="J1375">
        <v>69</v>
      </c>
      <c r="K1375">
        <v>43</v>
      </c>
      <c r="L1375">
        <v>50</v>
      </c>
      <c r="M1375">
        <v>83</v>
      </c>
      <c r="N1375">
        <v>86</v>
      </c>
      <c r="O1375">
        <v>331</v>
      </c>
      <c r="P1375">
        <v>66.2</v>
      </c>
      <c r="Q1375" t="s">
        <v>26</v>
      </c>
      <c r="R1375" t="s">
        <v>41</v>
      </c>
      <c r="S1375">
        <v>3840</v>
      </c>
      <c r="T1375" t="s">
        <v>34</v>
      </c>
      <c r="U1375" t="str">
        <f t="shared" si="21"/>
        <v>Pass</v>
      </c>
    </row>
    <row r="1376" spans="1:21">
      <c r="A1376" t="s">
        <v>2532</v>
      </c>
      <c r="B1376" t="s">
        <v>199</v>
      </c>
      <c r="C1376" t="s">
        <v>37</v>
      </c>
      <c r="D1376">
        <v>12</v>
      </c>
      <c r="E1376" t="s">
        <v>26</v>
      </c>
      <c r="F1376">
        <v>16</v>
      </c>
      <c r="G1376" t="s">
        <v>45</v>
      </c>
      <c r="H1376" t="s">
        <v>907</v>
      </c>
      <c r="I1376">
        <v>64</v>
      </c>
      <c r="J1376">
        <v>78</v>
      </c>
      <c r="K1376">
        <v>87</v>
      </c>
      <c r="L1376">
        <v>55</v>
      </c>
      <c r="M1376">
        <v>42</v>
      </c>
      <c r="N1376">
        <v>40</v>
      </c>
      <c r="O1376">
        <v>302</v>
      </c>
      <c r="P1376">
        <v>60.4</v>
      </c>
      <c r="Q1376" t="s">
        <v>26</v>
      </c>
      <c r="R1376" t="s">
        <v>27</v>
      </c>
      <c r="S1376">
        <v>3096</v>
      </c>
      <c r="T1376" t="s">
        <v>70</v>
      </c>
      <c r="U1376" t="str">
        <f t="shared" si="21"/>
        <v>Pass</v>
      </c>
    </row>
    <row r="1377" spans="1:21">
      <c r="A1377" t="s">
        <v>2533</v>
      </c>
      <c r="B1377" t="s">
        <v>555</v>
      </c>
      <c r="C1377" t="s">
        <v>22</v>
      </c>
      <c r="D1377">
        <v>2</v>
      </c>
      <c r="E1377" t="s">
        <v>23</v>
      </c>
      <c r="F1377">
        <v>8</v>
      </c>
      <c r="G1377" t="s">
        <v>58</v>
      </c>
      <c r="H1377" t="s">
        <v>2534</v>
      </c>
      <c r="I1377">
        <v>96</v>
      </c>
      <c r="J1377">
        <v>89</v>
      </c>
      <c r="K1377">
        <v>68</v>
      </c>
      <c r="L1377">
        <v>39</v>
      </c>
      <c r="M1377">
        <v>67</v>
      </c>
      <c r="N1377">
        <v>85</v>
      </c>
      <c r="O1377">
        <v>348</v>
      </c>
      <c r="P1377">
        <v>69.599999999999994</v>
      </c>
      <c r="Q1377" t="s">
        <v>26</v>
      </c>
      <c r="R1377" t="s">
        <v>27</v>
      </c>
      <c r="S1377">
        <v>3499</v>
      </c>
      <c r="T1377" t="s">
        <v>42</v>
      </c>
      <c r="U1377" t="str">
        <f t="shared" si="21"/>
        <v>Pass</v>
      </c>
    </row>
    <row r="1378" spans="1:21">
      <c r="A1378" t="s">
        <v>2535</v>
      </c>
      <c r="B1378" t="s">
        <v>84</v>
      </c>
      <c r="C1378" t="s">
        <v>22</v>
      </c>
      <c r="D1378">
        <v>2</v>
      </c>
      <c r="E1378" t="s">
        <v>47</v>
      </c>
      <c r="F1378">
        <v>7</v>
      </c>
      <c r="G1378" t="s">
        <v>58</v>
      </c>
      <c r="H1378" t="s">
        <v>2536</v>
      </c>
      <c r="I1378">
        <v>87</v>
      </c>
      <c r="J1378">
        <v>73</v>
      </c>
      <c r="K1378">
        <v>48</v>
      </c>
      <c r="L1378">
        <v>52</v>
      </c>
      <c r="M1378">
        <v>80</v>
      </c>
      <c r="N1378">
        <v>97</v>
      </c>
      <c r="O1378">
        <v>350</v>
      </c>
      <c r="P1378">
        <v>70</v>
      </c>
      <c r="Q1378" t="s">
        <v>40</v>
      </c>
      <c r="R1378" t="s">
        <v>41</v>
      </c>
      <c r="S1378">
        <v>2527</v>
      </c>
      <c r="T1378" t="s">
        <v>66</v>
      </c>
      <c r="U1378" t="str">
        <f t="shared" si="21"/>
        <v>Pass</v>
      </c>
    </row>
    <row r="1379" spans="1:21">
      <c r="A1379" t="s">
        <v>2537</v>
      </c>
      <c r="B1379" t="s">
        <v>329</v>
      </c>
      <c r="C1379" t="s">
        <v>22</v>
      </c>
      <c r="D1379">
        <v>5</v>
      </c>
      <c r="E1379" t="s">
        <v>23</v>
      </c>
      <c r="F1379">
        <v>10</v>
      </c>
      <c r="G1379" t="s">
        <v>58</v>
      </c>
      <c r="H1379" t="s">
        <v>2538</v>
      </c>
      <c r="I1379">
        <v>60</v>
      </c>
      <c r="J1379">
        <v>69</v>
      </c>
      <c r="K1379">
        <v>79</v>
      </c>
      <c r="L1379">
        <v>62</v>
      </c>
      <c r="M1379">
        <v>59</v>
      </c>
      <c r="N1379">
        <v>96</v>
      </c>
      <c r="O1379">
        <v>365</v>
      </c>
      <c r="P1379">
        <v>73</v>
      </c>
      <c r="Q1379" t="s">
        <v>40</v>
      </c>
      <c r="R1379" t="s">
        <v>41</v>
      </c>
      <c r="S1379">
        <v>3434</v>
      </c>
      <c r="T1379" t="s">
        <v>70</v>
      </c>
      <c r="U1379" t="str">
        <f t="shared" si="21"/>
        <v>Pass</v>
      </c>
    </row>
    <row r="1380" spans="1:21">
      <c r="A1380" t="s">
        <v>2539</v>
      </c>
      <c r="B1380" t="s">
        <v>277</v>
      </c>
      <c r="C1380" t="s">
        <v>22</v>
      </c>
      <c r="D1380">
        <v>4</v>
      </c>
      <c r="E1380" t="s">
        <v>26</v>
      </c>
      <c r="F1380">
        <v>8</v>
      </c>
      <c r="G1380" t="s">
        <v>32</v>
      </c>
      <c r="H1380" t="s">
        <v>2540</v>
      </c>
      <c r="I1380">
        <v>69</v>
      </c>
      <c r="J1380">
        <v>48</v>
      </c>
      <c r="K1380">
        <v>41</v>
      </c>
      <c r="L1380">
        <v>55</v>
      </c>
      <c r="M1380">
        <v>35</v>
      </c>
      <c r="N1380">
        <v>77</v>
      </c>
      <c r="O1380">
        <v>256</v>
      </c>
      <c r="P1380">
        <v>51.2</v>
      </c>
      <c r="Q1380" t="s">
        <v>31</v>
      </c>
      <c r="R1380" t="s">
        <v>27</v>
      </c>
      <c r="S1380">
        <v>3716</v>
      </c>
      <c r="T1380" t="s">
        <v>66</v>
      </c>
      <c r="U1380" t="str">
        <f t="shared" si="21"/>
        <v>Fail</v>
      </c>
    </row>
    <row r="1381" spans="1:21">
      <c r="A1381" t="s">
        <v>2541</v>
      </c>
      <c r="B1381" t="s">
        <v>389</v>
      </c>
      <c r="C1381" t="s">
        <v>22</v>
      </c>
      <c r="D1381">
        <v>8</v>
      </c>
      <c r="E1381" t="s">
        <v>26</v>
      </c>
      <c r="F1381">
        <v>12</v>
      </c>
      <c r="G1381" t="s">
        <v>32</v>
      </c>
      <c r="H1381" t="s">
        <v>547</v>
      </c>
      <c r="I1381">
        <v>79</v>
      </c>
      <c r="J1381">
        <v>39</v>
      </c>
      <c r="K1381">
        <v>97</v>
      </c>
      <c r="L1381">
        <v>90</v>
      </c>
      <c r="M1381">
        <v>72</v>
      </c>
      <c r="N1381">
        <v>77</v>
      </c>
      <c r="O1381">
        <v>375</v>
      </c>
      <c r="P1381">
        <v>75</v>
      </c>
      <c r="Q1381" t="s">
        <v>40</v>
      </c>
      <c r="R1381" t="s">
        <v>41</v>
      </c>
      <c r="S1381">
        <v>2190</v>
      </c>
      <c r="T1381" t="s">
        <v>42</v>
      </c>
      <c r="U1381" t="str">
        <f t="shared" si="21"/>
        <v>Pass</v>
      </c>
    </row>
    <row r="1382" spans="1:21">
      <c r="A1382" t="s">
        <v>2542</v>
      </c>
      <c r="B1382" t="s">
        <v>1417</v>
      </c>
      <c r="C1382" t="s">
        <v>37</v>
      </c>
      <c r="D1382">
        <v>5</v>
      </c>
      <c r="E1382" t="s">
        <v>31</v>
      </c>
      <c r="F1382">
        <v>10</v>
      </c>
      <c r="G1382" t="s">
        <v>58</v>
      </c>
      <c r="H1382" t="s">
        <v>2543</v>
      </c>
      <c r="I1382">
        <v>87</v>
      </c>
      <c r="J1382">
        <v>92</v>
      </c>
      <c r="K1382">
        <v>50</v>
      </c>
      <c r="L1382">
        <v>45</v>
      </c>
      <c r="M1382">
        <v>61</v>
      </c>
      <c r="N1382">
        <v>41</v>
      </c>
      <c r="O1382">
        <v>289</v>
      </c>
      <c r="P1382">
        <v>57.8</v>
      </c>
      <c r="Q1382" t="s">
        <v>31</v>
      </c>
      <c r="R1382" t="s">
        <v>27</v>
      </c>
      <c r="S1382">
        <v>2417</v>
      </c>
      <c r="T1382" t="s">
        <v>70</v>
      </c>
      <c r="U1382" t="str">
        <f t="shared" si="21"/>
        <v>Pass</v>
      </c>
    </row>
    <row r="1383" spans="1:21">
      <c r="A1383" t="s">
        <v>2544</v>
      </c>
      <c r="B1383" t="s">
        <v>145</v>
      </c>
      <c r="C1383" t="s">
        <v>37</v>
      </c>
      <c r="D1383">
        <v>5</v>
      </c>
      <c r="E1383" t="s">
        <v>26</v>
      </c>
      <c r="F1383">
        <v>9</v>
      </c>
      <c r="G1383" t="s">
        <v>54</v>
      </c>
      <c r="H1383" t="s">
        <v>488</v>
      </c>
      <c r="I1383">
        <v>88</v>
      </c>
      <c r="J1383">
        <v>35</v>
      </c>
      <c r="K1383">
        <v>88</v>
      </c>
      <c r="L1383">
        <v>70</v>
      </c>
      <c r="M1383">
        <v>99</v>
      </c>
      <c r="N1383">
        <v>44</v>
      </c>
      <c r="O1383">
        <v>336</v>
      </c>
      <c r="P1383">
        <v>67.2</v>
      </c>
      <c r="Q1383" t="s">
        <v>26</v>
      </c>
      <c r="R1383" t="s">
        <v>41</v>
      </c>
      <c r="S1383">
        <v>4618</v>
      </c>
      <c r="T1383" t="s">
        <v>66</v>
      </c>
      <c r="U1383" t="str">
        <f t="shared" si="21"/>
        <v>Pass</v>
      </c>
    </row>
    <row r="1384" spans="1:21">
      <c r="A1384" t="s">
        <v>2545</v>
      </c>
      <c r="B1384" t="s">
        <v>329</v>
      </c>
      <c r="C1384" t="s">
        <v>22</v>
      </c>
      <c r="D1384">
        <v>5</v>
      </c>
      <c r="E1384" t="s">
        <v>47</v>
      </c>
      <c r="F1384">
        <v>9</v>
      </c>
      <c r="G1384" t="s">
        <v>58</v>
      </c>
      <c r="H1384" t="s">
        <v>2546</v>
      </c>
      <c r="I1384">
        <v>61</v>
      </c>
      <c r="J1384">
        <v>70</v>
      </c>
      <c r="K1384">
        <v>92</v>
      </c>
      <c r="L1384">
        <v>43</v>
      </c>
      <c r="M1384">
        <v>54</v>
      </c>
      <c r="N1384">
        <v>95</v>
      </c>
      <c r="O1384">
        <v>354</v>
      </c>
      <c r="P1384">
        <v>70.8</v>
      </c>
      <c r="Q1384" t="s">
        <v>40</v>
      </c>
      <c r="R1384" t="s">
        <v>27</v>
      </c>
      <c r="S1384">
        <v>3453</v>
      </c>
      <c r="T1384" t="s">
        <v>34</v>
      </c>
      <c r="U1384" t="str">
        <f t="shared" si="21"/>
        <v>Pass</v>
      </c>
    </row>
    <row r="1385" spans="1:21">
      <c r="A1385" t="s">
        <v>2547</v>
      </c>
      <c r="B1385" t="s">
        <v>187</v>
      </c>
      <c r="C1385" t="s">
        <v>22</v>
      </c>
      <c r="D1385">
        <v>10</v>
      </c>
      <c r="E1385" t="s">
        <v>47</v>
      </c>
      <c r="F1385">
        <v>16</v>
      </c>
      <c r="G1385" t="s">
        <v>32</v>
      </c>
      <c r="H1385" t="s">
        <v>2548</v>
      </c>
      <c r="I1385">
        <v>69</v>
      </c>
      <c r="J1385">
        <v>75</v>
      </c>
      <c r="K1385">
        <v>87</v>
      </c>
      <c r="L1385">
        <v>80</v>
      </c>
      <c r="M1385">
        <v>64</v>
      </c>
      <c r="N1385">
        <v>89</v>
      </c>
      <c r="O1385">
        <v>395</v>
      </c>
      <c r="P1385">
        <v>79</v>
      </c>
      <c r="Q1385" t="s">
        <v>40</v>
      </c>
      <c r="R1385" t="s">
        <v>27</v>
      </c>
      <c r="S1385">
        <v>4162</v>
      </c>
      <c r="T1385" t="s">
        <v>66</v>
      </c>
      <c r="U1385" t="str">
        <f t="shared" si="21"/>
        <v>Pass</v>
      </c>
    </row>
    <row r="1386" spans="1:21">
      <c r="A1386" t="s">
        <v>2549</v>
      </c>
      <c r="B1386" t="s">
        <v>419</v>
      </c>
      <c r="C1386" t="s">
        <v>22</v>
      </c>
      <c r="D1386">
        <v>12</v>
      </c>
      <c r="E1386" t="s">
        <v>31</v>
      </c>
      <c r="F1386">
        <v>16</v>
      </c>
      <c r="G1386" t="s">
        <v>38</v>
      </c>
      <c r="H1386" t="s">
        <v>2550</v>
      </c>
      <c r="I1386">
        <v>84</v>
      </c>
      <c r="J1386">
        <v>100</v>
      </c>
      <c r="K1386">
        <v>82</v>
      </c>
      <c r="L1386">
        <v>90</v>
      </c>
      <c r="M1386">
        <v>66</v>
      </c>
      <c r="N1386">
        <v>38</v>
      </c>
      <c r="O1386">
        <v>376</v>
      </c>
      <c r="P1386">
        <v>75.2</v>
      </c>
      <c r="Q1386" t="s">
        <v>40</v>
      </c>
      <c r="R1386" t="s">
        <v>41</v>
      </c>
      <c r="S1386">
        <v>3197</v>
      </c>
      <c r="T1386" t="s">
        <v>34</v>
      </c>
      <c r="U1386" t="str">
        <f t="shared" si="21"/>
        <v>Pass</v>
      </c>
    </row>
    <row r="1387" spans="1:21">
      <c r="A1387" t="s">
        <v>2551</v>
      </c>
      <c r="B1387" t="s">
        <v>236</v>
      </c>
      <c r="C1387" t="s">
        <v>22</v>
      </c>
      <c r="D1387">
        <v>7</v>
      </c>
      <c r="E1387" t="s">
        <v>23</v>
      </c>
      <c r="F1387">
        <v>13</v>
      </c>
      <c r="G1387" t="s">
        <v>45</v>
      </c>
      <c r="H1387" t="s">
        <v>2017</v>
      </c>
      <c r="I1387">
        <v>86</v>
      </c>
      <c r="J1387">
        <v>68</v>
      </c>
      <c r="K1387">
        <v>50</v>
      </c>
      <c r="L1387">
        <v>66</v>
      </c>
      <c r="M1387">
        <v>46</v>
      </c>
      <c r="N1387">
        <v>36</v>
      </c>
      <c r="O1387">
        <v>266</v>
      </c>
      <c r="P1387">
        <v>53.2</v>
      </c>
      <c r="Q1387" t="s">
        <v>31</v>
      </c>
      <c r="R1387" t="s">
        <v>41</v>
      </c>
      <c r="S1387">
        <v>2442</v>
      </c>
      <c r="T1387" t="s">
        <v>48</v>
      </c>
      <c r="U1387" t="str">
        <f t="shared" si="21"/>
        <v>Fail</v>
      </c>
    </row>
    <row r="1388" spans="1:21">
      <c r="A1388" t="s">
        <v>2552</v>
      </c>
      <c r="B1388" t="s">
        <v>748</v>
      </c>
      <c r="C1388" t="s">
        <v>22</v>
      </c>
      <c r="D1388">
        <v>7</v>
      </c>
      <c r="E1388" t="s">
        <v>31</v>
      </c>
      <c r="F1388">
        <v>13</v>
      </c>
      <c r="G1388" t="s">
        <v>58</v>
      </c>
      <c r="H1388" t="s">
        <v>161</v>
      </c>
      <c r="I1388">
        <v>98</v>
      </c>
      <c r="J1388">
        <v>82</v>
      </c>
      <c r="K1388">
        <v>63</v>
      </c>
      <c r="L1388">
        <v>40</v>
      </c>
      <c r="M1388">
        <v>86</v>
      </c>
      <c r="N1388">
        <v>99</v>
      </c>
      <c r="O1388">
        <v>370</v>
      </c>
      <c r="P1388">
        <v>74</v>
      </c>
      <c r="Q1388" t="s">
        <v>40</v>
      </c>
      <c r="R1388" t="s">
        <v>41</v>
      </c>
      <c r="S1388">
        <v>4692</v>
      </c>
      <c r="T1388" t="s">
        <v>66</v>
      </c>
      <c r="U1388" t="str">
        <f t="shared" si="21"/>
        <v>Pass</v>
      </c>
    </row>
    <row r="1389" spans="1:21">
      <c r="A1389" t="s">
        <v>2553</v>
      </c>
      <c r="B1389" t="s">
        <v>808</v>
      </c>
      <c r="C1389" t="s">
        <v>37</v>
      </c>
      <c r="D1389">
        <v>6</v>
      </c>
      <c r="E1389" t="s">
        <v>23</v>
      </c>
      <c r="F1389">
        <v>11</v>
      </c>
      <c r="G1389" t="s">
        <v>58</v>
      </c>
      <c r="H1389" t="s">
        <v>2554</v>
      </c>
      <c r="I1389">
        <v>84</v>
      </c>
      <c r="J1389">
        <v>53</v>
      </c>
      <c r="K1389">
        <v>45</v>
      </c>
      <c r="L1389">
        <v>90</v>
      </c>
      <c r="M1389">
        <v>70</v>
      </c>
      <c r="N1389">
        <v>81</v>
      </c>
      <c r="O1389">
        <v>339</v>
      </c>
      <c r="P1389">
        <v>67.8</v>
      </c>
      <c r="Q1389" t="s">
        <v>26</v>
      </c>
      <c r="R1389" t="s">
        <v>41</v>
      </c>
      <c r="S1389">
        <v>4519</v>
      </c>
      <c r="T1389" t="s">
        <v>28</v>
      </c>
      <c r="U1389" t="str">
        <f t="shared" si="21"/>
        <v>Pass</v>
      </c>
    </row>
    <row r="1390" spans="1:21">
      <c r="A1390" t="s">
        <v>2555</v>
      </c>
      <c r="B1390" t="s">
        <v>113</v>
      </c>
      <c r="C1390" t="s">
        <v>37</v>
      </c>
      <c r="D1390">
        <v>4</v>
      </c>
      <c r="E1390" t="s">
        <v>26</v>
      </c>
      <c r="F1390">
        <v>9</v>
      </c>
      <c r="G1390" t="s">
        <v>38</v>
      </c>
      <c r="H1390" t="s">
        <v>336</v>
      </c>
      <c r="I1390">
        <v>69</v>
      </c>
      <c r="J1390">
        <v>49</v>
      </c>
      <c r="K1390">
        <v>61</v>
      </c>
      <c r="L1390">
        <v>47</v>
      </c>
      <c r="M1390">
        <v>48</v>
      </c>
      <c r="N1390">
        <v>38</v>
      </c>
      <c r="O1390">
        <v>243</v>
      </c>
      <c r="P1390">
        <v>48.6</v>
      </c>
      <c r="Q1390" t="s">
        <v>23</v>
      </c>
      <c r="R1390" t="s">
        <v>41</v>
      </c>
      <c r="S1390">
        <v>4832</v>
      </c>
      <c r="T1390" t="s">
        <v>34</v>
      </c>
      <c r="U1390" t="str">
        <f t="shared" si="21"/>
        <v>Fail</v>
      </c>
    </row>
    <row r="1391" spans="1:21">
      <c r="A1391" t="s">
        <v>2556</v>
      </c>
      <c r="B1391" t="s">
        <v>44</v>
      </c>
      <c r="C1391" t="s">
        <v>22</v>
      </c>
      <c r="D1391">
        <v>1</v>
      </c>
      <c r="E1391" t="s">
        <v>31</v>
      </c>
      <c r="F1391">
        <v>6</v>
      </c>
      <c r="G1391" t="s">
        <v>32</v>
      </c>
      <c r="H1391" t="s">
        <v>82</v>
      </c>
      <c r="I1391">
        <v>92</v>
      </c>
      <c r="J1391">
        <v>71</v>
      </c>
      <c r="K1391">
        <v>39</v>
      </c>
      <c r="L1391">
        <v>59</v>
      </c>
      <c r="M1391">
        <v>59</v>
      </c>
      <c r="N1391">
        <v>70</v>
      </c>
      <c r="O1391">
        <v>298</v>
      </c>
      <c r="P1391">
        <v>59.6</v>
      </c>
      <c r="Q1391" t="s">
        <v>31</v>
      </c>
      <c r="R1391" t="s">
        <v>27</v>
      </c>
      <c r="S1391">
        <v>1527</v>
      </c>
      <c r="T1391" t="s">
        <v>66</v>
      </c>
      <c r="U1391" t="str">
        <f t="shared" si="21"/>
        <v>Pass</v>
      </c>
    </row>
    <row r="1392" spans="1:21">
      <c r="A1392" t="s">
        <v>2557</v>
      </c>
      <c r="B1392" t="s">
        <v>165</v>
      </c>
      <c r="C1392" t="s">
        <v>22</v>
      </c>
      <c r="D1392">
        <v>5</v>
      </c>
      <c r="E1392" t="s">
        <v>47</v>
      </c>
      <c r="F1392">
        <v>9</v>
      </c>
      <c r="G1392" t="s">
        <v>58</v>
      </c>
      <c r="H1392" t="s">
        <v>1906</v>
      </c>
      <c r="I1392">
        <v>74</v>
      </c>
      <c r="J1392">
        <v>91</v>
      </c>
      <c r="K1392">
        <v>82</v>
      </c>
      <c r="L1392">
        <v>88</v>
      </c>
      <c r="M1392">
        <v>63</v>
      </c>
      <c r="N1392">
        <v>100</v>
      </c>
      <c r="O1392">
        <v>424</v>
      </c>
      <c r="P1392">
        <v>84.8</v>
      </c>
      <c r="Q1392" t="s">
        <v>47</v>
      </c>
      <c r="R1392" t="s">
        <v>41</v>
      </c>
      <c r="S1392">
        <v>2417</v>
      </c>
      <c r="T1392" t="s">
        <v>66</v>
      </c>
      <c r="U1392" t="str">
        <f t="shared" si="21"/>
        <v>Pass</v>
      </c>
    </row>
    <row r="1393" spans="1:21">
      <c r="A1393" t="s">
        <v>2558</v>
      </c>
      <c r="B1393" t="s">
        <v>84</v>
      </c>
      <c r="C1393" t="s">
        <v>22</v>
      </c>
      <c r="D1393">
        <v>4</v>
      </c>
      <c r="E1393" t="s">
        <v>26</v>
      </c>
      <c r="F1393">
        <v>10</v>
      </c>
      <c r="G1393" t="s">
        <v>45</v>
      </c>
      <c r="H1393" t="s">
        <v>1136</v>
      </c>
      <c r="I1393">
        <v>75</v>
      </c>
      <c r="J1393">
        <v>87</v>
      </c>
      <c r="K1393">
        <v>40</v>
      </c>
      <c r="L1393">
        <v>36</v>
      </c>
      <c r="M1393">
        <v>42</v>
      </c>
      <c r="N1393">
        <v>64</v>
      </c>
      <c r="O1393">
        <v>269</v>
      </c>
      <c r="P1393">
        <v>53.8</v>
      </c>
      <c r="Q1393" t="s">
        <v>31</v>
      </c>
      <c r="R1393" t="s">
        <v>27</v>
      </c>
      <c r="S1393">
        <v>4544</v>
      </c>
      <c r="T1393" t="s">
        <v>66</v>
      </c>
      <c r="U1393" t="str">
        <f t="shared" si="21"/>
        <v>Fail</v>
      </c>
    </row>
    <row r="1394" spans="1:21">
      <c r="A1394" t="s">
        <v>2559</v>
      </c>
      <c r="B1394" t="s">
        <v>292</v>
      </c>
      <c r="C1394" t="s">
        <v>22</v>
      </c>
      <c r="D1394">
        <v>1</v>
      </c>
      <c r="E1394" t="s">
        <v>26</v>
      </c>
      <c r="F1394">
        <v>6</v>
      </c>
      <c r="G1394" t="s">
        <v>45</v>
      </c>
      <c r="H1394" t="s">
        <v>2034</v>
      </c>
      <c r="I1394">
        <v>86</v>
      </c>
      <c r="J1394">
        <v>80</v>
      </c>
      <c r="K1394">
        <v>51</v>
      </c>
      <c r="L1394">
        <v>60</v>
      </c>
      <c r="M1394">
        <v>79</v>
      </c>
      <c r="N1394">
        <v>59</v>
      </c>
      <c r="O1394">
        <v>329</v>
      </c>
      <c r="P1394">
        <v>65.8</v>
      </c>
      <c r="Q1394" t="s">
        <v>26</v>
      </c>
      <c r="R1394" t="s">
        <v>27</v>
      </c>
      <c r="S1394">
        <v>2745</v>
      </c>
      <c r="T1394" t="s">
        <v>48</v>
      </c>
      <c r="U1394" t="str">
        <f t="shared" si="21"/>
        <v>Pass</v>
      </c>
    </row>
    <row r="1395" spans="1:21">
      <c r="A1395" t="s">
        <v>2560</v>
      </c>
      <c r="B1395" t="s">
        <v>332</v>
      </c>
      <c r="C1395" t="s">
        <v>37</v>
      </c>
      <c r="D1395">
        <v>7</v>
      </c>
      <c r="E1395" t="s">
        <v>26</v>
      </c>
      <c r="F1395">
        <v>11</v>
      </c>
      <c r="G1395" t="s">
        <v>45</v>
      </c>
      <c r="H1395" t="s">
        <v>658</v>
      </c>
      <c r="I1395">
        <v>91</v>
      </c>
      <c r="J1395">
        <v>63</v>
      </c>
      <c r="K1395">
        <v>83</v>
      </c>
      <c r="L1395">
        <v>54</v>
      </c>
      <c r="M1395">
        <v>94</v>
      </c>
      <c r="N1395">
        <v>93</v>
      </c>
      <c r="O1395">
        <v>387</v>
      </c>
      <c r="P1395">
        <v>77.400000000000006</v>
      </c>
      <c r="Q1395" t="s">
        <v>40</v>
      </c>
      <c r="R1395" t="s">
        <v>41</v>
      </c>
      <c r="S1395">
        <v>4716</v>
      </c>
      <c r="T1395" t="s">
        <v>28</v>
      </c>
      <c r="U1395" t="str">
        <f t="shared" si="21"/>
        <v>Pass</v>
      </c>
    </row>
    <row r="1396" spans="1:21">
      <c r="A1396" t="s">
        <v>2561</v>
      </c>
      <c r="B1396" t="s">
        <v>622</v>
      </c>
      <c r="C1396" t="s">
        <v>22</v>
      </c>
      <c r="D1396">
        <v>8</v>
      </c>
      <c r="E1396" t="s">
        <v>47</v>
      </c>
      <c r="F1396">
        <v>12</v>
      </c>
      <c r="G1396" t="s">
        <v>64</v>
      </c>
      <c r="H1396" t="s">
        <v>457</v>
      </c>
      <c r="I1396">
        <v>65</v>
      </c>
      <c r="J1396">
        <v>62</v>
      </c>
      <c r="K1396">
        <v>94</v>
      </c>
      <c r="L1396">
        <v>81</v>
      </c>
      <c r="M1396">
        <v>84</v>
      </c>
      <c r="N1396">
        <v>92</v>
      </c>
      <c r="O1396">
        <v>413</v>
      </c>
      <c r="P1396">
        <v>82.6</v>
      </c>
      <c r="Q1396" t="s">
        <v>47</v>
      </c>
      <c r="R1396" t="s">
        <v>27</v>
      </c>
      <c r="S1396">
        <v>4803</v>
      </c>
      <c r="T1396" t="s">
        <v>42</v>
      </c>
      <c r="U1396" t="str">
        <f t="shared" si="21"/>
        <v>Pass</v>
      </c>
    </row>
    <row r="1397" spans="1:21">
      <c r="A1397" t="s">
        <v>2562</v>
      </c>
      <c r="B1397" t="s">
        <v>461</v>
      </c>
      <c r="C1397" t="s">
        <v>22</v>
      </c>
      <c r="D1397">
        <v>10</v>
      </c>
      <c r="E1397" t="s">
        <v>47</v>
      </c>
      <c r="F1397">
        <v>14</v>
      </c>
      <c r="G1397" t="s">
        <v>45</v>
      </c>
      <c r="H1397" t="s">
        <v>553</v>
      </c>
      <c r="I1397">
        <v>76</v>
      </c>
      <c r="J1397">
        <v>40</v>
      </c>
      <c r="K1397">
        <v>60</v>
      </c>
      <c r="L1397">
        <v>37</v>
      </c>
      <c r="M1397">
        <v>94</v>
      </c>
      <c r="N1397">
        <v>61</v>
      </c>
      <c r="O1397">
        <v>292</v>
      </c>
      <c r="P1397">
        <v>58.4</v>
      </c>
      <c r="Q1397" t="s">
        <v>31</v>
      </c>
      <c r="R1397" t="s">
        <v>41</v>
      </c>
      <c r="S1397">
        <v>2638</v>
      </c>
      <c r="T1397" t="s">
        <v>42</v>
      </c>
      <c r="U1397" t="str">
        <f t="shared" si="21"/>
        <v>Pass</v>
      </c>
    </row>
    <row r="1398" spans="1:21">
      <c r="A1398" t="s">
        <v>2563</v>
      </c>
      <c r="B1398" t="s">
        <v>819</v>
      </c>
      <c r="C1398" t="s">
        <v>37</v>
      </c>
      <c r="D1398">
        <v>11</v>
      </c>
      <c r="E1398" t="s">
        <v>26</v>
      </c>
      <c r="F1398">
        <v>17</v>
      </c>
      <c r="G1398" t="s">
        <v>45</v>
      </c>
      <c r="H1398" t="s">
        <v>658</v>
      </c>
      <c r="I1398">
        <v>93</v>
      </c>
      <c r="J1398">
        <v>80</v>
      </c>
      <c r="K1398">
        <v>39</v>
      </c>
      <c r="L1398">
        <v>87</v>
      </c>
      <c r="M1398">
        <v>72</v>
      </c>
      <c r="N1398">
        <v>35</v>
      </c>
      <c r="O1398">
        <v>313</v>
      </c>
      <c r="P1398">
        <v>62.6</v>
      </c>
      <c r="Q1398" t="s">
        <v>26</v>
      </c>
      <c r="R1398" t="s">
        <v>27</v>
      </c>
      <c r="S1398">
        <v>1666</v>
      </c>
      <c r="T1398" t="s">
        <v>70</v>
      </c>
      <c r="U1398" t="str">
        <f t="shared" si="21"/>
        <v>Pass</v>
      </c>
    </row>
    <row r="1399" spans="1:21">
      <c r="A1399" t="s">
        <v>2564</v>
      </c>
      <c r="B1399" t="s">
        <v>160</v>
      </c>
      <c r="C1399" t="s">
        <v>37</v>
      </c>
      <c r="D1399">
        <v>10</v>
      </c>
      <c r="E1399" t="s">
        <v>26</v>
      </c>
      <c r="F1399">
        <v>15</v>
      </c>
      <c r="G1399" t="s">
        <v>54</v>
      </c>
      <c r="H1399" t="s">
        <v>227</v>
      </c>
      <c r="I1399">
        <v>79</v>
      </c>
      <c r="J1399">
        <v>83</v>
      </c>
      <c r="K1399">
        <v>75</v>
      </c>
      <c r="L1399">
        <v>37</v>
      </c>
      <c r="M1399">
        <v>92</v>
      </c>
      <c r="N1399">
        <v>35</v>
      </c>
      <c r="O1399">
        <v>322</v>
      </c>
      <c r="P1399">
        <v>64.400000000000006</v>
      </c>
      <c r="Q1399" t="s">
        <v>26</v>
      </c>
      <c r="R1399" t="s">
        <v>27</v>
      </c>
      <c r="S1399">
        <v>2084</v>
      </c>
      <c r="T1399" t="s">
        <v>28</v>
      </c>
      <c r="U1399" t="str">
        <f t="shared" si="21"/>
        <v>Pass</v>
      </c>
    </row>
    <row r="1400" spans="1:21">
      <c r="A1400" t="s">
        <v>2565</v>
      </c>
      <c r="B1400" t="s">
        <v>835</v>
      </c>
      <c r="C1400" t="s">
        <v>37</v>
      </c>
      <c r="D1400">
        <v>1</v>
      </c>
      <c r="E1400" t="s">
        <v>47</v>
      </c>
      <c r="F1400">
        <v>6</v>
      </c>
      <c r="G1400" t="s">
        <v>24</v>
      </c>
      <c r="H1400" t="s">
        <v>2084</v>
      </c>
      <c r="I1400">
        <v>69</v>
      </c>
      <c r="J1400">
        <v>54</v>
      </c>
      <c r="K1400">
        <v>65</v>
      </c>
      <c r="L1400">
        <v>49</v>
      </c>
      <c r="M1400">
        <v>79</v>
      </c>
      <c r="N1400">
        <v>53</v>
      </c>
      <c r="O1400">
        <v>300</v>
      </c>
      <c r="P1400">
        <v>60</v>
      </c>
      <c r="Q1400" t="s">
        <v>26</v>
      </c>
      <c r="R1400" t="s">
        <v>27</v>
      </c>
      <c r="S1400">
        <v>3315</v>
      </c>
      <c r="T1400" t="s">
        <v>48</v>
      </c>
      <c r="U1400" t="str">
        <f t="shared" si="21"/>
        <v>Pass</v>
      </c>
    </row>
    <row r="1401" spans="1:21">
      <c r="A1401" t="s">
        <v>2566</v>
      </c>
      <c r="B1401" t="s">
        <v>844</v>
      </c>
      <c r="C1401" t="s">
        <v>37</v>
      </c>
      <c r="D1401">
        <v>10</v>
      </c>
      <c r="E1401" t="s">
        <v>23</v>
      </c>
      <c r="F1401">
        <v>15</v>
      </c>
      <c r="G1401" t="s">
        <v>24</v>
      </c>
      <c r="H1401" t="s">
        <v>494</v>
      </c>
      <c r="I1401">
        <v>79</v>
      </c>
      <c r="J1401">
        <v>45</v>
      </c>
      <c r="K1401">
        <v>76</v>
      </c>
      <c r="L1401">
        <v>55</v>
      </c>
      <c r="M1401">
        <v>58</v>
      </c>
      <c r="N1401">
        <v>95</v>
      </c>
      <c r="O1401">
        <v>329</v>
      </c>
      <c r="P1401">
        <v>65.8</v>
      </c>
      <c r="Q1401" t="s">
        <v>26</v>
      </c>
      <c r="R1401" t="s">
        <v>27</v>
      </c>
      <c r="S1401">
        <v>3877</v>
      </c>
      <c r="T1401" t="s">
        <v>66</v>
      </c>
      <c r="U1401" t="str">
        <f t="shared" si="21"/>
        <v>Pass</v>
      </c>
    </row>
    <row r="1402" spans="1:21">
      <c r="A1402" t="s">
        <v>2567</v>
      </c>
      <c r="B1402" t="s">
        <v>1207</v>
      </c>
      <c r="C1402" t="s">
        <v>22</v>
      </c>
      <c r="D1402">
        <v>10</v>
      </c>
      <c r="E1402" t="s">
        <v>23</v>
      </c>
      <c r="F1402">
        <v>14</v>
      </c>
      <c r="G1402" t="s">
        <v>24</v>
      </c>
      <c r="H1402" t="s">
        <v>917</v>
      </c>
      <c r="I1402">
        <v>61</v>
      </c>
      <c r="J1402">
        <v>46</v>
      </c>
      <c r="K1402">
        <v>61</v>
      </c>
      <c r="L1402">
        <v>53</v>
      </c>
      <c r="M1402">
        <v>100</v>
      </c>
      <c r="N1402">
        <v>38</v>
      </c>
      <c r="O1402">
        <v>298</v>
      </c>
      <c r="P1402">
        <v>59.6</v>
      </c>
      <c r="Q1402" t="s">
        <v>31</v>
      </c>
      <c r="R1402" t="s">
        <v>41</v>
      </c>
      <c r="S1402">
        <v>4986</v>
      </c>
      <c r="T1402" t="s">
        <v>66</v>
      </c>
      <c r="U1402" t="str">
        <f t="shared" si="21"/>
        <v>Pass</v>
      </c>
    </row>
    <row r="1403" spans="1:21">
      <c r="A1403" t="s">
        <v>2568</v>
      </c>
      <c r="B1403" t="s">
        <v>525</v>
      </c>
      <c r="C1403" t="s">
        <v>37</v>
      </c>
      <c r="D1403">
        <v>2</v>
      </c>
      <c r="E1403" t="s">
        <v>26</v>
      </c>
      <c r="F1403">
        <v>8</v>
      </c>
      <c r="G1403" t="s">
        <v>58</v>
      </c>
      <c r="H1403" t="s">
        <v>653</v>
      </c>
      <c r="I1403">
        <v>86</v>
      </c>
      <c r="J1403">
        <v>67</v>
      </c>
      <c r="K1403">
        <v>39</v>
      </c>
      <c r="L1403">
        <v>44</v>
      </c>
      <c r="M1403">
        <v>58</v>
      </c>
      <c r="N1403">
        <v>90</v>
      </c>
      <c r="O1403">
        <v>298</v>
      </c>
      <c r="P1403">
        <v>59.6</v>
      </c>
      <c r="Q1403" t="s">
        <v>31</v>
      </c>
      <c r="R1403" t="s">
        <v>41</v>
      </c>
      <c r="S1403">
        <v>4877</v>
      </c>
      <c r="T1403" t="s">
        <v>48</v>
      </c>
      <c r="U1403" t="str">
        <f t="shared" si="21"/>
        <v>Pass</v>
      </c>
    </row>
    <row r="1404" spans="1:21">
      <c r="A1404" t="s">
        <v>2569</v>
      </c>
      <c r="B1404" t="s">
        <v>61</v>
      </c>
      <c r="C1404" t="s">
        <v>22</v>
      </c>
      <c r="D1404">
        <v>3</v>
      </c>
      <c r="E1404" t="s">
        <v>26</v>
      </c>
      <c r="F1404">
        <v>8</v>
      </c>
      <c r="G1404" t="s">
        <v>64</v>
      </c>
      <c r="H1404" t="s">
        <v>2570</v>
      </c>
      <c r="I1404">
        <v>97</v>
      </c>
      <c r="J1404">
        <v>77</v>
      </c>
      <c r="K1404">
        <v>66</v>
      </c>
      <c r="L1404">
        <v>71</v>
      </c>
      <c r="M1404">
        <v>56</v>
      </c>
      <c r="N1404">
        <v>56</v>
      </c>
      <c r="O1404">
        <v>326</v>
      </c>
      <c r="P1404">
        <v>65.2</v>
      </c>
      <c r="Q1404" t="s">
        <v>26</v>
      </c>
      <c r="R1404" t="s">
        <v>41</v>
      </c>
      <c r="S1404">
        <v>2624</v>
      </c>
      <c r="T1404" t="s">
        <v>28</v>
      </c>
      <c r="U1404" t="str">
        <f t="shared" si="21"/>
        <v>Pass</v>
      </c>
    </row>
    <row r="1405" spans="1:21">
      <c r="A1405" t="s">
        <v>2571</v>
      </c>
      <c r="B1405" t="s">
        <v>461</v>
      </c>
      <c r="C1405" t="s">
        <v>22</v>
      </c>
      <c r="D1405">
        <v>8</v>
      </c>
      <c r="E1405" t="s">
        <v>26</v>
      </c>
      <c r="F1405">
        <v>12</v>
      </c>
      <c r="G1405" t="s">
        <v>32</v>
      </c>
      <c r="H1405" t="s">
        <v>357</v>
      </c>
      <c r="I1405">
        <v>85</v>
      </c>
      <c r="J1405">
        <v>39</v>
      </c>
      <c r="K1405">
        <v>56</v>
      </c>
      <c r="L1405">
        <v>74</v>
      </c>
      <c r="M1405">
        <v>86</v>
      </c>
      <c r="N1405">
        <v>79</v>
      </c>
      <c r="O1405">
        <v>334</v>
      </c>
      <c r="P1405">
        <v>66.8</v>
      </c>
      <c r="Q1405" t="s">
        <v>26</v>
      </c>
      <c r="R1405" t="s">
        <v>27</v>
      </c>
      <c r="S1405">
        <v>2671</v>
      </c>
      <c r="T1405" t="s">
        <v>70</v>
      </c>
      <c r="U1405" t="str">
        <f t="shared" si="21"/>
        <v>Pass</v>
      </c>
    </row>
    <row r="1406" spans="1:21">
      <c r="A1406" t="s">
        <v>2572</v>
      </c>
      <c r="B1406" t="s">
        <v>151</v>
      </c>
      <c r="C1406" t="s">
        <v>37</v>
      </c>
      <c r="D1406">
        <v>8</v>
      </c>
      <c r="E1406" t="s">
        <v>31</v>
      </c>
      <c r="F1406">
        <v>13</v>
      </c>
      <c r="G1406" t="s">
        <v>54</v>
      </c>
      <c r="H1406" t="s">
        <v>551</v>
      </c>
      <c r="I1406">
        <v>79</v>
      </c>
      <c r="J1406">
        <v>56</v>
      </c>
      <c r="K1406">
        <v>83</v>
      </c>
      <c r="L1406">
        <v>50</v>
      </c>
      <c r="M1406">
        <v>61</v>
      </c>
      <c r="N1406">
        <v>77</v>
      </c>
      <c r="O1406">
        <v>327</v>
      </c>
      <c r="P1406">
        <v>65.400000000000006</v>
      </c>
      <c r="Q1406" t="s">
        <v>26</v>
      </c>
      <c r="R1406" t="s">
        <v>27</v>
      </c>
      <c r="S1406">
        <v>2536</v>
      </c>
      <c r="T1406" t="s">
        <v>28</v>
      </c>
      <c r="U1406" t="str">
        <f t="shared" si="21"/>
        <v>Pass</v>
      </c>
    </row>
    <row r="1407" spans="1:21">
      <c r="A1407" t="s">
        <v>2573</v>
      </c>
      <c r="B1407" t="s">
        <v>614</v>
      </c>
      <c r="C1407" t="s">
        <v>22</v>
      </c>
      <c r="D1407">
        <v>9</v>
      </c>
      <c r="E1407" t="s">
        <v>23</v>
      </c>
      <c r="F1407">
        <v>13</v>
      </c>
      <c r="G1407" t="s">
        <v>38</v>
      </c>
      <c r="H1407" t="s">
        <v>2237</v>
      </c>
      <c r="I1407">
        <v>81</v>
      </c>
      <c r="J1407">
        <v>54</v>
      </c>
      <c r="K1407">
        <v>67</v>
      </c>
      <c r="L1407">
        <v>42</v>
      </c>
      <c r="M1407">
        <v>45</v>
      </c>
      <c r="N1407">
        <v>35</v>
      </c>
      <c r="O1407">
        <v>243</v>
      </c>
      <c r="P1407">
        <v>48.6</v>
      </c>
      <c r="Q1407" t="s">
        <v>23</v>
      </c>
      <c r="R1407" t="s">
        <v>27</v>
      </c>
      <c r="S1407">
        <v>4249</v>
      </c>
      <c r="T1407" t="s">
        <v>34</v>
      </c>
      <c r="U1407" t="str">
        <f t="shared" si="21"/>
        <v>Fail</v>
      </c>
    </row>
    <row r="1408" spans="1:21">
      <c r="A1408" t="s">
        <v>2574</v>
      </c>
      <c r="B1408" t="s">
        <v>96</v>
      </c>
      <c r="C1408" t="s">
        <v>22</v>
      </c>
      <c r="D1408">
        <v>6</v>
      </c>
      <c r="E1408" t="s">
        <v>31</v>
      </c>
      <c r="F1408">
        <v>11</v>
      </c>
      <c r="G1408" t="s">
        <v>24</v>
      </c>
      <c r="H1408" t="s">
        <v>379</v>
      </c>
      <c r="I1408">
        <v>62</v>
      </c>
      <c r="J1408">
        <v>65</v>
      </c>
      <c r="K1408">
        <v>57</v>
      </c>
      <c r="L1408">
        <v>40</v>
      </c>
      <c r="M1408">
        <v>45</v>
      </c>
      <c r="N1408">
        <v>86</v>
      </c>
      <c r="O1408">
        <v>293</v>
      </c>
      <c r="P1408">
        <v>58.6</v>
      </c>
      <c r="Q1408" t="s">
        <v>31</v>
      </c>
      <c r="R1408" t="s">
        <v>27</v>
      </c>
      <c r="S1408">
        <v>1962</v>
      </c>
      <c r="T1408" t="s">
        <v>48</v>
      </c>
      <c r="U1408" t="str">
        <f t="shared" si="21"/>
        <v>Pass</v>
      </c>
    </row>
    <row r="1409" spans="1:21">
      <c r="A1409" t="s">
        <v>2575</v>
      </c>
      <c r="B1409" t="s">
        <v>1088</v>
      </c>
      <c r="C1409" t="s">
        <v>22</v>
      </c>
      <c r="D1409">
        <v>6</v>
      </c>
      <c r="E1409" t="s">
        <v>47</v>
      </c>
      <c r="F1409">
        <v>11</v>
      </c>
      <c r="G1409" t="s">
        <v>38</v>
      </c>
      <c r="H1409" t="s">
        <v>1971</v>
      </c>
      <c r="I1409">
        <v>77</v>
      </c>
      <c r="J1409">
        <v>58</v>
      </c>
      <c r="K1409">
        <v>49</v>
      </c>
      <c r="L1409">
        <v>61</v>
      </c>
      <c r="M1409">
        <v>55</v>
      </c>
      <c r="N1409">
        <v>94</v>
      </c>
      <c r="O1409">
        <v>317</v>
      </c>
      <c r="P1409">
        <v>63.4</v>
      </c>
      <c r="Q1409" t="s">
        <v>26</v>
      </c>
      <c r="R1409" t="s">
        <v>27</v>
      </c>
      <c r="S1409">
        <v>1698</v>
      </c>
      <c r="T1409" t="s">
        <v>66</v>
      </c>
      <c r="U1409" t="str">
        <f t="shared" si="21"/>
        <v>Pass</v>
      </c>
    </row>
    <row r="1410" spans="1:21">
      <c r="A1410" t="s">
        <v>2576</v>
      </c>
      <c r="B1410" t="s">
        <v>896</v>
      </c>
      <c r="C1410" t="s">
        <v>22</v>
      </c>
      <c r="D1410">
        <v>8</v>
      </c>
      <c r="E1410" t="s">
        <v>23</v>
      </c>
      <c r="F1410">
        <v>13</v>
      </c>
      <c r="G1410" t="s">
        <v>32</v>
      </c>
      <c r="H1410" t="s">
        <v>2577</v>
      </c>
      <c r="I1410">
        <v>82</v>
      </c>
      <c r="J1410">
        <v>58</v>
      </c>
      <c r="K1410">
        <v>98</v>
      </c>
      <c r="L1410">
        <v>94</v>
      </c>
      <c r="M1410">
        <v>68</v>
      </c>
      <c r="N1410">
        <v>75</v>
      </c>
      <c r="O1410">
        <v>393</v>
      </c>
      <c r="P1410">
        <v>78.599999999999994</v>
      </c>
      <c r="Q1410" t="s">
        <v>40</v>
      </c>
      <c r="R1410" t="s">
        <v>27</v>
      </c>
      <c r="S1410">
        <v>2559</v>
      </c>
      <c r="T1410" t="s">
        <v>34</v>
      </c>
      <c r="U1410" t="str">
        <f t="shared" si="21"/>
        <v>Pass</v>
      </c>
    </row>
    <row r="1411" spans="1:21">
      <c r="A1411" t="s">
        <v>2578</v>
      </c>
      <c r="B1411" t="s">
        <v>148</v>
      </c>
      <c r="C1411" t="s">
        <v>37</v>
      </c>
      <c r="D1411">
        <v>8</v>
      </c>
      <c r="E1411" t="s">
        <v>47</v>
      </c>
      <c r="F1411">
        <v>12</v>
      </c>
      <c r="G1411" t="s">
        <v>32</v>
      </c>
      <c r="H1411" t="s">
        <v>565</v>
      </c>
      <c r="I1411">
        <v>99</v>
      </c>
      <c r="J1411">
        <v>89</v>
      </c>
      <c r="K1411">
        <v>64</v>
      </c>
      <c r="L1411">
        <v>91</v>
      </c>
      <c r="M1411">
        <v>86</v>
      </c>
      <c r="N1411">
        <v>95</v>
      </c>
      <c r="O1411">
        <v>425</v>
      </c>
      <c r="P1411">
        <v>85</v>
      </c>
      <c r="Q1411" t="s">
        <v>47</v>
      </c>
      <c r="R1411" t="s">
        <v>27</v>
      </c>
      <c r="S1411">
        <v>2588</v>
      </c>
      <c r="T1411" t="s">
        <v>66</v>
      </c>
      <c r="U1411" t="str">
        <f t="shared" ref="U1411:U1474" si="22">IF(P1411&gt;55,"Pass","Fail")</f>
        <v>Pass</v>
      </c>
    </row>
    <row r="1412" spans="1:21">
      <c r="A1412" t="s">
        <v>2579</v>
      </c>
      <c r="B1412" t="s">
        <v>913</v>
      </c>
      <c r="C1412" t="s">
        <v>22</v>
      </c>
      <c r="D1412">
        <v>12</v>
      </c>
      <c r="E1412" t="s">
        <v>23</v>
      </c>
      <c r="F1412">
        <v>16</v>
      </c>
      <c r="G1412" t="s">
        <v>54</v>
      </c>
      <c r="H1412" t="s">
        <v>2580</v>
      </c>
      <c r="I1412">
        <v>73</v>
      </c>
      <c r="J1412">
        <v>49</v>
      </c>
      <c r="K1412">
        <v>86</v>
      </c>
      <c r="L1412">
        <v>77</v>
      </c>
      <c r="M1412">
        <v>43</v>
      </c>
      <c r="N1412">
        <v>75</v>
      </c>
      <c r="O1412">
        <v>330</v>
      </c>
      <c r="P1412">
        <v>66</v>
      </c>
      <c r="Q1412" t="s">
        <v>26</v>
      </c>
      <c r="R1412" t="s">
        <v>41</v>
      </c>
      <c r="S1412">
        <v>4949</v>
      </c>
      <c r="T1412" t="s">
        <v>48</v>
      </c>
      <c r="U1412" t="str">
        <f t="shared" si="22"/>
        <v>Pass</v>
      </c>
    </row>
    <row r="1413" spans="1:21">
      <c r="A1413" t="s">
        <v>2581</v>
      </c>
      <c r="B1413" t="s">
        <v>104</v>
      </c>
      <c r="C1413" t="s">
        <v>22</v>
      </c>
      <c r="D1413">
        <v>5</v>
      </c>
      <c r="E1413" t="s">
        <v>26</v>
      </c>
      <c r="F1413">
        <v>10</v>
      </c>
      <c r="G1413" t="s">
        <v>54</v>
      </c>
      <c r="H1413" t="s">
        <v>1936</v>
      </c>
      <c r="I1413">
        <v>61</v>
      </c>
      <c r="J1413">
        <v>41</v>
      </c>
      <c r="K1413">
        <v>64</v>
      </c>
      <c r="L1413">
        <v>76</v>
      </c>
      <c r="M1413">
        <v>37</v>
      </c>
      <c r="N1413">
        <v>43</v>
      </c>
      <c r="O1413">
        <v>261</v>
      </c>
      <c r="P1413">
        <v>52.2</v>
      </c>
      <c r="Q1413" t="s">
        <v>31</v>
      </c>
      <c r="R1413" t="s">
        <v>41</v>
      </c>
      <c r="S1413">
        <v>2254</v>
      </c>
      <c r="T1413" t="s">
        <v>48</v>
      </c>
      <c r="U1413" t="str">
        <f t="shared" si="22"/>
        <v>Fail</v>
      </c>
    </row>
    <row r="1414" spans="1:21">
      <c r="A1414" t="s">
        <v>2582</v>
      </c>
      <c r="B1414" t="s">
        <v>900</v>
      </c>
      <c r="C1414" t="s">
        <v>22</v>
      </c>
      <c r="D1414">
        <v>1</v>
      </c>
      <c r="E1414" t="s">
        <v>26</v>
      </c>
      <c r="F1414">
        <v>6</v>
      </c>
      <c r="G1414" t="s">
        <v>38</v>
      </c>
      <c r="H1414" t="s">
        <v>662</v>
      </c>
      <c r="I1414">
        <v>89</v>
      </c>
      <c r="J1414">
        <v>81</v>
      </c>
      <c r="K1414">
        <v>98</v>
      </c>
      <c r="L1414">
        <v>45</v>
      </c>
      <c r="M1414">
        <v>89</v>
      </c>
      <c r="N1414">
        <v>43</v>
      </c>
      <c r="O1414">
        <v>356</v>
      </c>
      <c r="P1414">
        <v>71.2</v>
      </c>
      <c r="Q1414" t="s">
        <v>40</v>
      </c>
      <c r="R1414" t="s">
        <v>41</v>
      </c>
      <c r="S1414">
        <v>2325</v>
      </c>
      <c r="T1414" t="s">
        <v>34</v>
      </c>
      <c r="U1414" t="str">
        <f t="shared" si="22"/>
        <v>Pass</v>
      </c>
    </row>
    <row r="1415" spans="1:21">
      <c r="A1415" t="s">
        <v>2583</v>
      </c>
      <c r="B1415" t="s">
        <v>819</v>
      </c>
      <c r="C1415" t="s">
        <v>22</v>
      </c>
      <c r="D1415">
        <v>4</v>
      </c>
      <c r="E1415" t="s">
        <v>47</v>
      </c>
      <c r="F1415">
        <v>9</v>
      </c>
      <c r="G1415" t="s">
        <v>24</v>
      </c>
      <c r="H1415" t="s">
        <v>1354</v>
      </c>
      <c r="I1415">
        <v>91</v>
      </c>
      <c r="J1415">
        <v>60</v>
      </c>
      <c r="K1415">
        <v>85</v>
      </c>
      <c r="L1415">
        <v>61</v>
      </c>
      <c r="M1415">
        <v>81</v>
      </c>
      <c r="N1415">
        <v>72</v>
      </c>
      <c r="O1415">
        <v>359</v>
      </c>
      <c r="P1415">
        <v>71.8</v>
      </c>
      <c r="Q1415" t="s">
        <v>40</v>
      </c>
      <c r="R1415" t="s">
        <v>27</v>
      </c>
      <c r="S1415">
        <v>3168</v>
      </c>
      <c r="T1415" t="s">
        <v>70</v>
      </c>
      <c r="U1415" t="str">
        <f t="shared" si="22"/>
        <v>Pass</v>
      </c>
    </row>
    <row r="1416" spans="1:21">
      <c r="A1416" t="s">
        <v>2584</v>
      </c>
      <c r="B1416" t="s">
        <v>777</v>
      </c>
      <c r="C1416" t="s">
        <v>37</v>
      </c>
      <c r="D1416">
        <v>8</v>
      </c>
      <c r="E1416" t="s">
        <v>26</v>
      </c>
      <c r="F1416">
        <v>13</v>
      </c>
      <c r="G1416" t="s">
        <v>58</v>
      </c>
      <c r="H1416" t="s">
        <v>676</v>
      </c>
      <c r="I1416">
        <v>62</v>
      </c>
      <c r="J1416">
        <v>37</v>
      </c>
      <c r="K1416">
        <v>95</v>
      </c>
      <c r="L1416">
        <v>68</v>
      </c>
      <c r="M1416">
        <v>78</v>
      </c>
      <c r="N1416">
        <v>57</v>
      </c>
      <c r="O1416">
        <v>335</v>
      </c>
      <c r="P1416">
        <v>67</v>
      </c>
      <c r="Q1416" t="s">
        <v>26</v>
      </c>
      <c r="R1416" t="s">
        <v>41</v>
      </c>
      <c r="S1416">
        <v>2042</v>
      </c>
      <c r="T1416" t="s">
        <v>28</v>
      </c>
      <c r="U1416" t="str">
        <f t="shared" si="22"/>
        <v>Pass</v>
      </c>
    </row>
    <row r="1417" spans="1:21">
      <c r="A1417" t="s">
        <v>2585</v>
      </c>
      <c r="B1417" t="s">
        <v>181</v>
      </c>
      <c r="C1417" t="s">
        <v>22</v>
      </c>
      <c r="D1417">
        <v>10</v>
      </c>
      <c r="E1417" t="s">
        <v>23</v>
      </c>
      <c r="F1417">
        <v>15</v>
      </c>
      <c r="G1417" t="s">
        <v>32</v>
      </c>
      <c r="H1417" t="s">
        <v>2090</v>
      </c>
      <c r="I1417">
        <v>70</v>
      </c>
      <c r="J1417">
        <v>72</v>
      </c>
      <c r="K1417">
        <v>44</v>
      </c>
      <c r="L1417">
        <v>46</v>
      </c>
      <c r="M1417">
        <v>64</v>
      </c>
      <c r="N1417">
        <v>64</v>
      </c>
      <c r="O1417">
        <v>290</v>
      </c>
      <c r="P1417">
        <v>58</v>
      </c>
      <c r="Q1417" t="s">
        <v>31</v>
      </c>
      <c r="R1417" t="s">
        <v>41</v>
      </c>
      <c r="S1417">
        <v>3055</v>
      </c>
      <c r="T1417" t="s">
        <v>70</v>
      </c>
      <c r="U1417" t="str">
        <f t="shared" si="22"/>
        <v>Pass</v>
      </c>
    </row>
    <row r="1418" spans="1:21">
      <c r="A1418" t="s">
        <v>2586</v>
      </c>
      <c r="B1418" t="s">
        <v>518</v>
      </c>
      <c r="C1418" t="s">
        <v>22</v>
      </c>
      <c r="D1418">
        <v>9</v>
      </c>
      <c r="E1418" t="s">
        <v>23</v>
      </c>
      <c r="F1418">
        <v>14</v>
      </c>
      <c r="G1418" t="s">
        <v>32</v>
      </c>
      <c r="H1418" t="s">
        <v>2587</v>
      </c>
      <c r="I1418">
        <v>83</v>
      </c>
      <c r="J1418">
        <v>99</v>
      </c>
      <c r="K1418">
        <v>82</v>
      </c>
      <c r="L1418">
        <v>60</v>
      </c>
      <c r="M1418">
        <v>86</v>
      </c>
      <c r="N1418">
        <v>59</v>
      </c>
      <c r="O1418">
        <v>386</v>
      </c>
      <c r="P1418">
        <v>77.2</v>
      </c>
      <c r="Q1418" t="s">
        <v>40</v>
      </c>
      <c r="R1418" t="s">
        <v>27</v>
      </c>
      <c r="S1418">
        <v>4702</v>
      </c>
      <c r="T1418" t="s">
        <v>28</v>
      </c>
      <c r="U1418" t="str">
        <f t="shared" si="22"/>
        <v>Pass</v>
      </c>
    </row>
    <row r="1419" spans="1:21">
      <c r="A1419" t="s">
        <v>2588</v>
      </c>
      <c r="B1419" t="s">
        <v>445</v>
      </c>
      <c r="C1419" t="s">
        <v>37</v>
      </c>
      <c r="D1419">
        <v>12</v>
      </c>
      <c r="E1419" t="s">
        <v>31</v>
      </c>
      <c r="F1419">
        <v>18</v>
      </c>
      <c r="G1419" t="s">
        <v>54</v>
      </c>
      <c r="H1419" t="s">
        <v>2589</v>
      </c>
      <c r="I1419">
        <v>93</v>
      </c>
      <c r="J1419">
        <v>64</v>
      </c>
      <c r="K1419">
        <v>88</v>
      </c>
      <c r="L1419">
        <v>68</v>
      </c>
      <c r="M1419">
        <v>40</v>
      </c>
      <c r="N1419">
        <v>49</v>
      </c>
      <c r="O1419">
        <v>309</v>
      </c>
      <c r="P1419">
        <v>61.8</v>
      </c>
      <c r="Q1419" t="s">
        <v>26</v>
      </c>
      <c r="R1419" t="s">
        <v>41</v>
      </c>
      <c r="S1419">
        <v>3878</v>
      </c>
      <c r="T1419" t="s">
        <v>42</v>
      </c>
      <c r="U1419" t="str">
        <f t="shared" si="22"/>
        <v>Pass</v>
      </c>
    </row>
    <row r="1420" spans="1:21">
      <c r="A1420" t="s">
        <v>2590</v>
      </c>
      <c r="B1420" t="s">
        <v>844</v>
      </c>
      <c r="C1420" t="s">
        <v>37</v>
      </c>
      <c r="D1420">
        <v>6</v>
      </c>
      <c r="E1420" t="s">
        <v>26</v>
      </c>
      <c r="F1420">
        <v>12</v>
      </c>
      <c r="G1420" t="s">
        <v>58</v>
      </c>
      <c r="H1420" t="s">
        <v>1282</v>
      </c>
      <c r="I1420">
        <v>76</v>
      </c>
      <c r="J1420">
        <v>82</v>
      </c>
      <c r="K1420">
        <v>72</v>
      </c>
      <c r="L1420">
        <v>67</v>
      </c>
      <c r="M1420">
        <v>88</v>
      </c>
      <c r="N1420">
        <v>99</v>
      </c>
      <c r="O1420">
        <v>408</v>
      </c>
      <c r="P1420">
        <v>81.599999999999994</v>
      </c>
      <c r="Q1420" t="s">
        <v>47</v>
      </c>
      <c r="R1420" t="s">
        <v>27</v>
      </c>
      <c r="S1420">
        <v>2357</v>
      </c>
      <c r="T1420" t="s">
        <v>66</v>
      </c>
      <c r="U1420" t="str">
        <f t="shared" si="22"/>
        <v>Pass</v>
      </c>
    </row>
    <row r="1421" spans="1:21">
      <c r="A1421" t="s">
        <v>2591</v>
      </c>
      <c r="B1421" t="s">
        <v>81</v>
      </c>
      <c r="C1421" t="s">
        <v>22</v>
      </c>
      <c r="D1421">
        <v>6</v>
      </c>
      <c r="E1421" t="s">
        <v>23</v>
      </c>
      <c r="F1421">
        <v>12</v>
      </c>
      <c r="G1421" t="s">
        <v>38</v>
      </c>
      <c r="H1421" t="s">
        <v>2592</v>
      </c>
      <c r="I1421">
        <v>84</v>
      </c>
      <c r="J1421">
        <v>42</v>
      </c>
      <c r="K1421">
        <v>44</v>
      </c>
      <c r="L1421">
        <v>38</v>
      </c>
      <c r="M1421">
        <v>82</v>
      </c>
      <c r="N1421">
        <v>84</v>
      </c>
      <c r="O1421">
        <v>290</v>
      </c>
      <c r="P1421">
        <v>58</v>
      </c>
      <c r="Q1421" t="s">
        <v>31</v>
      </c>
      <c r="R1421" t="s">
        <v>41</v>
      </c>
      <c r="S1421">
        <v>2271</v>
      </c>
      <c r="T1421" t="s">
        <v>34</v>
      </c>
      <c r="U1421" t="str">
        <f t="shared" si="22"/>
        <v>Pass</v>
      </c>
    </row>
    <row r="1422" spans="1:21">
      <c r="A1422" t="s">
        <v>2593</v>
      </c>
      <c r="B1422" t="s">
        <v>30</v>
      </c>
      <c r="C1422" t="s">
        <v>22</v>
      </c>
      <c r="D1422">
        <v>12</v>
      </c>
      <c r="E1422" t="s">
        <v>26</v>
      </c>
      <c r="F1422">
        <v>18</v>
      </c>
      <c r="G1422" t="s">
        <v>32</v>
      </c>
      <c r="H1422" t="s">
        <v>2594</v>
      </c>
      <c r="I1422">
        <v>69</v>
      </c>
      <c r="J1422">
        <v>44</v>
      </c>
      <c r="K1422">
        <v>97</v>
      </c>
      <c r="L1422">
        <v>84</v>
      </c>
      <c r="M1422">
        <v>59</v>
      </c>
      <c r="N1422">
        <v>78</v>
      </c>
      <c r="O1422">
        <v>362</v>
      </c>
      <c r="P1422">
        <v>72.400000000000006</v>
      </c>
      <c r="Q1422" t="s">
        <v>40</v>
      </c>
      <c r="R1422" t="s">
        <v>27</v>
      </c>
      <c r="S1422">
        <v>4213</v>
      </c>
      <c r="T1422" t="s">
        <v>28</v>
      </c>
      <c r="U1422" t="str">
        <f t="shared" si="22"/>
        <v>Pass</v>
      </c>
    </row>
    <row r="1423" spans="1:21">
      <c r="A1423" t="s">
        <v>2595</v>
      </c>
      <c r="B1423" t="s">
        <v>50</v>
      </c>
      <c r="C1423" t="s">
        <v>22</v>
      </c>
      <c r="D1423">
        <v>5</v>
      </c>
      <c r="E1423" t="s">
        <v>23</v>
      </c>
      <c r="F1423">
        <v>11</v>
      </c>
      <c r="G1423" t="s">
        <v>45</v>
      </c>
      <c r="H1423" t="s">
        <v>1339</v>
      </c>
      <c r="I1423">
        <v>65</v>
      </c>
      <c r="J1423">
        <v>51</v>
      </c>
      <c r="K1423">
        <v>53</v>
      </c>
      <c r="L1423">
        <v>88</v>
      </c>
      <c r="M1423">
        <v>59</v>
      </c>
      <c r="N1423">
        <v>93</v>
      </c>
      <c r="O1423">
        <v>344</v>
      </c>
      <c r="P1423">
        <v>68.8</v>
      </c>
      <c r="Q1423" t="s">
        <v>26</v>
      </c>
      <c r="R1423" t="s">
        <v>27</v>
      </c>
      <c r="S1423">
        <v>2274</v>
      </c>
      <c r="T1423" t="s">
        <v>48</v>
      </c>
      <c r="U1423" t="str">
        <f t="shared" si="22"/>
        <v>Pass</v>
      </c>
    </row>
    <row r="1424" spans="1:21">
      <c r="A1424" t="s">
        <v>2596</v>
      </c>
      <c r="B1424" t="s">
        <v>1080</v>
      </c>
      <c r="C1424" t="s">
        <v>22</v>
      </c>
      <c r="D1424">
        <v>9</v>
      </c>
      <c r="E1424" t="s">
        <v>23</v>
      </c>
      <c r="F1424">
        <v>14</v>
      </c>
      <c r="G1424" t="s">
        <v>45</v>
      </c>
      <c r="H1424" t="s">
        <v>2597</v>
      </c>
      <c r="I1424">
        <v>92</v>
      </c>
      <c r="J1424">
        <v>97</v>
      </c>
      <c r="K1424">
        <v>70</v>
      </c>
      <c r="L1424">
        <v>84</v>
      </c>
      <c r="M1424">
        <v>55</v>
      </c>
      <c r="N1424">
        <v>84</v>
      </c>
      <c r="O1424">
        <v>390</v>
      </c>
      <c r="P1424">
        <v>78</v>
      </c>
      <c r="Q1424" t="s">
        <v>40</v>
      </c>
      <c r="R1424" t="s">
        <v>41</v>
      </c>
      <c r="S1424">
        <v>3719</v>
      </c>
      <c r="T1424" t="s">
        <v>48</v>
      </c>
      <c r="U1424" t="str">
        <f t="shared" si="22"/>
        <v>Pass</v>
      </c>
    </row>
    <row r="1425" spans="1:21">
      <c r="A1425" t="s">
        <v>2598</v>
      </c>
      <c r="B1425" t="s">
        <v>625</v>
      </c>
      <c r="C1425" t="s">
        <v>22</v>
      </c>
      <c r="D1425">
        <v>2</v>
      </c>
      <c r="E1425" t="s">
        <v>26</v>
      </c>
      <c r="F1425">
        <v>6</v>
      </c>
      <c r="G1425" t="s">
        <v>54</v>
      </c>
      <c r="H1425" t="s">
        <v>1706</v>
      </c>
      <c r="I1425">
        <v>99</v>
      </c>
      <c r="J1425">
        <v>39</v>
      </c>
      <c r="K1425">
        <v>47</v>
      </c>
      <c r="L1425">
        <v>50</v>
      </c>
      <c r="M1425">
        <v>89</v>
      </c>
      <c r="N1425">
        <v>57</v>
      </c>
      <c r="O1425">
        <v>282</v>
      </c>
      <c r="P1425">
        <v>56.4</v>
      </c>
      <c r="Q1425" t="s">
        <v>31</v>
      </c>
      <c r="R1425" t="s">
        <v>41</v>
      </c>
      <c r="S1425">
        <v>1509</v>
      </c>
      <c r="T1425" t="s">
        <v>70</v>
      </c>
      <c r="U1425" t="str">
        <f t="shared" si="22"/>
        <v>Pass</v>
      </c>
    </row>
    <row r="1426" spans="1:21">
      <c r="A1426" t="s">
        <v>2599</v>
      </c>
      <c r="B1426" t="s">
        <v>375</v>
      </c>
      <c r="C1426" t="s">
        <v>22</v>
      </c>
      <c r="D1426">
        <v>2</v>
      </c>
      <c r="E1426" t="s">
        <v>47</v>
      </c>
      <c r="F1426">
        <v>8</v>
      </c>
      <c r="G1426" t="s">
        <v>38</v>
      </c>
      <c r="H1426" t="s">
        <v>111</v>
      </c>
      <c r="I1426">
        <v>83</v>
      </c>
      <c r="J1426">
        <v>36</v>
      </c>
      <c r="K1426">
        <v>71</v>
      </c>
      <c r="L1426">
        <v>99</v>
      </c>
      <c r="M1426">
        <v>37</v>
      </c>
      <c r="N1426">
        <v>98</v>
      </c>
      <c r="O1426">
        <v>341</v>
      </c>
      <c r="P1426">
        <v>68.2</v>
      </c>
      <c r="Q1426" t="s">
        <v>26</v>
      </c>
      <c r="R1426" t="s">
        <v>27</v>
      </c>
      <c r="S1426">
        <v>4299</v>
      </c>
      <c r="T1426" t="s">
        <v>70</v>
      </c>
      <c r="U1426" t="str">
        <f t="shared" si="22"/>
        <v>Pass</v>
      </c>
    </row>
    <row r="1427" spans="1:21">
      <c r="A1427" t="s">
        <v>2600</v>
      </c>
      <c r="B1427" t="s">
        <v>295</v>
      </c>
      <c r="C1427" t="s">
        <v>37</v>
      </c>
      <c r="D1427">
        <v>8</v>
      </c>
      <c r="E1427" t="s">
        <v>26</v>
      </c>
      <c r="F1427">
        <v>12</v>
      </c>
      <c r="G1427" t="s">
        <v>58</v>
      </c>
      <c r="H1427" t="s">
        <v>266</v>
      </c>
      <c r="I1427">
        <v>78</v>
      </c>
      <c r="J1427">
        <v>42</v>
      </c>
      <c r="K1427">
        <v>71</v>
      </c>
      <c r="L1427">
        <v>92</v>
      </c>
      <c r="M1427">
        <v>98</v>
      </c>
      <c r="N1427">
        <v>45</v>
      </c>
      <c r="O1427">
        <v>348</v>
      </c>
      <c r="P1427">
        <v>69.599999999999994</v>
      </c>
      <c r="Q1427" t="s">
        <v>26</v>
      </c>
      <c r="R1427" t="s">
        <v>41</v>
      </c>
      <c r="S1427">
        <v>1773</v>
      </c>
      <c r="T1427" t="s">
        <v>70</v>
      </c>
      <c r="U1427" t="str">
        <f t="shared" si="22"/>
        <v>Pass</v>
      </c>
    </row>
    <row r="1428" spans="1:21">
      <c r="A1428" t="s">
        <v>2601</v>
      </c>
      <c r="B1428" t="s">
        <v>591</v>
      </c>
      <c r="C1428" t="s">
        <v>22</v>
      </c>
      <c r="D1428">
        <v>8</v>
      </c>
      <c r="E1428" t="s">
        <v>23</v>
      </c>
      <c r="F1428">
        <v>14</v>
      </c>
      <c r="G1428" t="s">
        <v>64</v>
      </c>
      <c r="H1428" t="s">
        <v>2602</v>
      </c>
      <c r="I1428">
        <v>99</v>
      </c>
      <c r="J1428">
        <v>80</v>
      </c>
      <c r="K1428">
        <v>90</v>
      </c>
      <c r="L1428">
        <v>54</v>
      </c>
      <c r="M1428">
        <v>59</v>
      </c>
      <c r="N1428">
        <v>57</v>
      </c>
      <c r="O1428">
        <v>340</v>
      </c>
      <c r="P1428">
        <v>68</v>
      </c>
      <c r="Q1428" t="s">
        <v>26</v>
      </c>
      <c r="R1428" t="s">
        <v>27</v>
      </c>
      <c r="S1428">
        <v>3930</v>
      </c>
      <c r="T1428" t="s">
        <v>34</v>
      </c>
      <c r="U1428" t="str">
        <f t="shared" si="22"/>
        <v>Pass</v>
      </c>
    </row>
    <row r="1429" spans="1:21">
      <c r="A1429" t="s">
        <v>2603</v>
      </c>
      <c r="B1429" t="s">
        <v>154</v>
      </c>
      <c r="C1429" t="s">
        <v>22</v>
      </c>
      <c r="D1429">
        <v>10</v>
      </c>
      <c r="E1429" t="s">
        <v>47</v>
      </c>
      <c r="F1429">
        <v>15</v>
      </c>
      <c r="G1429" t="s">
        <v>32</v>
      </c>
      <c r="H1429" t="s">
        <v>1604</v>
      </c>
      <c r="I1429">
        <v>61</v>
      </c>
      <c r="J1429">
        <v>69</v>
      </c>
      <c r="K1429">
        <v>58</v>
      </c>
      <c r="L1429">
        <v>100</v>
      </c>
      <c r="M1429">
        <v>69</v>
      </c>
      <c r="N1429">
        <v>74</v>
      </c>
      <c r="O1429">
        <v>370</v>
      </c>
      <c r="P1429">
        <v>74</v>
      </c>
      <c r="Q1429" t="s">
        <v>40</v>
      </c>
      <c r="R1429" t="s">
        <v>27</v>
      </c>
      <c r="S1429">
        <v>3145</v>
      </c>
      <c r="T1429" t="s">
        <v>66</v>
      </c>
      <c r="U1429" t="str">
        <f t="shared" si="22"/>
        <v>Pass</v>
      </c>
    </row>
    <row r="1430" spans="1:21">
      <c r="A1430" t="s">
        <v>2604</v>
      </c>
      <c r="B1430" t="s">
        <v>335</v>
      </c>
      <c r="C1430" t="s">
        <v>37</v>
      </c>
      <c r="D1430">
        <v>7</v>
      </c>
      <c r="E1430" t="s">
        <v>31</v>
      </c>
      <c r="F1430">
        <v>11</v>
      </c>
      <c r="G1430" t="s">
        <v>45</v>
      </c>
      <c r="H1430" t="s">
        <v>641</v>
      </c>
      <c r="I1430">
        <v>74</v>
      </c>
      <c r="J1430">
        <v>100</v>
      </c>
      <c r="K1430">
        <v>93</v>
      </c>
      <c r="L1430">
        <v>54</v>
      </c>
      <c r="M1430">
        <v>46</v>
      </c>
      <c r="N1430">
        <v>99</v>
      </c>
      <c r="O1430">
        <v>392</v>
      </c>
      <c r="P1430">
        <v>78.400000000000006</v>
      </c>
      <c r="Q1430" t="s">
        <v>40</v>
      </c>
      <c r="R1430" t="s">
        <v>41</v>
      </c>
      <c r="S1430">
        <v>1637</v>
      </c>
      <c r="T1430" t="s">
        <v>70</v>
      </c>
      <c r="U1430" t="str">
        <f t="shared" si="22"/>
        <v>Pass</v>
      </c>
    </row>
    <row r="1431" spans="1:21">
      <c r="A1431" t="s">
        <v>2605</v>
      </c>
      <c r="B1431" t="s">
        <v>926</v>
      </c>
      <c r="C1431" t="s">
        <v>37</v>
      </c>
      <c r="D1431">
        <v>5</v>
      </c>
      <c r="E1431" t="s">
        <v>47</v>
      </c>
      <c r="F1431">
        <v>10</v>
      </c>
      <c r="G1431" t="s">
        <v>38</v>
      </c>
      <c r="H1431" t="s">
        <v>963</v>
      </c>
      <c r="I1431">
        <v>85</v>
      </c>
      <c r="J1431">
        <v>57</v>
      </c>
      <c r="K1431">
        <v>66</v>
      </c>
      <c r="L1431">
        <v>62</v>
      </c>
      <c r="M1431">
        <v>36</v>
      </c>
      <c r="N1431">
        <v>94</v>
      </c>
      <c r="O1431">
        <v>315</v>
      </c>
      <c r="P1431">
        <v>63</v>
      </c>
      <c r="Q1431" t="s">
        <v>26</v>
      </c>
      <c r="R1431" t="s">
        <v>41</v>
      </c>
      <c r="S1431">
        <v>2949</v>
      </c>
      <c r="T1431" t="s">
        <v>28</v>
      </c>
      <c r="U1431" t="str">
        <f t="shared" si="22"/>
        <v>Pass</v>
      </c>
    </row>
    <row r="1432" spans="1:21">
      <c r="A1432" t="s">
        <v>2606</v>
      </c>
      <c r="B1432" t="s">
        <v>365</v>
      </c>
      <c r="C1432" t="s">
        <v>37</v>
      </c>
      <c r="D1432">
        <v>10</v>
      </c>
      <c r="E1432" t="s">
        <v>47</v>
      </c>
      <c r="F1432">
        <v>15</v>
      </c>
      <c r="G1432" t="s">
        <v>45</v>
      </c>
      <c r="H1432" t="s">
        <v>2470</v>
      </c>
      <c r="I1432">
        <v>99</v>
      </c>
      <c r="J1432">
        <v>83</v>
      </c>
      <c r="K1432">
        <v>92</v>
      </c>
      <c r="L1432">
        <v>56</v>
      </c>
      <c r="M1432">
        <v>85</v>
      </c>
      <c r="N1432">
        <v>49</v>
      </c>
      <c r="O1432">
        <v>365</v>
      </c>
      <c r="P1432">
        <v>73</v>
      </c>
      <c r="Q1432" t="s">
        <v>40</v>
      </c>
      <c r="R1432" t="s">
        <v>41</v>
      </c>
      <c r="S1432">
        <v>3891</v>
      </c>
      <c r="T1432" t="s">
        <v>34</v>
      </c>
      <c r="U1432" t="str">
        <f t="shared" si="22"/>
        <v>Pass</v>
      </c>
    </row>
    <row r="1433" spans="1:21">
      <c r="A1433" t="s">
        <v>2607</v>
      </c>
      <c r="B1433" t="s">
        <v>490</v>
      </c>
      <c r="C1433" t="s">
        <v>37</v>
      </c>
      <c r="D1433">
        <v>5</v>
      </c>
      <c r="E1433" t="s">
        <v>31</v>
      </c>
      <c r="F1433">
        <v>9</v>
      </c>
      <c r="G1433" t="s">
        <v>24</v>
      </c>
      <c r="H1433" t="s">
        <v>2608</v>
      </c>
      <c r="I1433">
        <v>79</v>
      </c>
      <c r="J1433">
        <v>65</v>
      </c>
      <c r="K1433">
        <v>58</v>
      </c>
      <c r="L1433">
        <v>35</v>
      </c>
      <c r="M1433">
        <v>66</v>
      </c>
      <c r="N1433">
        <v>86</v>
      </c>
      <c r="O1433">
        <v>310</v>
      </c>
      <c r="P1433">
        <v>62</v>
      </c>
      <c r="Q1433" t="s">
        <v>26</v>
      </c>
      <c r="R1433" t="s">
        <v>27</v>
      </c>
      <c r="S1433">
        <v>4069</v>
      </c>
      <c r="T1433" t="s">
        <v>42</v>
      </c>
      <c r="U1433" t="str">
        <f t="shared" si="22"/>
        <v>Pass</v>
      </c>
    </row>
    <row r="1434" spans="1:21">
      <c r="A1434" t="s">
        <v>2609</v>
      </c>
      <c r="B1434" t="s">
        <v>202</v>
      </c>
      <c r="C1434" t="s">
        <v>37</v>
      </c>
      <c r="D1434">
        <v>11</v>
      </c>
      <c r="E1434" t="s">
        <v>23</v>
      </c>
      <c r="F1434">
        <v>15</v>
      </c>
      <c r="G1434" t="s">
        <v>24</v>
      </c>
      <c r="H1434" t="s">
        <v>2610</v>
      </c>
      <c r="I1434">
        <v>69</v>
      </c>
      <c r="J1434">
        <v>98</v>
      </c>
      <c r="K1434">
        <v>50</v>
      </c>
      <c r="L1434">
        <v>79</v>
      </c>
      <c r="M1434">
        <v>99</v>
      </c>
      <c r="N1434">
        <v>92</v>
      </c>
      <c r="O1434">
        <v>418</v>
      </c>
      <c r="P1434">
        <v>83.6</v>
      </c>
      <c r="Q1434" t="s">
        <v>47</v>
      </c>
      <c r="R1434" t="s">
        <v>27</v>
      </c>
      <c r="S1434">
        <v>4392</v>
      </c>
      <c r="T1434" t="s">
        <v>42</v>
      </c>
      <c r="U1434" t="str">
        <f t="shared" si="22"/>
        <v>Pass</v>
      </c>
    </row>
    <row r="1435" spans="1:21">
      <c r="A1435" t="s">
        <v>2611</v>
      </c>
      <c r="B1435" t="s">
        <v>50</v>
      </c>
      <c r="C1435" t="s">
        <v>37</v>
      </c>
      <c r="D1435">
        <v>4</v>
      </c>
      <c r="E1435" t="s">
        <v>23</v>
      </c>
      <c r="F1435">
        <v>9</v>
      </c>
      <c r="G1435" t="s">
        <v>38</v>
      </c>
      <c r="H1435" t="s">
        <v>100</v>
      </c>
      <c r="I1435">
        <v>67</v>
      </c>
      <c r="J1435">
        <v>66</v>
      </c>
      <c r="K1435">
        <v>37</v>
      </c>
      <c r="L1435">
        <v>92</v>
      </c>
      <c r="M1435">
        <v>80</v>
      </c>
      <c r="N1435">
        <v>75</v>
      </c>
      <c r="O1435">
        <v>350</v>
      </c>
      <c r="P1435">
        <v>70</v>
      </c>
      <c r="Q1435" t="s">
        <v>40</v>
      </c>
      <c r="R1435" t="s">
        <v>41</v>
      </c>
      <c r="S1435">
        <v>2818</v>
      </c>
      <c r="T1435" t="s">
        <v>66</v>
      </c>
      <c r="U1435" t="str">
        <f t="shared" si="22"/>
        <v>Pass</v>
      </c>
    </row>
    <row r="1436" spans="1:21">
      <c r="A1436" t="s">
        <v>2612</v>
      </c>
      <c r="B1436" t="s">
        <v>445</v>
      </c>
      <c r="C1436" t="s">
        <v>22</v>
      </c>
      <c r="D1436">
        <v>10</v>
      </c>
      <c r="E1436" t="s">
        <v>47</v>
      </c>
      <c r="F1436">
        <v>15</v>
      </c>
      <c r="G1436" t="s">
        <v>38</v>
      </c>
      <c r="H1436" t="s">
        <v>2613</v>
      </c>
      <c r="I1436">
        <v>73</v>
      </c>
      <c r="J1436">
        <v>96</v>
      </c>
      <c r="K1436">
        <v>70</v>
      </c>
      <c r="L1436">
        <v>87</v>
      </c>
      <c r="M1436">
        <v>40</v>
      </c>
      <c r="N1436">
        <v>42</v>
      </c>
      <c r="O1436">
        <v>335</v>
      </c>
      <c r="P1436">
        <v>67</v>
      </c>
      <c r="Q1436" t="s">
        <v>26</v>
      </c>
      <c r="R1436" t="s">
        <v>41</v>
      </c>
      <c r="S1436">
        <v>3305</v>
      </c>
      <c r="T1436" t="s">
        <v>70</v>
      </c>
      <c r="U1436" t="str">
        <f t="shared" si="22"/>
        <v>Pass</v>
      </c>
    </row>
    <row r="1437" spans="1:21">
      <c r="A1437" t="s">
        <v>2614</v>
      </c>
      <c r="B1437" t="s">
        <v>900</v>
      </c>
      <c r="C1437" t="s">
        <v>37</v>
      </c>
      <c r="D1437">
        <v>7</v>
      </c>
      <c r="E1437" t="s">
        <v>26</v>
      </c>
      <c r="F1437">
        <v>12</v>
      </c>
      <c r="G1437" t="s">
        <v>58</v>
      </c>
      <c r="H1437" t="s">
        <v>2615</v>
      </c>
      <c r="I1437">
        <v>62</v>
      </c>
      <c r="J1437">
        <v>39</v>
      </c>
      <c r="K1437">
        <v>83</v>
      </c>
      <c r="L1437">
        <v>57</v>
      </c>
      <c r="M1437">
        <v>49</v>
      </c>
      <c r="N1437">
        <v>35</v>
      </c>
      <c r="O1437">
        <v>263</v>
      </c>
      <c r="P1437">
        <v>52.6</v>
      </c>
      <c r="Q1437" t="s">
        <v>31</v>
      </c>
      <c r="R1437" t="s">
        <v>41</v>
      </c>
      <c r="S1437">
        <v>2703</v>
      </c>
      <c r="T1437" t="s">
        <v>66</v>
      </c>
      <c r="U1437" t="str">
        <f t="shared" si="22"/>
        <v>Fail</v>
      </c>
    </row>
    <row r="1438" spans="1:21">
      <c r="A1438" t="s">
        <v>2616</v>
      </c>
      <c r="B1438" t="s">
        <v>900</v>
      </c>
      <c r="C1438" t="s">
        <v>22</v>
      </c>
      <c r="D1438">
        <v>11</v>
      </c>
      <c r="E1438" t="s">
        <v>23</v>
      </c>
      <c r="F1438">
        <v>16</v>
      </c>
      <c r="G1438" t="s">
        <v>58</v>
      </c>
      <c r="H1438" t="s">
        <v>911</v>
      </c>
      <c r="I1438">
        <v>98</v>
      </c>
      <c r="J1438">
        <v>91</v>
      </c>
      <c r="K1438">
        <v>85</v>
      </c>
      <c r="L1438">
        <v>47</v>
      </c>
      <c r="M1438">
        <v>78</v>
      </c>
      <c r="N1438">
        <v>70</v>
      </c>
      <c r="O1438">
        <v>371</v>
      </c>
      <c r="P1438">
        <v>74.2</v>
      </c>
      <c r="Q1438" t="s">
        <v>40</v>
      </c>
      <c r="R1438" t="s">
        <v>27</v>
      </c>
      <c r="S1438">
        <v>4441</v>
      </c>
      <c r="T1438" t="s">
        <v>70</v>
      </c>
      <c r="U1438" t="str">
        <f t="shared" si="22"/>
        <v>Pass</v>
      </c>
    </row>
    <row r="1439" spans="1:21">
      <c r="A1439" t="s">
        <v>2617</v>
      </c>
      <c r="B1439" t="s">
        <v>242</v>
      </c>
      <c r="C1439" t="s">
        <v>37</v>
      </c>
      <c r="D1439">
        <v>6</v>
      </c>
      <c r="E1439" t="s">
        <v>26</v>
      </c>
      <c r="F1439">
        <v>11</v>
      </c>
      <c r="G1439" t="s">
        <v>24</v>
      </c>
      <c r="H1439" t="s">
        <v>2618</v>
      </c>
      <c r="I1439">
        <v>88</v>
      </c>
      <c r="J1439">
        <v>52</v>
      </c>
      <c r="K1439">
        <v>82</v>
      </c>
      <c r="L1439">
        <v>64</v>
      </c>
      <c r="M1439">
        <v>40</v>
      </c>
      <c r="N1439">
        <v>69</v>
      </c>
      <c r="O1439">
        <v>307</v>
      </c>
      <c r="P1439">
        <v>61.4</v>
      </c>
      <c r="Q1439" t="s">
        <v>26</v>
      </c>
      <c r="R1439" t="s">
        <v>27</v>
      </c>
      <c r="S1439">
        <v>4959</v>
      </c>
      <c r="T1439" t="s">
        <v>42</v>
      </c>
      <c r="U1439" t="str">
        <f t="shared" si="22"/>
        <v>Pass</v>
      </c>
    </row>
    <row r="1440" spans="1:21">
      <c r="A1440" t="s">
        <v>2619</v>
      </c>
      <c r="B1440" t="s">
        <v>1142</v>
      </c>
      <c r="C1440" t="s">
        <v>22</v>
      </c>
      <c r="D1440">
        <v>3</v>
      </c>
      <c r="E1440" t="s">
        <v>26</v>
      </c>
      <c r="F1440">
        <v>9</v>
      </c>
      <c r="G1440" t="s">
        <v>38</v>
      </c>
      <c r="H1440" t="s">
        <v>1715</v>
      </c>
      <c r="I1440">
        <v>100</v>
      </c>
      <c r="J1440">
        <v>61</v>
      </c>
      <c r="K1440">
        <v>58</v>
      </c>
      <c r="L1440">
        <v>47</v>
      </c>
      <c r="M1440">
        <v>69</v>
      </c>
      <c r="N1440">
        <v>88</v>
      </c>
      <c r="O1440">
        <v>323</v>
      </c>
      <c r="P1440">
        <v>64.599999999999994</v>
      </c>
      <c r="Q1440" t="s">
        <v>26</v>
      </c>
      <c r="R1440" t="s">
        <v>41</v>
      </c>
      <c r="S1440">
        <v>4979</v>
      </c>
      <c r="T1440" t="s">
        <v>70</v>
      </c>
      <c r="U1440" t="str">
        <f t="shared" si="22"/>
        <v>Pass</v>
      </c>
    </row>
    <row r="1441" spans="1:21">
      <c r="A1441" t="s">
        <v>2620</v>
      </c>
      <c r="B1441" t="s">
        <v>544</v>
      </c>
      <c r="C1441" t="s">
        <v>22</v>
      </c>
      <c r="D1441">
        <v>8</v>
      </c>
      <c r="E1441" t="s">
        <v>47</v>
      </c>
      <c r="F1441">
        <v>13</v>
      </c>
      <c r="G1441" t="s">
        <v>32</v>
      </c>
      <c r="H1441" t="s">
        <v>1033</v>
      </c>
      <c r="I1441">
        <v>76</v>
      </c>
      <c r="J1441">
        <v>59</v>
      </c>
      <c r="K1441">
        <v>82</v>
      </c>
      <c r="L1441">
        <v>92</v>
      </c>
      <c r="M1441">
        <v>78</v>
      </c>
      <c r="N1441">
        <v>57</v>
      </c>
      <c r="O1441">
        <v>368</v>
      </c>
      <c r="P1441">
        <v>73.599999999999994</v>
      </c>
      <c r="Q1441" t="s">
        <v>40</v>
      </c>
      <c r="R1441" t="s">
        <v>41</v>
      </c>
      <c r="S1441">
        <v>4612</v>
      </c>
      <c r="T1441" t="s">
        <v>42</v>
      </c>
      <c r="U1441" t="str">
        <f t="shared" si="22"/>
        <v>Pass</v>
      </c>
    </row>
    <row r="1442" spans="1:21">
      <c r="A1442" t="s">
        <v>2621</v>
      </c>
      <c r="B1442" t="s">
        <v>61</v>
      </c>
      <c r="C1442" t="s">
        <v>37</v>
      </c>
      <c r="D1442">
        <v>9</v>
      </c>
      <c r="E1442" t="s">
        <v>26</v>
      </c>
      <c r="F1442">
        <v>13</v>
      </c>
      <c r="G1442" t="s">
        <v>64</v>
      </c>
      <c r="H1442" t="s">
        <v>2622</v>
      </c>
      <c r="I1442">
        <v>94</v>
      </c>
      <c r="J1442">
        <v>66</v>
      </c>
      <c r="K1442">
        <v>100</v>
      </c>
      <c r="L1442">
        <v>61</v>
      </c>
      <c r="M1442">
        <v>91</v>
      </c>
      <c r="N1442">
        <v>75</v>
      </c>
      <c r="O1442">
        <v>393</v>
      </c>
      <c r="P1442">
        <v>78.599999999999994</v>
      </c>
      <c r="Q1442" t="s">
        <v>40</v>
      </c>
      <c r="R1442" t="s">
        <v>27</v>
      </c>
      <c r="S1442">
        <v>1910</v>
      </c>
      <c r="T1442" t="s">
        <v>42</v>
      </c>
      <c r="U1442" t="str">
        <f t="shared" si="22"/>
        <v>Pass</v>
      </c>
    </row>
    <row r="1443" spans="1:21">
      <c r="A1443" t="s">
        <v>2623</v>
      </c>
      <c r="B1443" t="s">
        <v>75</v>
      </c>
      <c r="C1443" t="s">
        <v>22</v>
      </c>
      <c r="D1443">
        <v>4</v>
      </c>
      <c r="E1443" t="s">
        <v>26</v>
      </c>
      <c r="F1443">
        <v>8</v>
      </c>
      <c r="G1443" t="s">
        <v>58</v>
      </c>
      <c r="H1443" t="s">
        <v>360</v>
      </c>
      <c r="I1443">
        <v>85</v>
      </c>
      <c r="J1443">
        <v>42</v>
      </c>
      <c r="K1443">
        <v>40</v>
      </c>
      <c r="L1443">
        <v>88</v>
      </c>
      <c r="M1443">
        <v>75</v>
      </c>
      <c r="N1443">
        <v>70</v>
      </c>
      <c r="O1443">
        <v>315</v>
      </c>
      <c r="P1443">
        <v>63</v>
      </c>
      <c r="Q1443" t="s">
        <v>26</v>
      </c>
      <c r="R1443" t="s">
        <v>27</v>
      </c>
      <c r="S1443">
        <v>2976</v>
      </c>
      <c r="T1443" t="s">
        <v>70</v>
      </c>
      <c r="U1443" t="str">
        <f t="shared" si="22"/>
        <v>Pass</v>
      </c>
    </row>
    <row r="1444" spans="1:21">
      <c r="A1444" t="s">
        <v>2624</v>
      </c>
      <c r="B1444" t="s">
        <v>378</v>
      </c>
      <c r="C1444" t="s">
        <v>37</v>
      </c>
      <c r="D1444">
        <v>11</v>
      </c>
      <c r="E1444" t="s">
        <v>31</v>
      </c>
      <c r="F1444">
        <v>16</v>
      </c>
      <c r="G1444" t="s">
        <v>45</v>
      </c>
      <c r="H1444" t="s">
        <v>2201</v>
      </c>
      <c r="I1444">
        <v>75</v>
      </c>
      <c r="J1444">
        <v>36</v>
      </c>
      <c r="K1444">
        <v>69</v>
      </c>
      <c r="L1444">
        <v>50</v>
      </c>
      <c r="M1444">
        <v>75</v>
      </c>
      <c r="N1444">
        <v>92</v>
      </c>
      <c r="O1444">
        <v>322</v>
      </c>
      <c r="P1444">
        <v>64.400000000000006</v>
      </c>
      <c r="Q1444" t="s">
        <v>26</v>
      </c>
      <c r="R1444" t="s">
        <v>41</v>
      </c>
      <c r="S1444">
        <v>1928</v>
      </c>
      <c r="T1444" t="s">
        <v>70</v>
      </c>
      <c r="U1444" t="str">
        <f t="shared" si="22"/>
        <v>Pass</v>
      </c>
    </row>
    <row r="1445" spans="1:21">
      <c r="A1445" t="s">
        <v>2625</v>
      </c>
      <c r="B1445" t="s">
        <v>591</v>
      </c>
      <c r="C1445" t="s">
        <v>22</v>
      </c>
      <c r="D1445">
        <v>7</v>
      </c>
      <c r="E1445" t="s">
        <v>47</v>
      </c>
      <c r="F1445">
        <v>12</v>
      </c>
      <c r="G1445" t="s">
        <v>32</v>
      </c>
      <c r="H1445" t="s">
        <v>2626</v>
      </c>
      <c r="I1445">
        <v>75</v>
      </c>
      <c r="J1445">
        <v>52</v>
      </c>
      <c r="K1445">
        <v>75</v>
      </c>
      <c r="L1445">
        <v>89</v>
      </c>
      <c r="M1445">
        <v>44</v>
      </c>
      <c r="N1445">
        <v>86</v>
      </c>
      <c r="O1445">
        <v>346</v>
      </c>
      <c r="P1445">
        <v>69.2</v>
      </c>
      <c r="Q1445" t="s">
        <v>26</v>
      </c>
      <c r="R1445" t="s">
        <v>27</v>
      </c>
      <c r="S1445">
        <v>4780</v>
      </c>
      <c r="T1445" t="s">
        <v>42</v>
      </c>
      <c r="U1445" t="str">
        <f t="shared" si="22"/>
        <v>Pass</v>
      </c>
    </row>
    <row r="1446" spans="1:21">
      <c r="A1446" t="s">
        <v>2627</v>
      </c>
      <c r="B1446" t="s">
        <v>1644</v>
      </c>
      <c r="C1446" t="s">
        <v>37</v>
      </c>
      <c r="D1446">
        <v>10</v>
      </c>
      <c r="E1446" t="s">
        <v>26</v>
      </c>
      <c r="F1446">
        <v>15</v>
      </c>
      <c r="G1446" t="s">
        <v>32</v>
      </c>
      <c r="H1446" t="s">
        <v>2628</v>
      </c>
      <c r="I1446">
        <v>99</v>
      </c>
      <c r="J1446">
        <v>58</v>
      </c>
      <c r="K1446">
        <v>66</v>
      </c>
      <c r="L1446">
        <v>43</v>
      </c>
      <c r="M1446">
        <v>67</v>
      </c>
      <c r="N1446">
        <v>58</v>
      </c>
      <c r="O1446">
        <v>292</v>
      </c>
      <c r="P1446">
        <v>58.4</v>
      </c>
      <c r="Q1446" t="s">
        <v>31</v>
      </c>
      <c r="R1446" t="s">
        <v>27</v>
      </c>
      <c r="S1446">
        <v>4975</v>
      </c>
      <c r="T1446" t="s">
        <v>48</v>
      </c>
      <c r="U1446" t="str">
        <f t="shared" si="22"/>
        <v>Pass</v>
      </c>
    </row>
    <row r="1447" spans="1:21">
      <c r="A1447" t="s">
        <v>2629</v>
      </c>
      <c r="B1447" t="s">
        <v>110</v>
      </c>
      <c r="C1447" t="s">
        <v>22</v>
      </c>
      <c r="D1447">
        <v>2</v>
      </c>
      <c r="E1447" t="s">
        <v>31</v>
      </c>
      <c r="F1447">
        <v>6</v>
      </c>
      <c r="G1447" t="s">
        <v>32</v>
      </c>
      <c r="H1447" t="s">
        <v>2262</v>
      </c>
      <c r="I1447">
        <v>90</v>
      </c>
      <c r="J1447">
        <v>57</v>
      </c>
      <c r="K1447">
        <v>94</v>
      </c>
      <c r="L1447">
        <v>83</v>
      </c>
      <c r="M1447">
        <v>53</v>
      </c>
      <c r="N1447">
        <v>50</v>
      </c>
      <c r="O1447">
        <v>337</v>
      </c>
      <c r="P1447">
        <v>67.400000000000006</v>
      </c>
      <c r="Q1447" t="s">
        <v>26</v>
      </c>
      <c r="R1447" t="s">
        <v>27</v>
      </c>
      <c r="S1447">
        <v>4886</v>
      </c>
      <c r="T1447" t="s">
        <v>48</v>
      </c>
      <c r="U1447" t="str">
        <f t="shared" si="22"/>
        <v>Pass</v>
      </c>
    </row>
    <row r="1448" spans="1:21">
      <c r="A1448" t="s">
        <v>2630</v>
      </c>
      <c r="B1448" t="s">
        <v>305</v>
      </c>
      <c r="C1448" t="s">
        <v>22</v>
      </c>
      <c r="D1448">
        <v>6</v>
      </c>
      <c r="E1448" t="s">
        <v>31</v>
      </c>
      <c r="F1448">
        <v>10</v>
      </c>
      <c r="G1448" t="s">
        <v>58</v>
      </c>
      <c r="H1448" t="s">
        <v>2631</v>
      </c>
      <c r="I1448">
        <v>93</v>
      </c>
      <c r="J1448">
        <v>76</v>
      </c>
      <c r="K1448">
        <v>74</v>
      </c>
      <c r="L1448">
        <v>80</v>
      </c>
      <c r="M1448">
        <v>35</v>
      </c>
      <c r="N1448">
        <v>35</v>
      </c>
      <c r="O1448">
        <v>300</v>
      </c>
      <c r="P1448">
        <v>60</v>
      </c>
      <c r="Q1448" t="s">
        <v>26</v>
      </c>
      <c r="R1448" t="s">
        <v>27</v>
      </c>
      <c r="S1448">
        <v>4342</v>
      </c>
      <c r="T1448" t="s">
        <v>66</v>
      </c>
      <c r="U1448" t="str">
        <f t="shared" si="22"/>
        <v>Pass</v>
      </c>
    </row>
    <row r="1449" spans="1:21">
      <c r="A1449" t="s">
        <v>2632</v>
      </c>
      <c r="B1449" t="s">
        <v>1234</v>
      </c>
      <c r="C1449" t="s">
        <v>37</v>
      </c>
      <c r="D1449">
        <v>9</v>
      </c>
      <c r="E1449" t="s">
        <v>26</v>
      </c>
      <c r="F1449">
        <v>13</v>
      </c>
      <c r="G1449" t="s">
        <v>45</v>
      </c>
      <c r="H1449" t="s">
        <v>1595</v>
      </c>
      <c r="I1449">
        <v>67</v>
      </c>
      <c r="J1449">
        <v>60</v>
      </c>
      <c r="K1449">
        <v>97</v>
      </c>
      <c r="L1449">
        <v>91</v>
      </c>
      <c r="M1449">
        <v>58</v>
      </c>
      <c r="N1449">
        <v>99</v>
      </c>
      <c r="O1449">
        <v>405</v>
      </c>
      <c r="P1449">
        <v>81</v>
      </c>
      <c r="Q1449" t="s">
        <v>47</v>
      </c>
      <c r="R1449" t="s">
        <v>27</v>
      </c>
      <c r="S1449">
        <v>3439</v>
      </c>
      <c r="T1449" t="s">
        <v>66</v>
      </c>
      <c r="U1449" t="str">
        <f t="shared" si="22"/>
        <v>Pass</v>
      </c>
    </row>
    <row r="1450" spans="1:21">
      <c r="A1450" t="s">
        <v>2633</v>
      </c>
      <c r="B1450" t="s">
        <v>36</v>
      </c>
      <c r="C1450" t="s">
        <v>37</v>
      </c>
      <c r="D1450">
        <v>9</v>
      </c>
      <c r="E1450" t="s">
        <v>47</v>
      </c>
      <c r="F1450">
        <v>13</v>
      </c>
      <c r="G1450" t="s">
        <v>24</v>
      </c>
      <c r="H1450" t="s">
        <v>2634</v>
      </c>
      <c r="I1450">
        <v>98</v>
      </c>
      <c r="J1450">
        <v>69</v>
      </c>
      <c r="K1450">
        <v>82</v>
      </c>
      <c r="L1450">
        <v>37</v>
      </c>
      <c r="M1450">
        <v>97</v>
      </c>
      <c r="N1450">
        <v>87</v>
      </c>
      <c r="O1450">
        <v>372</v>
      </c>
      <c r="P1450">
        <v>74.400000000000006</v>
      </c>
      <c r="Q1450" t="s">
        <v>40</v>
      </c>
      <c r="R1450" t="s">
        <v>27</v>
      </c>
      <c r="S1450">
        <v>4220</v>
      </c>
      <c r="T1450" t="s">
        <v>66</v>
      </c>
      <c r="U1450" t="str">
        <f t="shared" si="22"/>
        <v>Pass</v>
      </c>
    </row>
    <row r="1451" spans="1:21">
      <c r="A1451" t="s">
        <v>2635</v>
      </c>
      <c r="B1451" t="s">
        <v>332</v>
      </c>
      <c r="C1451" t="s">
        <v>22</v>
      </c>
      <c r="D1451">
        <v>6</v>
      </c>
      <c r="E1451" t="s">
        <v>26</v>
      </c>
      <c r="F1451">
        <v>11</v>
      </c>
      <c r="G1451" t="s">
        <v>24</v>
      </c>
      <c r="H1451" t="s">
        <v>2636</v>
      </c>
      <c r="I1451">
        <v>65</v>
      </c>
      <c r="J1451">
        <v>70</v>
      </c>
      <c r="K1451">
        <v>85</v>
      </c>
      <c r="L1451">
        <v>66</v>
      </c>
      <c r="M1451">
        <v>83</v>
      </c>
      <c r="N1451">
        <v>54</v>
      </c>
      <c r="O1451">
        <v>358</v>
      </c>
      <c r="P1451">
        <v>71.599999999999994</v>
      </c>
      <c r="Q1451" t="s">
        <v>40</v>
      </c>
      <c r="R1451" t="s">
        <v>27</v>
      </c>
      <c r="S1451">
        <v>2795</v>
      </c>
      <c r="T1451" t="s">
        <v>34</v>
      </c>
      <c r="U1451" t="str">
        <f t="shared" si="22"/>
        <v>Pass</v>
      </c>
    </row>
    <row r="1452" spans="1:21">
      <c r="A1452" t="s">
        <v>2637</v>
      </c>
      <c r="B1452" t="s">
        <v>628</v>
      </c>
      <c r="C1452" t="s">
        <v>37</v>
      </c>
      <c r="D1452">
        <v>4</v>
      </c>
      <c r="E1452" t="s">
        <v>23</v>
      </c>
      <c r="F1452">
        <v>9</v>
      </c>
      <c r="G1452" t="s">
        <v>24</v>
      </c>
      <c r="H1452" t="s">
        <v>2531</v>
      </c>
      <c r="I1452">
        <v>72</v>
      </c>
      <c r="J1452">
        <v>55</v>
      </c>
      <c r="K1452">
        <v>70</v>
      </c>
      <c r="L1452">
        <v>48</v>
      </c>
      <c r="M1452">
        <v>57</v>
      </c>
      <c r="N1452">
        <v>75</v>
      </c>
      <c r="O1452">
        <v>305</v>
      </c>
      <c r="P1452">
        <v>61</v>
      </c>
      <c r="Q1452" t="s">
        <v>26</v>
      </c>
      <c r="R1452" t="s">
        <v>41</v>
      </c>
      <c r="S1452">
        <v>4232</v>
      </c>
      <c r="T1452" t="s">
        <v>42</v>
      </c>
      <c r="U1452" t="str">
        <f t="shared" si="22"/>
        <v>Pass</v>
      </c>
    </row>
    <row r="1453" spans="1:21">
      <c r="A1453" t="s">
        <v>2638</v>
      </c>
      <c r="B1453" t="s">
        <v>258</v>
      </c>
      <c r="C1453" t="s">
        <v>22</v>
      </c>
      <c r="D1453">
        <v>5</v>
      </c>
      <c r="E1453" t="s">
        <v>26</v>
      </c>
      <c r="F1453">
        <v>10</v>
      </c>
      <c r="G1453" t="s">
        <v>64</v>
      </c>
      <c r="H1453" t="s">
        <v>970</v>
      </c>
      <c r="I1453">
        <v>62</v>
      </c>
      <c r="J1453">
        <v>87</v>
      </c>
      <c r="K1453">
        <v>71</v>
      </c>
      <c r="L1453">
        <v>76</v>
      </c>
      <c r="M1453">
        <v>56</v>
      </c>
      <c r="N1453">
        <v>41</v>
      </c>
      <c r="O1453">
        <v>331</v>
      </c>
      <c r="P1453">
        <v>66.2</v>
      </c>
      <c r="Q1453" t="s">
        <v>26</v>
      </c>
      <c r="R1453" t="s">
        <v>41</v>
      </c>
      <c r="S1453">
        <v>4664</v>
      </c>
      <c r="T1453" t="s">
        <v>34</v>
      </c>
      <c r="U1453" t="str">
        <f t="shared" si="22"/>
        <v>Pass</v>
      </c>
    </row>
    <row r="1454" spans="1:21">
      <c r="A1454" t="s">
        <v>2639</v>
      </c>
      <c r="B1454" t="s">
        <v>90</v>
      </c>
      <c r="C1454" t="s">
        <v>22</v>
      </c>
      <c r="D1454">
        <v>2</v>
      </c>
      <c r="E1454" t="s">
        <v>23</v>
      </c>
      <c r="F1454">
        <v>7</v>
      </c>
      <c r="G1454" t="s">
        <v>38</v>
      </c>
      <c r="H1454" t="s">
        <v>1730</v>
      </c>
      <c r="I1454">
        <v>78</v>
      </c>
      <c r="J1454">
        <v>51</v>
      </c>
      <c r="K1454">
        <v>99</v>
      </c>
      <c r="L1454">
        <v>57</v>
      </c>
      <c r="M1454">
        <v>46</v>
      </c>
      <c r="N1454">
        <v>36</v>
      </c>
      <c r="O1454">
        <v>289</v>
      </c>
      <c r="P1454">
        <v>57.8</v>
      </c>
      <c r="Q1454" t="s">
        <v>31</v>
      </c>
      <c r="R1454" t="s">
        <v>41</v>
      </c>
      <c r="S1454">
        <v>4943</v>
      </c>
      <c r="T1454" t="s">
        <v>66</v>
      </c>
      <c r="U1454" t="str">
        <f t="shared" si="22"/>
        <v>Pass</v>
      </c>
    </row>
    <row r="1455" spans="1:21">
      <c r="A1455" t="s">
        <v>2640</v>
      </c>
      <c r="B1455" t="s">
        <v>145</v>
      </c>
      <c r="C1455" t="s">
        <v>37</v>
      </c>
      <c r="D1455">
        <v>10</v>
      </c>
      <c r="E1455" t="s">
        <v>23</v>
      </c>
      <c r="F1455">
        <v>16</v>
      </c>
      <c r="G1455" t="s">
        <v>54</v>
      </c>
      <c r="H1455" t="s">
        <v>2641</v>
      </c>
      <c r="I1455">
        <v>93</v>
      </c>
      <c r="J1455">
        <v>96</v>
      </c>
      <c r="K1455">
        <v>79</v>
      </c>
      <c r="L1455">
        <v>94</v>
      </c>
      <c r="M1455">
        <v>73</v>
      </c>
      <c r="N1455">
        <v>97</v>
      </c>
      <c r="O1455">
        <v>439</v>
      </c>
      <c r="P1455">
        <v>87.8</v>
      </c>
      <c r="Q1455" t="s">
        <v>47</v>
      </c>
      <c r="R1455" t="s">
        <v>27</v>
      </c>
      <c r="S1455">
        <v>3689</v>
      </c>
      <c r="T1455" t="s">
        <v>48</v>
      </c>
      <c r="U1455" t="str">
        <f t="shared" si="22"/>
        <v>Pass</v>
      </c>
    </row>
    <row r="1456" spans="1:21">
      <c r="A1456" t="s">
        <v>2642</v>
      </c>
      <c r="B1456" t="s">
        <v>190</v>
      </c>
      <c r="C1456" t="s">
        <v>22</v>
      </c>
      <c r="D1456">
        <v>8</v>
      </c>
      <c r="E1456" t="s">
        <v>23</v>
      </c>
      <c r="F1456">
        <v>13</v>
      </c>
      <c r="G1456" t="s">
        <v>58</v>
      </c>
      <c r="H1456" t="s">
        <v>2643</v>
      </c>
      <c r="I1456">
        <v>82</v>
      </c>
      <c r="J1456">
        <v>88</v>
      </c>
      <c r="K1456">
        <v>53</v>
      </c>
      <c r="L1456">
        <v>99</v>
      </c>
      <c r="M1456">
        <v>90</v>
      </c>
      <c r="N1456">
        <v>86</v>
      </c>
      <c r="O1456">
        <v>416</v>
      </c>
      <c r="P1456">
        <v>83.2</v>
      </c>
      <c r="Q1456" t="s">
        <v>47</v>
      </c>
      <c r="R1456" t="s">
        <v>27</v>
      </c>
      <c r="S1456">
        <v>1639</v>
      </c>
      <c r="T1456" t="s">
        <v>66</v>
      </c>
      <c r="U1456" t="str">
        <f t="shared" si="22"/>
        <v>Pass</v>
      </c>
    </row>
    <row r="1457" spans="1:21">
      <c r="A1457" t="s">
        <v>2644</v>
      </c>
      <c r="B1457" t="s">
        <v>308</v>
      </c>
      <c r="C1457" t="s">
        <v>22</v>
      </c>
      <c r="D1457">
        <v>2</v>
      </c>
      <c r="E1457" t="s">
        <v>26</v>
      </c>
      <c r="F1457">
        <v>7</v>
      </c>
      <c r="G1457" t="s">
        <v>24</v>
      </c>
      <c r="H1457" t="s">
        <v>2645</v>
      </c>
      <c r="I1457">
        <v>80</v>
      </c>
      <c r="J1457">
        <v>38</v>
      </c>
      <c r="K1457">
        <v>93</v>
      </c>
      <c r="L1457">
        <v>85</v>
      </c>
      <c r="M1457">
        <v>37</v>
      </c>
      <c r="N1457">
        <v>37</v>
      </c>
      <c r="O1457">
        <v>290</v>
      </c>
      <c r="P1457">
        <v>58</v>
      </c>
      <c r="Q1457" t="s">
        <v>31</v>
      </c>
      <c r="R1457" t="s">
        <v>27</v>
      </c>
      <c r="S1457">
        <v>4418</v>
      </c>
      <c r="T1457" t="s">
        <v>42</v>
      </c>
      <c r="U1457" t="str">
        <f t="shared" si="22"/>
        <v>Pass</v>
      </c>
    </row>
    <row r="1458" spans="1:21">
      <c r="A1458" t="s">
        <v>2646</v>
      </c>
      <c r="B1458" t="s">
        <v>250</v>
      </c>
      <c r="C1458" t="s">
        <v>37</v>
      </c>
      <c r="D1458">
        <v>2</v>
      </c>
      <c r="E1458" t="s">
        <v>26</v>
      </c>
      <c r="F1458">
        <v>7</v>
      </c>
      <c r="G1458" t="s">
        <v>54</v>
      </c>
      <c r="H1458" t="s">
        <v>1678</v>
      </c>
      <c r="I1458">
        <v>100</v>
      </c>
      <c r="J1458">
        <v>36</v>
      </c>
      <c r="K1458">
        <v>47</v>
      </c>
      <c r="L1458">
        <v>47</v>
      </c>
      <c r="M1458">
        <v>46</v>
      </c>
      <c r="N1458">
        <v>94</v>
      </c>
      <c r="O1458">
        <v>270</v>
      </c>
      <c r="P1458">
        <v>54</v>
      </c>
      <c r="Q1458" t="s">
        <v>31</v>
      </c>
      <c r="R1458" t="s">
        <v>27</v>
      </c>
      <c r="S1458">
        <v>3455</v>
      </c>
      <c r="T1458" t="s">
        <v>28</v>
      </c>
      <c r="U1458" t="str">
        <f t="shared" si="22"/>
        <v>Fail</v>
      </c>
    </row>
    <row r="1459" spans="1:21">
      <c r="A1459" t="s">
        <v>2647</v>
      </c>
      <c r="B1459" t="s">
        <v>332</v>
      </c>
      <c r="C1459" t="s">
        <v>37</v>
      </c>
      <c r="D1459">
        <v>6</v>
      </c>
      <c r="E1459" t="s">
        <v>47</v>
      </c>
      <c r="F1459">
        <v>10</v>
      </c>
      <c r="G1459" t="s">
        <v>64</v>
      </c>
      <c r="H1459" t="s">
        <v>1862</v>
      </c>
      <c r="I1459">
        <v>99</v>
      </c>
      <c r="J1459">
        <v>52</v>
      </c>
      <c r="K1459">
        <v>79</v>
      </c>
      <c r="L1459">
        <v>53</v>
      </c>
      <c r="M1459">
        <v>54</v>
      </c>
      <c r="N1459">
        <v>41</v>
      </c>
      <c r="O1459">
        <v>279</v>
      </c>
      <c r="P1459">
        <v>55.8</v>
      </c>
      <c r="Q1459" t="s">
        <v>31</v>
      </c>
      <c r="R1459" t="s">
        <v>27</v>
      </c>
      <c r="S1459">
        <v>2292</v>
      </c>
      <c r="T1459" t="s">
        <v>48</v>
      </c>
      <c r="U1459" t="str">
        <f t="shared" si="22"/>
        <v>Pass</v>
      </c>
    </row>
    <row r="1460" spans="1:21">
      <c r="A1460" t="s">
        <v>2648</v>
      </c>
      <c r="B1460" t="s">
        <v>168</v>
      </c>
      <c r="C1460" t="s">
        <v>22</v>
      </c>
      <c r="D1460">
        <v>4</v>
      </c>
      <c r="E1460" t="s">
        <v>31</v>
      </c>
      <c r="F1460">
        <v>10</v>
      </c>
      <c r="G1460" t="s">
        <v>64</v>
      </c>
      <c r="H1460" t="s">
        <v>1882</v>
      </c>
      <c r="I1460">
        <v>76</v>
      </c>
      <c r="J1460">
        <v>95</v>
      </c>
      <c r="K1460">
        <v>93</v>
      </c>
      <c r="L1460">
        <v>54</v>
      </c>
      <c r="M1460">
        <v>50</v>
      </c>
      <c r="N1460">
        <v>99</v>
      </c>
      <c r="O1460">
        <v>391</v>
      </c>
      <c r="P1460">
        <v>78.2</v>
      </c>
      <c r="Q1460" t="s">
        <v>40</v>
      </c>
      <c r="R1460" t="s">
        <v>27</v>
      </c>
      <c r="S1460">
        <v>3734</v>
      </c>
      <c r="T1460" t="s">
        <v>66</v>
      </c>
      <c r="U1460" t="str">
        <f t="shared" si="22"/>
        <v>Pass</v>
      </c>
    </row>
    <row r="1461" spans="1:21">
      <c r="A1461" t="s">
        <v>2649</v>
      </c>
      <c r="B1461" t="s">
        <v>205</v>
      </c>
      <c r="C1461" t="s">
        <v>22</v>
      </c>
      <c r="D1461">
        <v>8</v>
      </c>
      <c r="E1461" t="s">
        <v>23</v>
      </c>
      <c r="F1461">
        <v>14</v>
      </c>
      <c r="G1461" t="s">
        <v>45</v>
      </c>
      <c r="H1461" t="s">
        <v>234</v>
      </c>
      <c r="I1461">
        <v>91</v>
      </c>
      <c r="J1461">
        <v>69</v>
      </c>
      <c r="K1461">
        <v>52</v>
      </c>
      <c r="L1461">
        <v>77</v>
      </c>
      <c r="M1461">
        <v>68</v>
      </c>
      <c r="N1461">
        <v>46</v>
      </c>
      <c r="O1461">
        <v>312</v>
      </c>
      <c r="P1461">
        <v>62.4</v>
      </c>
      <c r="Q1461" t="s">
        <v>26</v>
      </c>
      <c r="R1461" t="s">
        <v>27</v>
      </c>
      <c r="S1461">
        <v>3121</v>
      </c>
      <c r="T1461" t="s">
        <v>66</v>
      </c>
      <c r="U1461" t="str">
        <f t="shared" si="22"/>
        <v>Pass</v>
      </c>
    </row>
    <row r="1462" spans="1:21">
      <c r="A1462" t="s">
        <v>2650</v>
      </c>
      <c r="B1462" t="s">
        <v>219</v>
      </c>
      <c r="C1462" t="s">
        <v>22</v>
      </c>
      <c r="D1462">
        <v>9</v>
      </c>
      <c r="E1462" t="s">
        <v>47</v>
      </c>
      <c r="F1462">
        <v>15</v>
      </c>
      <c r="G1462" t="s">
        <v>38</v>
      </c>
      <c r="H1462" t="s">
        <v>2651</v>
      </c>
      <c r="I1462">
        <v>70</v>
      </c>
      <c r="J1462">
        <v>38</v>
      </c>
      <c r="K1462">
        <v>57</v>
      </c>
      <c r="L1462">
        <v>48</v>
      </c>
      <c r="M1462">
        <v>75</v>
      </c>
      <c r="N1462">
        <v>65</v>
      </c>
      <c r="O1462">
        <v>283</v>
      </c>
      <c r="P1462">
        <v>56.6</v>
      </c>
      <c r="Q1462" t="s">
        <v>31</v>
      </c>
      <c r="R1462" t="s">
        <v>41</v>
      </c>
      <c r="S1462">
        <v>4686</v>
      </c>
      <c r="T1462" t="s">
        <v>28</v>
      </c>
      <c r="U1462" t="str">
        <f t="shared" si="22"/>
        <v>Pass</v>
      </c>
    </row>
    <row r="1463" spans="1:21">
      <c r="A1463" t="s">
        <v>2652</v>
      </c>
      <c r="B1463" t="s">
        <v>490</v>
      </c>
      <c r="C1463" t="s">
        <v>37</v>
      </c>
      <c r="D1463">
        <v>12</v>
      </c>
      <c r="E1463" t="s">
        <v>47</v>
      </c>
      <c r="F1463">
        <v>16</v>
      </c>
      <c r="G1463" t="s">
        <v>38</v>
      </c>
      <c r="H1463" t="s">
        <v>2653</v>
      </c>
      <c r="I1463">
        <v>86</v>
      </c>
      <c r="J1463">
        <v>46</v>
      </c>
      <c r="K1463">
        <v>69</v>
      </c>
      <c r="L1463">
        <v>68</v>
      </c>
      <c r="M1463">
        <v>54</v>
      </c>
      <c r="N1463">
        <v>69</v>
      </c>
      <c r="O1463">
        <v>306</v>
      </c>
      <c r="P1463">
        <v>61.2</v>
      </c>
      <c r="Q1463" t="s">
        <v>26</v>
      </c>
      <c r="R1463" t="s">
        <v>27</v>
      </c>
      <c r="S1463">
        <v>3753</v>
      </c>
      <c r="T1463" t="s">
        <v>42</v>
      </c>
      <c r="U1463" t="str">
        <f t="shared" si="22"/>
        <v>Pass</v>
      </c>
    </row>
    <row r="1464" spans="1:21">
      <c r="A1464" t="s">
        <v>2654</v>
      </c>
      <c r="B1464" t="s">
        <v>81</v>
      </c>
      <c r="C1464" t="s">
        <v>22</v>
      </c>
      <c r="D1464">
        <v>11</v>
      </c>
      <c r="E1464" t="s">
        <v>23</v>
      </c>
      <c r="F1464">
        <v>16</v>
      </c>
      <c r="G1464" t="s">
        <v>38</v>
      </c>
      <c r="H1464" t="s">
        <v>939</v>
      </c>
      <c r="I1464">
        <v>78</v>
      </c>
      <c r="J1464">
        <v>98</v>
      </c>
      <c r="K1464">
        <v>100</v>
      </c>
      <c r="L1464">
        <v>77</v>
      </c>
      <c r="M1464">
        <v>43</v>
      </c>
      <c r="N1464">
        <v>72</v>
      </c>
      <c r="O1464">
        <v>390</v>
      </c>
      <c r="P1464">
        <v>78</v>
      </c>
      <c r="Q1464" t="s">
        <v>40</v>
      </c>
      <c r="R1464" t="s">
        <v>41</v>
      </c>
      <c r="S1464">
        <v>3981</v>
      </c>
      <c r="T1464" t="s">
        <v>66</v>
      </c>
      <c r="U1464" t="str">
        <f t="shared" si="22"/>
        <v>Pass</v>
      </c>
    </row>
    <row r="1465" spans="1:21">
      <c r="A1465" t="s">
        <v>2655</v>
      </c>
      <c r="B1465" t="s">
        <v>231</v>
      </c>
      <c r="C1465" t="s">
        <v>22</v>
      </c>
      <c r="D1465">
        <v>7</v>
      </c>
      <c r="E1465" t="s">
        <v>31</v>
      </c>
      <c r="F1465">
        <v>11</v>
      </c>
      <c r="G1465" t="s">
        <v>38</v>
      </c>
      <c r="H1465" t="s">
        <v>768</v>
      </c>
      <c r="I1465">
        <v>84</v>
      </c>
      <c r="J1465">
        <v>52</v>
      </c>
      <c r="K1465">
        <v>78</v>
      </c>
      <c r="L1465">
        <v>71</v>
      </c>
      <c r="M1465">
        <v>55</v>
      </c>
      <c r="N1465">
        <v>52</v>
      </c>
      <c r="O1465">
        <v>308</v>
      </c>
      <c r="P1465">
        <v>61.6</v>
      </c>
      <c r="Q1465" t="s">
        <v>26</v>
      </c>
      <c r="R1465" t="s">
        <v>41</v>
      </c>
      <c r="S1465">
        <v>1968</v>
      </c>
      <c r="T1465" t="s">
        <v>70</v>
      </c>
      <c r="U1465" t="str">
        <f t="shared" si="22"/>
        <v>Pass</v>
      </c>
    </row>
    <row r="1466" spans="1:21">
      <c r="A1466" t="s">
        <v>2656</v>
      </c>
      <c r="B1466" t="s">
        <v>44</v>
      </c>
      <c r="C1466" t="s">
        <v>22</v>
      </c>
      <c r="D1466">
        <v>5</v>
      </c>
      <c r="E1466" t="s">
        <v>23</v>
      </c>
      <c r="F1466">
        <v>11</v>
      </c>
      <c r="G1466" t="s">
        <v>24</v>
      </c>
      <c r="H1466" t="s">
        <v>1496</v>
      </c>
      <c r="I1466">
        <v>65</v>
      </c>
      <c r="J1466">
        <v>52</v>
      </c>
      <c r="K1466">
        <v>78</v>
      </c>
      <c r="L1466">
        <v>37</v>
      </c>
      <c r="M1466">
        <v>100</v>
      </c>
      <c r="N1466">
        <v>49</v>
      </c>
      <c r="O1466">
        <v>316</v>
      </c>
      <c r="P1466">
        <v>63.2</v>
      </c>
      <c r="Q1466" t="s">
        <v>26</v>
      </c>
      <c r="R1466" t="s">
        <v>27</v>
      </c>
      <c r="S1466">
        <v>2246</v>
      </c>
      <c r="T1466" t="s">
        <v>34</v>
      </c>
      <c r="U1466" t="str">
        <f t="shared" si="22"/>
        <v>Pass</v>
      </c>
    </row>
    <row r="1467" spans="1:21">
      <c r="A1467" t="s">
        <v>2657</v>
      </c>
      <c r="B1467" t="s">
        <v>145</v>
      </c>
      <c r="C1467" t="s">
        <v>37</v>
      </c>
      <c r="D1467">
        <v>7</v>
      </c>
      <c r="E1467" t="s">
        <v>47</v>
      </c>
      <c r="F1467">
        <v>12</v>
      </c>
      <c r="G1467" t="s">
        <v>32</v>
      </c>
      <c r="H1467" t="s">
        <v>2658</v>
      </c>
      <c r="I1467">
        <v>62</v>
      </c>
      <c r="J1467">
        <v>56</v>
      </c>
      <c r="K1467">
        <v>97</v>
      </c>
      <c r="L1467">
        <v>82</v>
      </c>
      <c r="M1467">
        <v>37</v>
      </c>
      <c r="N1467">
        <v>67</v>
      </c>
      <c r="O1467">
        <v>339</v>
      </c>
      <c r="P1467">
        <v>67.8</v>
      </c>
      <c r="Q1467" t="s">
        <v>26</v>
      </c>
      <c r="R1467" t="s">
        <v>27</v>
      </c>
      <c r="S1467">
        <v>2139</v>
      </c>
      <c r="T1467" t="s">
        <v>42</v>
      </c>
      <c r="U1467" t="str">
        <f t="shared" si="22"/>
        <v>Pass</v>
      </c>
    </row>
    <row r="1468" spans="1:21">
      <c r="A1468" t="s">
        <v>2659</v>
      </c>
      <c r="B1468" t="s">
        <v>748</v>
      </c>
      <c r="C1468" t="s">
        <v>22</v>
      </c>
      <c r="D1468">
        <v>3</v>
      </c>
      <c r="E1468" t="s">
        <v>26</v>
      </c>
      <c r="F1468">
        <v>9</v>
      </c>
      <c r="G1468" t="s">
        <v>64</v>
      </c>
      <c r="H1468" t="s">
        <v>2660</v>
      </c>
      <c r="I1468">
        <v>74</v>
      </c>
      <c r="J1468">
        <v>66</v>
      </c>
      <c r="K1468">
        <v>58</v>
      </c>
      <c r="L1468">
        <v>78</v>
      </c>
      <c r="M1468">
        <v>100</v>
      </c>
      <c r="N1468">
        <v>100</v>
      </c>
      <c r="O1468">
        <v>402</v>
      </c>
      <c r="P1468">
        <v>80.400000000000006</v>
      </c>
      <c r="Q1468" t="s">
        <v>47</v>
      </c>
      <c r="R1468" t="s">
        <v>41</v>
      </c>
      <c r="S1468">
        <v>4611</v>
      </c>
      <c r="T1468" t="s">
        <v>48</v>
      </c>
      <c r="U1468" t="str">
        <f t="shared" si="22"/>
        <v>Pass</v>
      </c>
    </row>
    <row r="1469" spans="1:21">
      <c r="A1469" t="s">
        <v>2661</v>
      </c>
      <c r="B1469" t="s">
        <v>181</v>
      </c>
      <c r="C1469" t="s">
        <v>37</v>
      </c>
      <c r="D1469">
        <v>1</v>
      </c>
      <c r="E1469" t="s">
        <v>23</v>
      </c>
      <c r="F1469">
        <v>6</v>
      </c>
      <c r="G1469" t="s">
        <v>54</v>
      </c>
      <c r="H1469" t="s">
        <v>1393</v>
      </c>
      <c r="I1469">
        <v>87</v>
      </c>
      <c r="J1469">
        <v>99</v>
      </c>
      <c r="K1469">
        <v>90</v>
      </c>
      <c r="L1469">
        <v>45</v>
      </c>
      <c r="M1469">
        <v>68</v>
      </c>
      <c r="N1469">
        <v>87</v>
      </c>
      <c r="O1469">
        <v>389</v>
      </c>
      <c r="P1469">
        <v>77.8</v>
      </c>
      <c r="Q1469" t="s">
        <v>40</v>
      </c>
      <c r="R1469" t="s">
        <v>41</v>
      </c>
      <c r="S1469">
        <v>2429</v>
      </c>
      <c r="T1469" t="s">
        <v>66</v>
      </c>
      <c r="U1469" t="str">
        <f t="shared" si="22"/>
        <v>Pass</v>
      </c>
    </row>
    <row r="1470" spans="1:21">
      <c r="A1470" t="s">
        <v>2662</v>
      </c>
      <c r="B1470" t="s">
        <v>78</v>
      </c>
      <c r="C1470" t="s">
        <v>37</v>
      </c>
      <c r="D1470">
        <v>7</v>
      </c>
      <c r="E1470" t="s">
        <v>31</v>
      </c>
      <c r="F1470">
        <v>13</v>
      </c>
      <c r="G1470" t="s">
        <v>24</v>
      </c>
      <c r="H1470" t="s">
        <v>1368</v>
      </c>
      <c r="I1470">
        <v>85</v>
      </c>
      <c r="J1470">
        <v>84</v>
      </c>
      <c r="K1470">
        <v>67</v>
      </c>
      <c r="L1470">
        <v>96</v>
      </c>
      <c r="M1470">
        <v>66</v>
      </c>
      <c r="N1470">
        <v>45</v>
      </c>
      <c r="O1470">
        <v>358</v>
      </c>
      <c r="P1470">
        <v>71.599999999999994</v>
      </c>
      <c r="Q1470" t="s">
        <v>40</v>
      </c>
      <c r="R1470" t="s">
        <v>27</v>
      </c>
      <c r="S1470">
        <v>4197</v>
      </c>
      <c r="T1470" t="s">
        <v>42</v>
      </c>
      <c r="U1470" t="str">
        <f t="shared" si="22"/>
        <v>Pass</v>
      </c>
    </row>
    <row r="1471" spans="1:21">
      <c r="A1471" t="s">
        <v>2663</v>
      </c>
      <c r="B1471" t="s">
        <v>305</v>
      </c>
      <c r="C1471" t="s">
        <v>22</v>
      </c>
      <c r="D1471">
        <v>1</v>
      </c>
      <c r="E1471" t="s">
        <v>47</v>
      </c>
      <c r="F1471">
        <v>6</v>
      </c>
      <c r="G1471" t="s">
        <v>32</v>
      </c>
      <c r="H1471" t="s">
        <v>2664</v>
      </c>
      <c r="I1471">
        <v>69</v>
      </c>
      <c r="J1471">
        <v>69</v>
      </c>
      <c r="K1471">
        <v>51</v>
      </c>
      <c r="L1471">
        <v>39</v>
      </c>
      <c r="M1471">
        <v>97</v>
      </c>
      <c r="N1471">
        <v>92</v>
      </c>
      <c r="O1471">
        <v>348</v>
      </c>
      <c r="P1471">
        <v>69.599999999999994</v>
      </c>
      <c r="Q1471" t="s">
        <v>26</v>
      </c>
      <c r="R1471" t="s">
        <v>41</v>
      </c>
      <c r="S1471">
        <v>2642</v>
      </c>
      <c r="T1471" t="s">
        <v>28</v>
      </c>
      <c r="U1471" t="str">
        <f t="shared" si="22"/>
        <v>Pass</v>
      </c>
    </row>
    <row r="1472" spans="1:21">
      <c r="A1472" t="s">
        <v>2665</v>
      </c>
      <c r="B1472" t="s">
        <v>378</v>
      </c>
      <c r="C1472" t="s">
        <v>22</v>
      </c>
      <c r="D1472">
        <v>8</v>
      </c>
      <c r="E1472" t="s">
        <v>23</v>
      </c>
      <c r="F1472">
        <v>12</v>
      </c>
      <c r="G1472" t="s">
        <v>38</v>
      </c>
      <c r="H1472" t="s">
        <v>472</v>
      </c>
      <c r="I1472">
        <v>86</v>
      </c>
      <c r="J1472">
        <v>78</v>
      </c>
      <c r="K1472">
        <v>44</v>
      </c>
      <c r="L1472">
        <v>50</v>
      </c>
      <c r="M1472">
        <v>65</v>
      </c>
      <c r="N1472">
        <v>48</v>
      </c>
      <c r="O1472">
        <v>285</v>
      </c>
      <c r="P1472">
        <v>57</v>
      </c>
      <c r="Q1472" t="s">
        <v>31</v>
      </c>
      <c r="R1472" t="s">
        <v>27</v>
      </c>
      <c r="S1472">
        <v>3093</v>
      </c>
      <c r="T1472" t="s">
        <v>28</v>
      </c>
      <c r="U1472" t="str">
        <f t="shared" si="22"/>
        <v>Pass</v>
      </c>
    </row>
    <row r="1473" spans="1:21">
      <c r="A1473" t="s">
        <v>2666</v>
      </c>
      <c r="B1473" t="s">
        <v>36</v>
      </c>
      <c r="C1473" t="s">
        <v>37</v>
      </c>
      <c r="D1473">
        <v>3</v>
      </c>
      <c r="E1473" t="s">
        <v>31</v>
      </c>
      <c r="F1473">
        <v>9</v>
      </c>
      <c r="G1473" t="s">
        <v>38</v>
      </c>
      <c r="H1473" t="s">
        <v>2667</v>
      </c>
      <c r="I1473">
        <v>94</v>
      </c>
      <c r="J1473">
        <v>90</v>
      </c>
      <c r="K1473">
        <v>57</v>
      </c>
      <c r="L1473">
        <v>49</v>
      </c>
      <c r="M1473">
        <v>59</v>
      </c>
      <c r="N1473">
        <v>98</v>
      </c>
      <c r="O1473">
        <v>353</v>
      </c>
      <c r="P1473">
        <v>70.599999999999994</v>
      </c>
      <c r="Q1473" t="s">
        <v>40</v>
      </c>
      <c r="R1473" t="s">
        <v>27</v>
      </c>
      <c r="S1473">
        <v>1506</v>
      </c>
      <c r="T1473" t="s">
        <v>34</v>
      </c>
      <c r="U1473" t="str">
        <f t="shared" si="22"/>
        <v>Pass</v>
      </c>
    </row>
    <row r="1474" spans="1:21">
      <c r="A1474" t="s">
        <v>2668</v>
      </c>
      <c r="B1474" t="s">
        <v>708</v>
      </c>
      <c r="C1474" t="s">
        <v>22</v>
      </c>
      <c r="D1474">
        <v>9</v>
      </c>
      <c r="E1474" t="s">
        <v>47</v>
      </c>
      <c r="F1474">
        <v>15</v>
      </c>
      <c r="G1474" t="s">
        <v>32</v>
      </c>
      <c r="H1474" t="s">
        <v>2205</v>
      </c>
      <c r="I1474">
        <v>84</v>
      </c>
      <c r="J1474">
        <v>45</v>
      </c>
      <c r="K1474">
        <v>68</v>
      </c>
      <c r="L1474">
        <v>49</v>
      </c>
      <c r="M1474">
        <v>88</v>
      </c>
      <c r="N1474">
        <v>45</v>
      </c>
      <c r="O1474">
        <v>295</v>
      </c>
      <c r="P1474">
        <v>59</v>
      </c>
      <c r="Q1474" t="s">
        <v>31</v>
      </c>
      <c r="R1474" t="s">
        <v>41</v>
      </c>
      <c r="S1474">
        <v>3026</v>
      </c>
      <c r="T1474" t="s">
        <v>48</v>
      </c>
      <c r="U1474" t="str">
        <f t="shared" si="22"/>
        <v>Pass</v>
      </c>
    </row>
    <row r="1475" spans="1:21">
      <c r="A1475" t="s">
        <v>2669</v>
      </c>
      <c r="B1475" t="s">
        <v>160</v>
      </c>
      <c r="C1475" t="s">
        <v>37</v>
      </c>
      <c r="D1475">
        <v>9</v>
      </c>
      <c r="E1475" t="s">
        <v>23</v>
      </c>
      <c r="F1475">
        <v>15</v>
      </c>
      <c r="G1475" t="s">
        <v>64</v>
      </c>
      <c r="H1475" t="s">
        <v>2670</v>
      </c>
      <c r="I1475">
        <v>96</v>
      </c>
      <c r="J1475">
        <v>37</v>
      </c>
      <c r="K1475">
        <v>54</v>
      </c>
      <c r="L1475">
        <v>86</v>
      </c>
      <c r="M1475">
        <v>78</v>
      </c>
      <c r="N1475">
        <v>73</v>
      </c>
      <c r="O1475">
        <v>328</v>
      </c>
      <c r="P1475">
        <v>65.599999999999994</v>
      </c>
      <c r="Q1475" t="s">
        <v>26</v>
      </c>
      <c r="R1475" t="s">
        <v>41</v>
      </c>
      <c r="S1475">
        <v>4051</v>
      </c>
      <c r="T1475" t="s">
        <v>34</v>
      </c>
      <c r="U1475" t="str">
        <f t="shared" ref="U1475:U1538" si="23">IF(P1475&gt;55,"Pass","Fail")</f>
        <v>Pass</v>
      </c>
    </row>
    <row r="1476" spans="1:21">
      <c r="A1476" t="s">
        <v>2671</v>
      </c>
      <c r="B1476" t="s">
        <v>181</v>
      </c>
      <c r="C1476" t="s">
        <v>22</v>
      </c>
      <c r="D1476">
        <v>2</v>
      </c>
      <c r="E1476" t="s">
        <v>47</v>
      </c>
      <c r="F1476">
        <v>6</v>
      </c>
      <c r="G1476" t="s">
        <v>38</v>
      </c>
      <c r="H1476" t="s">
        <v>2672</v>
      </c>
      <c r="I1476">
        <v>77</v>
      </c>
      <c r="J1476">
        <v>63</v>
      </c>
      <c r="K1476">
        <v>71</v>
      </c>
      <c r="L1476">
        <v>84</v>
      </c>
      <c r="M1476">
        <v>51</v>
      </c>
      <c r="N1476">
        <v>71</v>
      </c>
      <c r="O1476">
        <v>340</v>
      </c>
      <c r="P1476">
        <v>68</v>
      </c>
      <c r="Q1476" t="s">
        <v>26</v>
      </c>
      <c r="R1476" t="s">
        <v>27</v>
      </c>
      <c r="S1476">
        <v>4647</v>
      </c>
      <c r="T1476" t="s">
        <v>66</v>
      </c>
      <c r="U1476" t="str">
        <f t="shared" si="23"/>
        <v>Pass</v>
      </c>
    </row>
    <row r="1477" spans="1:21">
      <c r="A1477" t="s">
        <v>2673</v>
      </c>
      <c r="B1477" t="s">
        <v>544</v>
      </c>
      <c r="C1477" t="s">
        <v>22</v>
      </c>
      <c r="D1477">
        <v>10</v>
      </c>
      <c r="E1477" t="s">
        <v>47</v>
      </c>
      <c r="F1477">
        <v>15</v>
      </c>
      <c r="G1477" t="s">
        <v>24</v>
      </c>
      <c r="H1477" t="s">
        <v>2674</v>
      </c>
      <c r="I1477">
        <v>85</v>
      </c>
      <c r="J1477">
        <v>98</v>
      </c>
      <c r="K1477">
        <v>49</v>
      </c>
      <c r="L1477">
        <v>86</v>
      </c>
      <c r="M1477">
        <v>70</v>
      </c>
      <c r="N1477">
        <v>80</v>
      </c>
      <c r="O1477">
        <v>383</v>
      </c>
      <c r="P1477">
        <v>76.599999999999994</v>
      </c>
      <c r="Q1477" t="s">
        <v>40</v>
      </c>
      <c r="R1477" t="s">
        <v>27</v>
      </c>
      <c r="S1477">
        <v>4051</v>
      </c>
      <c r="T1477" t="s">
        <v>34</v>
      </c>
      <c r="U1477" t="str">
        <f t="shared" si="23"/>
        <v>Pass</v>
      </c>
    </row>
    <row r="1478" spans="1:21">
      <c r="A1478" t="s">
        <v>2675</v>
      </c>
      <c r="B1478" t="s">
        <v>168</v>
      </c>
      <c r="C1478" t="s">
        <v>22</v>
      </c>
      <c r="D1478">
        <v>11</v>
      </c>
      <c r="E1478" t="s">
        <v>31</v>
      </c>
      <c r="F1478">
        <v>16</v>
      </c>
      <c r="G1478" t="s">
        <v>38</v>
      </c>
      <c r="H1478" t="s">
        <v>2676</v>
      </c>
      <c r="I1478">
        <v>87</v>
      </c>
      <c r="J1478">
        <v>45</v>
      </c>
      <c r="K1478">
        <v>67</v>
      </c>
      <c r="L1478">
        <v>93</v>
      </c>
      <c r="M1478">
        <v>39</v>
      </c>
      <c r="N1478">
        <v>59</v>
      </c>
      <c r="O1478">
        <v>303</v>
      </c>
      <c r="P1478">
        <v>60.6</v>
      </c>
      <c r="Q1478" t="s">
        <v>26</v>
      </c>
      <c r="R1478" t="s">
        <v>27</v>
      </c>
      <c r="S1478">
        <v>3157</v>
      </c>
      <c r="T1478" t="s">
        <v>66</v>
      </c>
      <c r="U1478" t="str">
        <f t="shared" si="23"/>
        <v>Pass</v>
      </c>
    </row>
    <row r="1479" spans="1:21">
      <c r="A1479" t="s">
        <v>2677</v>
      </c>
      <c r="B1479" t="s">
        <v>160</v>
      </c>
      <c r="C1479" t="s">
        <v>22</v>
      </c>
      <c r="D1479">
        <v>2</v>
      </c>
      <c r="E1479" t="s">
        <v>31</v>
      </c>
      <c r="F1479">
        <v>6</v>
      </c>
      <c r="G1479" t="s">
        <v>64</v>
      </c>
      <c r="H1479" t="s">
        <v>838</v>
      </c>
      <c r="I1479">
        <v>91</v>
      </c>
      <c r="J1479">
        <v>63</v>
      </c>
      <c r="K1479">
        <v>49</v>
      </c>
      <c r="L1479">
        <v>88</v>
      </c>
      <c r="M1479">
        <v>66</v>
      </c>
      <c r="N1479">
        <v>43</v>
      </c>
      <c r="O1479">
        <v>309</v>
      </c>
      <c r="P1479">
        <v>61.8</v>
      </c>
      <c r="Q1479" t="s">
        <v>26</v>
      </c>
      <c r="R1479" t="s">
        <v>27</v>
      </c>
      <c r="S1479">
        <v>3950</v>
      </c>
      <c r="T1479" t="s">
        <v>70</v>
      </c>
      <c r="U1479" t="str">
        <f t="shared" si="23"/>
        <v>Pass</v>
      </c>
    </row>
    <row r="1480" spans="1:21">
      <c r="A1480" t="s">
        <v>2678</v>
      </c>
      <c r="B1480" t="s">
        <v>343</v>
      </c>
      <c r="C1480" t="s">
        <v>22</v>
      </c>
      <c r="D1480">
        <v>4</v>
      </c>
      <c r="E1480" t="s">
        <v>47</v>
      </c>
      <c r="F1480">
        <v>9</v>
      </c>
      <c r="G1480" t="s">
        <v>58</v>
      </c>
      <c r="H1480" t="s">
        <v>553</v>
      </c>
      <c r="I1480">
        <v>87</v>
      </c>
      <c r="J1480">
        <v>65</v>
      </c>
      <c r="K1480">
        <v>93</v>
      </c>
      <c r="L1480">
        <v>90</v>
      </c>
      <c r="M1480">
        <v>68</v>
      </c>
      <c r="N1480">
        <v>70</v>
      </c>
      <c r="O1480">
        <v>386</v>
      </c>
      <c r="P1480">
        <v>77.2</v>
      </c>
      <c r="Q1480" t="s">
        <v>40</v>
      </c>
      <c r="R1480" t="s">
        <v>41</v>
      </c>
      <c r="S1480">
        <v>3851</v>
      </c>
      <c r="T1480" t="s">
        <v>34</v>
      </c>
      <c r="U1480" t="str">
        <f t="shared" si="23"/>
        <v>Pass</v>
      </c>
    </row>
    <row r="1481" spans="1:21">
      <c r="A1481" t="s">
        <v>2679</v>
      </c>
      <c r="B1481" t="s">
        <v>591</v>
      </c>
      <c r="C1481" t="s">
        <v>22</v>
      </c>
      <c r="D1481">
        <v>1</v>
      </c>
      <c r="E1481" t="s">
        <v>31</v>
      </c>
      <c r="F1481">
        <v>6</v>
      </c>
      <c r="G1481" t="s">
        <v>32</v>
      </c>
      <c r="H1481" t="s">
        <v>234</v>
      </c>
      <c r="I1481">
        <v>98</v>
      </c>
      <c r="J1481">
        <v>66</v>
      </c>
      <c r="K1481">
        <v>52</v>
      </c>
      <c r="L1481">
        <v>59</v>
      </c>
      <c r="M1481">
        <v>39</v>
      </c>
      <c r="N1481">
        <v>64</v>
      </c>
      <c r="O1481">
        <v>280</v>
      </c>
      <c r="P1481">
        <v>56</v>
      </c>
      <c r="Q1481" t="s">
        <v>31</v>
      </c>
      <c r="R1481" t="s">
        <v>27</v>
      </c>
      <c r="S1481">
        <v>1521</v>
      </c>
      <c r="T1481" t="s">
        <v>34</v>
      </c>
      <c r="U1481" t="str">
        <f t="shared" si="23"/>
        <v>Pass</v>
      </c>
    </row>
    <row r="1482" spans="1:21">
      <c r="A1482" t="s">
        <v>2680</v>
      </c>
      <c r="B1482" t="s">
        <v>982</v>
      </c>
      <c r="C1482" t="s">
        <v>37</v>
      </c>
      <c r="D1482">
        <v>8</v>
      </c>
      <c r="E1482" t="s">
        <v>31</v>
      </c>
      <c r="F1482">
        <v>13</v>
      </c>
      <c r="G1482" t="s">
        <v>38</v>
      </c>
      <c r="H1482" t="s">
        <v>1050</v>
      </c>
      <c r="I1482">
        <v>83</v>
      </c>
      <c r="J1482">
        <v>55</v>
      </c>
      <c r="K1482">
        <v>38</v>
      </c>
      <c r="L1482">
        <v>66</v>
      </c>
      <c r="M1482">
        <v>58</v>
      </c>
      <c r="N1482">
        <v>76</v>
      </c>
      <c r="O1482">
        <v>293</v>
      </c>
      <c r="P1482">
        <v>58.6</v>
      </c>
      <c r="Q1482" t="s">
        <v>31</v>
      </c>
      <c r="R1482" t="s">
        <v>27</v>
      </c>
      <c r="S1482">
        <v>3753</v>
      </c>
      <c r="T1482" t="s">
        <v>42</v>
      </c>
      <c r="U1482" t="str">
        <f t="shared" si="23"/>
        <v>Pass</v>
      </c>
    </row>
    <row r="1483" spans="1:21">
      <c r="A1483" t="s">
        <v>2681</v>
      </c>
      <c r="B1483" t="s">
        <v>562</v>
      </c>
      <c r="C1483" t="s">
        <v>37</v>
      </c>
      <c r="D1483">
        <v>7</v>
      </c>
      <c r="E1483" t="s">
        <v>31</v>
      </c>
      <c r="F1483">
        <v>12</v>
      </c>
      <c r="G1483" t="s">
        <v>38</v>
      </c>
      <c r="H1483" t="s">
        <v>536</v>
      </c>
      <c r="I1483">
        <v>64</v>
      </c>
      <c r="J1483">
        <v>77</v>
      </c>
      <c r="K1483">
        <v>46</v>
      </c>
      <c r="L1483">
        <v>88</v>
      </c>
      <c r="M1483">
        <v>84</v>
      </c>
      <c r="N1483">
        <v>90</v>
      </c>
      <c r="O1483">
        <v>385</v>
      </c>
      <c r="P1483">
        <v>77</v>
      </c>
      <c r="Q1483" t="s">
        <v>40</v>
      </c>
      <c r="R1483" t="s">
        <v>27</v>
      </c>
      <c r="S1483">
        <v>2653</v>
      </c>
      <c r="T1483" t="s">
        <v>34</v>
      </c>
      <c r="U1483" t="str">
        <f t="shared" si="23"/>
        <v>Pass</v>
      </c>
    </row>
    <row r="1484" spans="1:21">
      <c r="A1484" t="s">
        <v>2682</v>
      </c>
      <c r="B1484" t="s">
        <v>168</v>
      </c>
      <c r="C1484" t="s">
        <v>37</v>
      </c>
      <c r="D1484">
        <v>6</v>
      </c>
      <c r="E1484" t="s">
        <v>31</v>
      </c>
      <c r="F1484">
        <v>11</v>
      </c>
      <c r="G1484" t="s">
        <v>45</v>
      </c>
      <c r="H1484" t="s">
        <v>1297</v>
      </c>
      <c r="I1484">
        <v>80</v>
      </c>
      <c r="J1484">
        <v>75</v>
      </c>
      <c r="K1484">
        <v>43</v>
      </c>
      <c r="L1484">
        <v>73</v>
      </c>
      <c r="M1484">
        <v>97</v>
      </c>
      <c r="N1484">
        <v>77</v>
      </c>
      <c r="O1484">
        <v>365</v>
      </c>
      <c r="P1484">
        <v>73</v>
      </c>
      <c r="Q1484" t="s">
        <v>40</v>
      </c>
      <c r="R1484" t="s">
        <v>41</v>
      </c>
      <c r="S1484">
        <v>4325</v>
      </c>
      <c r="T1484" t="s">
        <v>42</v>
      </c>
      <c r="U1484" t="str">
        <f t="shared" si="23"/>
        <v>Pass</v>
      </c>
    </row>
    <row r="1485" spans="1:21">
      <c r="A1485" t="s">
        <v>2683</v>
      </c>
      <c r="B1485" t="s">
        <v>181</v>
      </c>
      <c r="C1485" t="s">
        <v>37</v>
      </c>
      <c r="D1485">
        <v>11</v>
      </c>
      <c r="E1485" t="s">
        <v>47</v>
      </c>
      <c r="F1485">
        <v>17</v>
      </c>
      <c r="G1485" t="s">
        <v>64</v>
      </c>
      <c r="H1485" t="s">
        <v>1056</v>
      </c>
      <c r="I1485">
        <v>94</v>
      </c>
      <c r="J1485">
        <v>36</v>
      </c>
      <c r="K1485">
        <v>89</v>
      </c>
      <c r="L1485">
        <v>63</v>
      </c>
      <c r="M1485">
        <v>53</v>
      </c>
      <c r="N1485">
        <v>40</v>
      </c>
      <c r="O1485">
        <v>281</v>
      </c>
      <c r="P1485">
        <v>56.2</v>
      </c>
      <c r="Q1485" t="s">
        <v>31</v>
      </c>
      <c r="R1485" t="s">
        <v>27</v>
      </c>
      <c r="S1485">
        <v>1846</v>
      </c>
      <c r="T1485" t="s">
        <v>66</v>
      </c>
      <c r="U1485" t="str">
        <f t="shared" si="23"/>
        <v>Pass</v>
      </c>
    </row>
    <row r="1486" spans="1:21">
      <c r="A1486" t="s">
        <v>2684</v>
      </c>
      <c r="B1486" t="s">
        <v>57</v>
      </c>
      <c r="C1486" t="s">
        <v>37</v>
      </c>
      <c r="D1486">
        <v>9</v>
      </c>
      <c r="E1486" t="s">
        <v>26</v>
      </c>
      <c r="F1486">
        <v>13</v>
      </c>
      <c r="G1486" t="s">
        <v>32</v>
      </c>
      <c r="H1486" t="s">
        <v>2326</v>
      </c>
      <c r="I1486">
        <v>64</v>
      </c>
      <c r="J1486">
        <v>56</v>
      </c>
      <c r="K1486">
        <v>76</v>
      </c>
      <c r="L1486">
        <v>70</v>
      </c>
      <c r="M1486">
        <v>93</v>
      </c>
      <c r="N1486">
        <v>81</v>
      </c>
      <c r="O1486">
        <v>376</v>
      </c>
      <c r="P1486">
        <v>75.2</v>
      </c>
      <c r="Q1486" t="s">
        <v>40</v>
      </c>
      <c r="R1486" t="s">
        <v>41</v>
      </c>
      <c r="S1486">
        <v>4814</v>
      </c>
      <c r="T1486" t="s">
        <v>42</v>
      </c>
      <c r="U1486" t="str">
        <f t="shared" si="23"/>
        <v>Pass</v>
      </c>
    </row>
    <row r="1487" spans="1:21">
      <c r="A1487" t="s">
        <v>2685</v>
      </c>
      <c r="B1487" t="s">
        <v>1281</v>
      </c>
      <c r="C1487" t="s">
        <v>37</v>
      </c>
      <c r="D1487">
        <v>12</v>
      </c>
      <c r="E1487" t="s">
        <v>23</v>
      </c>
      <c r="F1487">
        <v>17</v>
      </c>
      <c r="G1487" t="s">
        <v>45</v>
      </c>
      <c r="H1487" t="s">
        <v>2686</v>
      </c>
      <c r="I1487">
        <v>84</v>
      </c>
      <c r="J1487">
        <v>97</v>
      </c>
      <c r="K1487">
        <v>61</v>
      </c>
      <c r="L1487">
        <v>92</v>
      </c>
      <c r="M1487">
        <v>41</v>
      </c>
      <c r="N1487">
        <v>46</v>
      </c>
      <c r="O1487">
        <v>337</v>
      </c>
      <c r="P1487">
        <v>67.400000000000006</v>
      </c>
      <c r="Q1487" t="s">
        <v>26</v>
      </c>
      <c r="R1487" t="s">
        <v>41</v>
      </c>
      <c r="S1487">
        <v>4127</v>
      </c>
      <c r="T1487" t="s">
        <v>48</v>
      </c>
      <c r="U1487" t="str">
        <f t="shared" si="23"/>
        <v>Pass</v>
      </c>
    </row>
    <row r="1488" spans="1:21">
      <c r="A1488" t="s">
        <v>2687</v>
      </c>
      <c r="B1488" t="s">
        <v>87</v>
      </c>
      <c r="C1488" t="s">
        <v>37</v>
      </c>
      <c r="D1488">
        <v>5</v>
      </c>
      <c r="E1488" t="s">
        <v>23</v>
      </c>
      <c r="F1488">
        <v>9</v>
      </c>
      <c r="G1488" t="s">
        <v>58</v>
      </c>
      <c r="H1488" t="s">
        <v>2688</v>
      </c>
      <c r="I1488">
        <v>97</v>
      </c>
      <c r="J1488">
        <v>81</v>
      </c>
      <c r="K1488">
        <v>88</v>
      </c>
      <c r="L1488">
        <v>58</v>
      </c>
      <c r="M1488">
        <v>79</v>
      </c>
      <c r="N1488">
        <v>46</v>
      </c>
      <c r="O1488">
        <v>352</v>
      </c>
      <c r="P1488">
        <v>70.400000000000006</v>
      </c>
      <c r="Q1488" t="s">
        <v>40</v>
      </c>
      <c r="R1488" t="s">
        <v>27</v>
      </c>
      <c r="S1488">
        <v>4987</v>
      </c>
      <c r="T1488" t="s">
        <v>34</v>
      </c>
      <c r="U1488" t="str">
        <f t="shared" si="23"/>
        <v>Pass</v>
      </c>
    </row>
    <row r="1489" spans="1:21">
      <c r="A1489" t="s">
        <v>2689</v>
      </c>
      <c r="B1489" t="s">
        <v>879</v>
      </c>
      <c r="C1489" t="s">
        <v>37</v>
      </c>
      <c r="D1489">
        <v>10</v>
      </c>
      <c r="E1489" t="s">
        <v>47</v>
      </c>
      <c r="F1489">
        <v>16</v>
      </c>
      <c r="G1489" t="s">
        <v>45</v>
      </c>
      <c r="H1489" t="s">
        <v>2690</v>
      </c>
      <c r="I1489">
        <v>93</v>
      </c>
      <c r="J1489">
        <v>50</v>
      </c>
      <c r="K1489">
        <v>94</v>
      </c>
      <c r="L1489">
        <v>97</v>
      </c>
      <c r="M1489">
        <v>46</v>
      </c>
      <c r="N1489">
        <v>37</v>
      </c>
      <c r="O1489">
        <v>324</v>
      </c>
      <c r="P1489">
        <v>64.8</v>
      </c>
      <c r="Q1489" t="s">
        <v>26</v>
      </c>
      <c r="R1489" t="s">
        <v>41</v>
      </c>
      <c r="S1489">
        <v>3858</v>
      </c>
      <c r="T1489" t="s">
        <v>34</v>
      </c>
      <c r="U1489" t="str">
        <f t="shared" si="23"/>
        <v>Pass</v>
      </c>
    </row>
    <row r="1490" spans="1:21">
      <c r="A1490" t="s">
        <v>2691</v>
      </c>
      <c r="B1490" t="s">
        <v>1417</v>
      </c>
      <c r="C1490" t="s">
        <v>22</v>
      </c>
      <c r="D1490">
        <v>12</v>
      </c>
      <c r="E1490" t="s">
        <v>31</v>
      </c>
      <c r="F1490">
        <v>18</v>
      </c>
      <c r="G1490" t="s">
        <v>64</v>
      </c>
      <c r="H1490" t="s">
        <v>2692</v>
      </c>
      <c r="I1490">
        <v>91</v>
      </c>
      <c r="J1490">
        <v>69</v>
      </c>
      <c r="K1490">
        <v>35</v>
      </c>
      <c r="L1490">
        <v>48</v>
      </c>
      <c r="M1490">
        <v>57</v>
      </c>
      <c r="N1490">
        <v>84</v>
      </c>
      <c r="O1490">
        <v>293</v>
      </c>
      <c r="P1490">
        <v>58.6</v>
      </c>
      <c r="Q1490" t="s">
        <v>31</v>
      </c>
      <c r="R1490" t="s">
        <v>41</v>
      </c>
      <c r="S1490">
        <v>3794</v>
      </c>
      <c r="T1490" t="s">
        <v>42</v>
      </c>
      <c r="U1490" t="str">
        <f t="shared" si="23"/>
        <v>Pass</v>
      </c>
    </row>
    <row r="1491" spans="1:21">
      <c r="A1491" t="s">
        <v>2693</v>
      </c>
      <c r="B1491" t="s">
        <v>292</v>
      </c>
      <c r="C1491" t="s">
        <v>37</v>
      </c>
      <c r="D1491">
        <v>5</v>
      </c>
      <c r="E1491" t="s">
        <v>47</v>
      </c>
      <c r="F1491">
        <v>10</v>
      </c>
      <c r="G1491" t="s">
        <v>45</v>
      </c>
      <c r="H1491" t="s">
        <v>2694</v>
      </c>
      <c r="I1491">
        <v>91</v>
      </c>
      <c r="J1491">
        <v>52</v>
      </c>
      <c r="K1491">
        <v>40</v>
      </c>
      <c r="L1491">
        <v>62</v>
      </c>
      <c r="M1491">
        <v>97</v>
      </c>
      <c r="N1491">
        <v>42</v>
      </c>
      <c r="O1491">
        <v>293</v>
      </c>
      <c r="P1491">
        <v>58.6</v>
      </c>
      <c r="Q1491" t="s">
        <v>31</v>
      </c>
      <c r="R1491" t="s">
        <v>27</v>
      </c>
      <c r="S1491">
        <v>2698</v>
      </c>
      <c r="T1491" t="s">
        <v>28</v>
      </c>
      <c r="U1491" t="str">
        <f t="shared" si="23"/>
        <v>Pass</v>
      </c>
    </row>
    <row r="1492" spans="1:21">
      <c r="A1492" t="s">
        <v>2695</v>
      </c>
      <c r="B1492" t="s">
        <v>913</v>
      </c>
      <c r="C1492" t="s">
        <v>37</v>
      </c>
      <c r="D1492">
        <v>2</v>
      </c>
      <c r="E1492" t="s">
        <v>26</v>
      </c>
      <c r="F1492">
        <v>6</v>
      </c>
      <c r="G1492" t="s">
        <v>58</v>
      </c>
      <c r="H1492" t="s">
        <v>1667</v>
      </c>
      <c r="I1492">
        <v>85</v>
      </c>
      <c r="J1492">
        <v>82</v>
      </c>
      <c r="K1492">
        <v>49</v>
      </c>
      <c r="L1492">
        <v>100</v>
      </c>
      <c r="M1492">
        <v>88</v>
      </c>
      <c r="N1492">
        <v>52</v>
      </c>
      <c r="O1492">
        <v>371</v>
      </c>
      <c r="P1492">
        <v>74.2</v>
      </c>
      <c r="Q1492" t="s">
        <v>40</v>
      </c>
      <c r="R1492" t="s">
        <v>41</v>
      </c>
      <c r="S1492">
        <v>2873</v>
      </c>
      <c r="T1492" t="s">
        <v>70</v>
      </c>
      <c r="U1492" t="str">
        <f t="shared" si="23"/>
        <v>Pass</v>
      </c>
    </row>
    <row r="1493" spans="1:21">
      <c r="A1493" t="s">
        <v>2696</v>
      </c>
      <c r="B1493" t="s">
        <v>118</v>
      </c>
      <c r="C1493" t="s">
        <v>22</v>
      </c>
      <c r="D1493">
        <v>11</v>
      </c>
      <c r="E1493" t="s">
        <v>23</v>
      </c>
      <c r="F1493">
        <v>15</v>
      </c>
      <c r="G1493" t="s">
        <v>58</v>
      </c>
      <c r="H1493" t="s">
        <v>871</v>
      </c>
      <c r="I1493">
        <v>68</v>
      </c>
      <c r="J1493">
        <v>77</v>
      </c>
      <c r="K1493">
        <v>92</v>
      </c>
      <c r="L1493">
        <v>73</v>
      </c>
      <c r="M1493">
        <v>73</v>
      </c>
      <c r="N1493">
        <v>86</v>
      </c>
      <c r="O1493">
        <v>401</v>
      </c>
      <c r="P1493">
        <v>80.2</v>
      </c>
      <c r="Q1493" t="s">
        <v>47</v>
      </c>
      <c r="R1493" t="s">
        <v>27</v>
      </c>
      <c r="S1493">
        <v>4932</v>
      </c>
      <c r="T1493" t="s">
        <v>28</v>
      </c>
      <c r="U1493" t="str">
        <f t="shared" si="23"/>
        <v>Pass</v>
      </c>
    </row>
    <row r="1494" spans="1:21">
      <c r="A1494" t="s">
        <v>2697</v>
      </c>
      <c r="B1494" t="s">
        <v>913</v>
      </c>
      <c r="C1494" t="s">
        <v>37</v>
      </c>
      <c r="D1494">
        <v>9</v>
      </c>
      <c r="E1494" t="s">
        <v>47</v>
      </c>
      <c r="F1494">
        <v>15</v>
      </c>
      <c r="G1494" t="s">
        <v>45</v>
      </c>
      <c r="H1494" t="s">
        <v>731</v>
      </c>
      <c r="I1494">
        <v>60</v>
      </c>
      <c r="J1494">
        <v>45</v>
      </c>
      <c r="K1494">
        <v>90</v>
      </c>
      <c r="L1494">
        <v>92</v>
      </c>
      <c r="M1494">
        <v>57</v>
      </c>
      <c r="N1494">
        <v>84</v>
      </c>
      <c r="O1494">
        <v>368</v>
      </c>
      <c r="P1494">
        <v>73.599999999999994</v>
      </c>
      <c r="Q1494" t="s">
        <v>40</v>
      </c>
      <c r="R1494" t="s">
        <v>41</v>
      </c>
      <c r="S1494">
        <v>2184</v>
      </c>
      <c r="T1494" t="s">
        <v>48</v>
      </c>
      <c r="U1494" t="str">
        <f t="shared" si="23"/>
        <v>Pass</v>
      </c>
    </row>
    <row r="1495" spans="1:21">
      <c r="A1495" t="s">
        <v>2698</v>
      </c>
      <c r="B1495" t="s">
        <v>365</v>
      </c>
      <c r="C1495" t="s">
        <v>22</v>
      </c>
      <c r="D1495">
        <v>4</v>
      </c>
      <c r="E1495" t="s">
        <v>26</v>
      </c>
      <c r="F1495">
        <v>8</v>
      </c>
      <c r="G1495" t="s">
        <v>58</v>
      </c>
      <c r="H1495" t="s">
        <v>729</v>
      </c>
      <c r="I1495">
        <v>67</v>
      </c>
      <c r="J1495">
        <v>35</v>
      </c>
      <c r="K1495">
        <v>96</v>
      </c>
      <c r="L1495">
        <v>45</v>
      </c>
      <c r="M1495">
        <v>38</v>
      </c>
      <c r="N1495">
        <v>61</v>
      </c>
      <c r="O1495">
        <v>275</v>
      </c>
      <c r="P1495">
        <v>55</v>
      </c>
      <c r="Q1495" t="s">
        <v>31</v>
      </c>
      <c r="R1495" t="s">
        <v>41</v>
      </c>
      <c r="S1495">
        <v>3795</v>
      </c>
      <c r="T1495" t="s">
        <v>48</v>
      </c>
      <c r="U1495" t="str">
        <f t="shared" si="23"/>
        <v>Fail</v>
      </c>
    </row>
    <row r="1496" spans="1:21">
      <c r="A1496" t="s">
        <v>2699</v>
      </c>
      <c r="B1496" t="s">
        <v>1142</v>
      </c>
      <c r="C1496" t="s">
        <v>22</v>
      </c>
      <c r="D1496">
        <v>2</v>
      </c>
      <c r="E1496" t="s">
        <v>47</v>
      </c>
      <c r="F1496">
        <v>6</v>
      </c>
      <c r="G1496" t="s">
        <v>45</v>
      </c>
      <c r="H1496" t="s">
        <v>772</v>
      </c>
      <c r="I1496">
        <v>77</v>
      </c>
      <c r="J1496">
        <v>86</v>
      </c>
      <c r="K1496">
        <v>39</v>
      </c>
      <c r="L1496">
        <v>93</v>
      </c>
      <c r="M1496">
        <v>82</v>
      </c>
      <c r="N1496">
        <v>98</v>
      </c>
      <c r="O1496">
        <v>398</v>
      </c>
      <c r="P1496">
        <v>79.599999999999994</v>
      </c>
      <c r="Q1496" t="s">
        <v>40</v>
      </c>
      <c r="R1496" t="s">
        <v>41</v>
      </c>
      <c r="S1496">
        <v>1900</v>
      </c>
      <c r="T1496" t="s">
        <v>70</v>
      </c>
      <c r="U1496" t="str">
        <f t="shared" si="23"/>
        <v>Pass</v>
      </c>
    </row>
    <row r="1497" spans="1:21">
      <c r="A1497" t="s">
        <v>2700</v>
      </c>
      <c r="B1497" t="s">
        <v>308</v>
      </c>
      <c r="C1497" t="s">
        <v>37</v>
      </c>
      <c r="D1497">
        <v>2</v>
      </c>
      <c r="E1497" t="s">
        <v>31</v>
      </c>
      <c r="F1497">
        <v>8</v>
      </c>
      <c r="G1497" t="s">
        <v>24</v>
      </c>
      <c r="H1497" t="s">
        <v>2701</v>
      </c>
      <c r="I1497">
        <v>82</v>
      </c>
      <c r="J1497">
        <v>37</v>
      </c>
      <c r="K1497">
        <v>74</v>
      </c>
      <c r="L1497">
        <v>55</v>
      </c>
      <c r="M1497">
        <v>44</v>
      </c>
      <c r="N1497">
        <v>83</v>
      </c>
      <c r="O1497">
        <v>293</v>
      </c>
      <c r="P1497">
        <v>58.6</v>
      </c>
      <c r="Q1497" t="s">
        <v>31</v>
      </c>
      <c r="R1497" t="s">
        <v>41</v>
      </c>
      <c r="S1497">
        <v>3085</v>
      </c>
      <c r="T1497" t="s">
        <v>70</v>
      </c>
      <c r="U1497" t="str">
        <f t="shared" si="23"/>
        <v>Pass</v>
      </c>
    </row>
    <row r="1498" spans="1:21">
      <c r="A1498" t="s">
        <v>2702</v>
      </c>
      <c r="B1498" t="s">
        <v>375</v>
      </c>
      <c r="C1498" t="s">
        <v>37</v>
      </c>
      <c r="D1498">
        <v>5</v>
      </c>
      <c r="E1498" t="s">
        <v>31</v>
      </c>
      <c r="F1498">
        <v>10</v>
      </c>
      <c r="G1498" t="s">
        <v>45</v>
      </c>
      <c r="H1498" t="s">
        <v>1469</v>
      </c>
      <c r="I1498">
        <v>68</v>
      </c>
      <c r="J1498">
        <v>52</v>
      </c>
      <c r="K1498">
        <v>43</v>
      </c>
      <c r="L1498">
        <v>83</v>
      </c>
      <c r="M1498">
        <v>79</v>
      </c>
      <c r="N1498">
        <v>36</v>
      </c>
      <c r="O1498">
        <v>293</v>
      </c>
      <c r="P1498">
        <v>58.6</v>
      </c>
      <c r="Q1498" t="s">
        <v>31</v>
      </c>
      <c r="R1498" t="s">
        <v>41</v>
      </c>
      <c r="S1498">
        <v>2093</v>
      </c>
      <c r="T1498" t="s">
        <v>34</v>
      </c>
      <c r="U1498" t="str">
        <f t="shared" si="23"/>
        <v>Pass</v>
      </c>
    </row>
    <row r="1499" spans="1:21">
      <c r="A1499" t="s">
        <v>2703</v>
      </c>
      <c r="B1499" t="s">
        <v>75</v>
      </c>
      <c r="C1499" t="s">
        <v>37</v>
      </c>
      <c r="D1499">
        <v>3</v>
      </c>
      <c r="E1499" t="s">
        <v>26</v>
      </c>
      <c r="F1499">
        <v>7</v>
      </c>
      <c r="G1499" t="s">
        <v>45</v>
      </c>
      <c r="H1499" t="s">
        <v>2704</v>
      </c>
      <c r="I1499">
        <v>96</v>
      </c>
      <c r="J1499">
        <v>91</v>
      </c>
      <c r="K1499">
        <v>89</v>
      </c>
      <c r="L1499">
        <v>56</v>
      </c>
      <c r="M1499">
        <v>98</v>
      </c>
      <c r="N1499">
        <v>89</v>
      </c>
      <c r="O1499">
        <v>423</v>
      </c>
      <c r="P1499">
        <v>84.6</v>
      </c>
      <c r="Q1499" t="s">
        <v>47</v>
      </c>
      <c r="R1499" t="s">
        <v>27</v>
      </c>
      <c r="S1499">
        <v>1514</v>
      </c>
      <c r="T1499" t="s">
        <v>34</v>
      </c>
      <c r="U1499" t="str">
        <f t="shared" si="23"/>
        <v>Pass</v>
      </c>
    </row>
    <row r="1500" spans="1:21">
      <c r="A1500" t="s">
        <v>2705</v>
      </c>
      <c r="B1500" t="s">
        <v>205</v>
      </c>
      <c r="C1500" t="s">
        <v>22</v>
      </c>
      <c r="D1500">
        <v>2</v>
      </c>
      <c r="E1500" t="s">
        <v>31</v>
      </c>
      <c r="F1500">
        <v>8</v>
      </c>
      <c r="G1500" t="s">
        <v>24</v>
      </c>
      <c r="H1500" t="s">
        <v>2706</v>
      </c>
      <c r="I1500">
        <v>74</v>
      </c>
      <c r="J1500">
        <v>97</v>
      </c>
      <c r="K1500">
        <v>48</v>
      </c>
      <c r="L1500">
        <v>52</v>
      </c>
      <c r="M1500">
        <v>86</v>
      </c>
      <c r="N1500">
        <v>61</v>
      </c>
      <c r="O1500">
        <v>344</v>
      </c>
      <c r="P1500">
        <v>68.8</v>
      </c>
      <c r="Q1500" t="s">
        <v>26</v>
      </c>
      <c r="R1500" t="s">
        <v>27</v>
      </c>
      <c r="S1500">
        <v>4850</v>
      </c>
      <c r="T1500" t="s">
        <v>70</v>
      </c>
      <c r="U1500" t="str">
        <f t="shared" si="23"/>
        <v>Pass</v>
      </c>
    </row>
    <row r="1501" spans="1:21">
      <c r="A1501" t="s">
        <v>2707</v>
      </c>
      <c r="B1501" t="s">
        <v>326</v>
      </c>
      <c r="C1501" t="s">
        <v>37</v>
      </c>
      <c r="D1501">
        <v>12</v>
      </c>
      <c r="E1501" t="s">
        <v>26</v>
      </c>
      <c r="F1501">
        <v>18</v>
      </c>
      <c r="G1501" t="s">
        <v>38</v>
      </c>
      <c r="H1501" t="s">
        <v>1600</v>
      </c>
      <c r="I1501">
        <v>100</v>
      </c>
      <c r="J1501">
        <v>43</v>
      </c>
      <c r="K1501">
        <v>57</v>
      </c>
      <c r="L1501">
        <v>97</v>
      </c>
      <c r="M1501">
        <v>64</v>
      </c>
      <c r="N1501">
        <v>53</v>
      </c>
      <c r="O1501">
        <v>314</v>
      </c>
      <c r="P1501">
        <v>62.8</v>
      </c>
      <c r="Q1501" t="s">
        <v>26</v>
      </c>
      <c r="R1501" t="s">
        <v>27</v>
      </c>
      <c r="S1501">
        <v>4014</v>
      </c>
      <c r="T1501" t="s">
        <v>66</v>
      </c>
      <c r="U1501" t="str">
        <f t="shared" si="23"/>
        <v>Pass</v>
      </c>
    </row>
    <row r="1502" spans="1:21">
      <c r="A1502" t="s">
        <v>2708</v>
      </c>
      <c r="B1502" t="s">
        <v>208</v>
      </c>
      <c r="C1502" t="s">
        <v>37</v>
      </c>
      <c r="D1502">
        <v>11</v>
      </c>
      <c r="E1502" t="s">
        <v>23</v>
      </c>
      <c r="F1502">
        <v>15</v>
      </c>
      <c r="G1502" t="s">
        <v>58</v>
      </c>
      <c r="H1502" t="s">
        <v>2709</v>
      </c>
      <c r="I1502">
        <v>80</v>
      </c>
      <c r="J1502">
        <v>38</v>
      </c>
      <c r="K1502">
        <v>54</v>
      </c>
      <c r="L1502">
        <v>72</v>
      </c>
      <c r="M1502">
        <v>75</v>
      </c>
      <c r="N1502">
        <v>42</v>
      </c>
      <c r="O1502">
        <v>281</v>
      </c>
      <c r="P1502">
        <v>56.2</v>
      </c>
      <c r="Q1502" t="s">
        <v>31</v>
      </c>
      <c r="R1502" t="s">
        <v>27</v>
      </c>
      <c r="S1502">
        <v>4430</v>
      </c>
      <c r="T1502" t="s">
        <v>48</v>
      </c>
      <c r="U1502" t="str">
        <f t="shared" si="23"/>
        <v>Pass</v>
      </c>
    </row>
    <row r="1503" spans="1:21">
      <c r="A1503" t="s">
        <v>2710</v>
      </c>
      <c r="B1503" t="s">
        <v>326</v>
      </c>
      <c r="C1503" t="s">
        <v>22</v>
      </c>
      <c r="D1503">
        <v>9</v>
      </c>
      <c r="E1503" t="s">
        <v>31</v>
      </c>
      <c r="F1503">
        <v>15</v>
      </c>
      <c r="G1503" t="s">
        <v>24</v>
      </c>
      <c r="H1503" t="s">
        <v>2711</v>
      </c>
      <c r="I1503">
        <v>79</v>
      </c>
      <c r="J1503">
        <v>75</v>
      </c>
      <c r="K1503">
        <v>82</v>
      </c>
      <c r="L1503">
        <v>66</v>
      </c>
      <c r="M1503">
        <v>66</v>
      </c>
      <c r="N1503">
        <v>62</v>
      </c>
      <c r="O1503">
        <v>351</v>
      </c>
      <c r="P1503">
        <v>70.2</v>
      </c>
      <c r="Q1503" t="s">
        <v>40</v>
      </c>
      <c r="R1503" t="s">
        <v>41</v>
      </c>
      <c r="S1503">
        <v>3966</v>
      </c>
      <c r="T1503" t="s">
        <v>28</v>
      </c>
      <c r="U1503" t="str">
        <f t="shared" si="23"/>
        <v>Pass</v>
      </c>
    </row>
    <row r="1504" spans="1:21">
      <c r="A1504" t="s">
        <v>2712</v>
      </c>
      <c r="B1504" t="s">
        <v>250</v>
      </c>
      <c r="C1504" t="s">
        <v>37</v>
      </c>
      <c r="D1504">
        <v>11</v>
      </c>
      <c r="E1504" t="s">
        <v>31</v>
      </c>
      <c r="F1504">
        <v>16</v>
      </c>
      <c r="G1504" t="s">
        <v>24</v>
      </c>
      <c r="H1504" t="s">
        <v>2713</v>
      </c>
      <c r="I1504">
        <v>76</v>
      </c>
      <c r="J1504">
        <v>80</v>
      </c>
      <c r="K1504">
        <v>95</v>
      </c>
      <c r="L1504">
        <v>52</v>
      </c>
      <c r="M1504">
        <v>58</v>
      </c>
      <c r="N1504">
        <v>100</v>
      </c>
      <c r="O1504">
        <v>385</v>
      </c>
      <c r="P1504">
        <v>77</v>
      </c>
      <c r="Q1504" t="s">
        <v>40</v>
      </c>
      <c r="R1504" t="s">
        <v>41</v>
      </c>
      <c r="S1504">
        <v>3948</v>
      </c>
      <c r="T1504" t="s">
        <v>48</v>
      </c>
      <c r="U1504" t="str">
        <f t="shared" si="23"/>
        <v>Pass</v>
      </c>
    </row>
    <row r="1505" spans="1:21">
      <c r="A1505" t="s">
        <v>2714</v>
      </c>
      <c r="B1505" t="s">
        <v>258</v>
      </c>
      <c r="C1505" t="s">
        <v>22</v>
      </c>
      <c r="D1505">
        <v>8</v>
      </c>
      <c r="E1505" t="s">
        <v>47</v>
      </c>
      <c r="F1505">
        <v>14</v>
      </c>
      <c r="G1505" t="s">
        <v>45</v>
      </c>
      <c r="H1505" t="s">
        <v>519</v>
      </c>
      <c r="I1505">
        <v>87</v>
      </c>
      <c r="J1505">
        <v>67</v>
      </c>
      <c r="K1505">
        <v>46</v>
      </c>
      <c r="L1505">
        <v>100</v>
      </c>
      <c r="M1505">
        <v>85</v>
      </c>
      <c r="N1505">
        <v>64</v>
      </c>
      <c r="O1505">
        <v>362</v>
      </c>
      <c r="P1505">
        <v>72.400000000000006</v>
      </c>
      <c r="Q1505" t="s">
        <v>40</v>
      </c>
      <c r="R1505" t="s">
        <v>41</v>
      </c>
      <c r="S1505">
        <v>4699</v>
      </c>
      <c r="T1505" t="s">
        <v>34</v>
      </c>
      <c r="U1505" t="str">
        <f t="shared" si="23"/>
        <v>Pass</v>
      </c>
    </row>
    <row r="1506" spans="1:21">
      <c r="A1506" t="s">
        <v>2715</v>
      </c>
      <c r="B1506" t="s">
        <v>461</v>
      </c>
      <c r="C1506" t="s">
        <v>37</v>
      </c>
      <c r="D1506">
        <v>8</v>
      </c>
      <c r="E1506" t="s">
        <v>26</v>
      </c>
      <c r="F1506">
        <v>14</v>
      </c>
      <c r="G1506" t="s">
        <v>64</v>
      </c>
      <c r="H1506" t="s">
        <v>810</v>
      </c>
      <c r="I1506">
        <v>91</v>
      </c>
      <c r="J1506">
        <v>41</v>
      </c>
      <c r="K1506">
        <v>90</v>
      </c>
      <c r="L1506">
        <v>100</v>
      </c>
      <c r="M1506">
        <v>70</v>
      </c>
      <c r="N1506">
        <v>79</v>
      </c>
      <c r="O1506">
        <v>380</v>
      </c>
      <c r="P1506">
        <v>76</v>
      </c>
      <c r="Q1506" t="s">
        <v>40</v>
      </c>
      <c r="R1506" t="s">
        <v>41</v>
      </c>
      <c r="S1506">
        <v>2345</v>
      </c>
      <c r="T1506" t="s">
        <v>66</v>
      </c>
      <c r="U1506" t="str">
        <f t="shared" si="23"/>
        <v>Pass</v>
      </c>
    </row>
    <row r="1507" spans="1:21">
      <c r="A1507" t="s">
        <v>2716</v>
      </c>
      <c r="B1507" t="s">
        <v>378</v>
      </c>
      <c r="C1507" t="s">
        <v>37</v>
      </c>
      <c r="D1507">
        <v>7</v>
      </c>
      <c r="E1507" t="s">
        <v>23</v>
      </c>
      <c r="F1507">
        <v>12</v>
      </c>
      <c r="G1507" t="s">
        <v>64</v>
      </c>
      <c r="H1507" t="s">
        <v>2717</v>
      </c>
      <c r="I1507">
        <v>91</v>
      </c>
      <c r="J1507">
        <v>98</v>
      </c>
      <c r="K1507">
        <v>81</v>
      </c>
      <c r="L1507">
        <v>88</v>
      </c>
      <c r="M1507">
        <v>56</v>
      </c>
      <c r="N1507">
        <v>99</v>
      </c>
      <c r="O1507">
        <v>422</v>
      </c>
      <c r="P1507">
        <v>84.4</v>
      </c>
      <c r="Q1507" t="s">
        <v>47</v>
      </c>
      <c r="R1507" t="s">
        <v>27</v>
      </c>
      <c r="S1507">
        <v>2409</v>
      </c>
      <c r="T1507" t="s">
        <v>28</v>
      </c>
      <c r="U1507" t="str">
        <f t="shared" si="23"/>
        <v>Pass</v>
      </c>
    </row>
    <row r="1508" spans="1:21">
      <c r="A1508" t="s">
        <v>2718</v>
      </c>
      <c r="B1508" t="s">
        <v>386</v>
      </c>
      <c r="C1508" t="s">
        <v>37</v>
      </c>
      <c r="D1508">
        <v>6</v>
      </c>
      <c r="E1508" t="s">
        <v>26</v>
      </c>
      <c r="F1508">
        <v>12</v>
      </c>
      <c r="G1508" t="s">
        <v>45</v>
      </c>
      <c r="H1508" t="s">
        <v>547</v>
      </c>
      <c r="I1508">
        <v>62</v>
      </c>
      <c r="J1508">
        <v>99</v>
      </c>
      <c r="K1508">
        <v>55</v>
      </c>
      <c r="L1508">
        <v>77</v>
      </c>
      <c r="M1508">
        <v>64</v>
      </c>
      <c r="N1508">
        <v>96</v>
      </c>
      <c r="O1508">
        <v>391</v>
      </c>
      <c r="P1508">
        <v>78.2</v>
      </c>
      <c r="Q1508" t="s">
        <v>40</v>
      </c>
      <c r="R1508" t="s">
        <v>27</v>
      </c>
      <c r="S1508">
        <v>4646</v>
      </c>
      <c r="T1508" t="s">
        <v>42</v>
      </c>
      <c r="U1508" t="str">
        <f t="shared" si="23"/>
        <v>Pass</v>
      </c>
    </row>
    <row r="1509" spans="1:21">
      <c r="A1509" t="s">
        <v>2719</v>
      </c>
      <c r="B1509" t="s">
        <v>518</v>
      </c>
      <c r="C1509" t="s">
        <v>37</v>
      </c>
      <c r="D1509">
        <v>7</v>
      </c>
      <c r="E1509" t="s">
        <v>47</v>
      </c>
      <c r="F1509">
        <v>11</v>
      </c>
      <c r="G1509" t="s">
        <v>24</v>
      </c>
      <c r="H1509" t="s">
        <v>956</v>
      </c>
      <c r="I1509">
        <v>81</v>
      </c>
      <c r="J1509">
        <v>82</v>
      </c>
      <c r="K1509">
        <v>79</v>
      </c>
      <c r="L1509">
        <v>72</v>
      </c>
      <c r="M1509">
        <v>81</v>
      </c>
      <c r="N1509">
        <v>72</v>
      </c>
      <c r="O1509">
        <v>386</v>
      </c>
      <c r="P1509">
        <v>77.2</v>
      </c>
      <c r="Q1509" t="s">
        <v>40</v>
      </c>
      <c r="R1509" t="s">
        <v>41</v>
      </c>
      <c r="S1509">
        <v>2763</v>
      </c>
      <c r="T1509" t="s">
        <v>48</v>
      </c>
      <c r="U1509" t="str">
        <f t="shared" si="23"/>
        <v>Pass</v>
      </c>
    </row>
    <row r="1510" spans="1:21">
      <c r="A1510" t="s">
        <v>2720</v>
      </c>
      <c r="B1510" t="s">
        <v>113</v>
      </c>
      <c r="C1510" t="s">
        <v>22</v>
      </c>
      <c r="D1510">
        <v>9</v>
      </c>
      <c r="E1510" t="s">
        <v>23</v>
      </c>
      <c r="F1510">
        <v>13</v>
      </c>
      <c r="G1510" t="s">
        <v>38</v>
      </c>
      <c r="H1510" t="s">
        <v>717</v>
      </c>
      <c r="I1510">
        <v>93</v>
      </c>
      <c r="J1510">
        <v>98</v>
      </c>
      <c r="K1510">
        <v>75</v>
      </c>
      <c r="L1510">
        <v>99</v>
      </c>
      <c r="M1510">
        <v>67</v>
      </c>
      <c r="N1510">
        <v>54</v>
      </c>
      <c r="O1510">
        <v>393</v>
      </c>
      <c r="P1510">
        <v>78.599999999999994</v>
      </c>
      <c r="Q1510" t="s">
        <v>40</v>
      </c>
      <c r="R1510" t="s">
        <v>27</v>
      </c>
      <c r="S1510">
        <v>3685</v>
      </c>
      <c r="T1510" t="s">
        <v>70</v>
      </c>
      <c r="U1510" t="str">
        <f t="shared" si="23"/>
        <v>Pass</v>
      </c>
    </row>
    <row r="1511" spans="1:21">
      <c r="A1511" t="s">
        <v>2721</v>
      </c>
      <c r="B1511" t="s">
        <v>651</v>
      </c>
      <c r="C1511" t="s">
        <v>22</v>
      </c>
      <c r="D1511">
        <v>2</v>
      </c>
      <c r="E1511" t="s">
        <v>26</v>
      </c>
      <c r="F1511">
        <v>7</v>
      </c>
      <c r="G1511" t="s">
        <v>54</v>
      </c>
      <c r="H1511" t="s">
        <v>2722</v>
      </c>
      <c r="I1511">
        <v>70</v>
      </c>
      <c r="J1511">
        <v>62</v>
      </c>
      <c r="K1511">
        <v>58</v>
      </c>
      <c r="L1511">
        <v>71</v>
      </c>
      <c r="M1511">
        <v>88</v>
      </c>
      <c r="N1511">
        <v>37</v>
      </c>
      <c r="O1511">
        <v>316</v>
      </c>
      <c r="P1511">
        <v>63.2</v>
      </c>
      <c r="Q1511" t="s">
        <v>26</v>
      </c>
      <c r="R1511" t="s">
        <v>27</v>
      </c>
      <c r="S1511">
        <v>1929</v>
      </c>
      <c r="T1511" t="s">
        <v>66</v>
      </c>
      <c r="U1511" t="str">
        <f t="shared" si="23"/>
        <v>Pass</v>
      </c>
    </row>
    <row r="1512" spans="1:21">
      <c r="A1512" t="s">
        <v>2723</v>
      </c>
      <c r="B1512" t="s">
        <v>373</v>
      </c>
      <c r="C1512" t="s">
        <v>37</v>
      </c>
      <c r="D1512">
        <v>4</v>
      </c>
      <c r="E1512" t="s">
        <v>26</v>
      </c>
      <c r="F1512">
        <v>10</v>
      </c>
      <c r="G1512" t="s">
        <v>38</v>
      </c>
      <c r="H1512" t="s">
        <v>2724</v>
      </c>
      <c r="I1512">
        <v>76</v>
      </c>
      <c r="J1512">
        <v>75</v>
      </c>
      <c r="K1512">
        <v>99</v>
      </c>
      <c r="L1512">
        <v>62</v>
      </c>
      <c r="M1512">
        <v>78</v>
      </c>
      <c r="N1512">
        <v>99</v>
      </c>
      <c r="O1512">
        <v>413</v>
      </c>
      <c r="P1512">
        <v>82.6</v>
      </c>
      <c r="Q1512" t="s">
        <v>47</v>
      </c>
      <c r="R1512" t="s">
        <v>27</v>
      </c>
      <c r="S1512">
        <v>1857</v>
      </c>
      <c r="T1512" t="s">
        <v>66</v>
      </c>
      <c r="U1512" t="str">
        <f t="shared" si="23"/>
        <v>Pass</v>
      </c>
    </row>
    <row r="1513" spans="1:21">
      <c r="A1513" t="s">
        <v>2725</v>
      </c>
      <c r="B1513" t="s">
        <v>579</v>
      </c>
      <c r="C1513" t="s">
        <v>37</v>
      </c>
      <c r="D1513">
        <v>2</v>
      </c>
      <c r="E1513" t="s">
        <v>31</v>
      </c>
      <c r="F1513">
        <v>6</v>
      </c>
      <c r="G1513" t="s">
        <v>54</v>
      </c>
      <c r="H1513" t="s">
        <v>953</v>
      </c>
      <c r="I1513">
        <v>100</v>
      </c>
      <c r="J1513">
        <v>57</v>
      </c>
      <c r="K1513">
        <v>86</v>
      </c>
      <c r="L1513">
        <v>83</v>
      </c>
      <c r="M1513">
        <v>78</v>
      </c>
      <c r="N1513">
        <v>95</v>
      </c>
      <c r="O1513">
        <v>399</v>
      </c>
      <c r="P1513">
        <v>79.8</v>
      </c>
      <c r="Q1513" t="s">
        <v>40</v>
      </c>
      <c r="R1513" t="s">
        <v>27</v>
      </c>
      <c r="S1513">
        <v>3971</v>
      </c>
      <c r="T1513" t="s">
        <v>66</v>
      </c>
      <c r="U1513" t="str">
        <f t="shared" si="23"/>
        <v>Pass</v>
      </c>
    </row>
    <row r="1514" spans="1:21">
      <c r="A1514" t="s">
        <v>2726</v>
      </c>
      <c r="B1514" t="s">
        <v>196</v>
      </c>
      <c r="C1514" t="s">
        <v>37</v>
      </c>
      <c r="D1514">
        <v>1</v>
      </c>
      <c r="E1514" t="s">
        <v>31</v>
      </c>
      <c r="F1514">
        <v>6</v>
      </c>
      <c r="G1514" t="s">
        <v>45</v>
      </c>
      <c r="H1514" t="s">
        <v>2727</v>
      </c>
      <c r="I1514">
        <v>61</v>
      </c>
      <c r="J1514">
        <v>80</v>
      </c>
      <c r="K1514">
        <v>74</v>
      </c>
      <c r="L1514">
        <v>70</v>
      </c>
      <c r="M1514">
        <v>38</v>
      </c>
      <c r="N1514">
        <v>40</v>
      </c>
      <c r="O1514">
        <v>302</v>
      </c>
      <c r="P1514">
        <v>60.4</v>
      </c>
      <c r="Q1514" t="s">
        <v>26</v>
      </c>
      <c r="R1514" t="s">
        <v>41</v>
      </c>
      <c r="S1514">
        <v>2335</v>
      </c>
      <c r="T1514" t="s">
        <v>34</v>
      </c>
      <c r="U1514" t="str">
        <f t="shared" si="23"/>
        <v>Pass</v>
      </c>
    </row>
    <row r="1515" spans="1:21">
      <c r="A1515" t="s">
        <v>2728</v>
      </c>
      <c r="B1515" t="s">
        <v>202</v>
      </c>
      <c r="C1515" t="s">
        <v>37</v>
      </c>
      <c r="D1515">
        <v>2</v>
      </c>
      <c r="E1515" t="s">
        <v>31</v>
      </c>
      <c r="F1515">
        <v>7</v>
      </c>
      <c r="G1515" t="s">
        <v>45</v>
      </c>
      <c r="H1515" t="s">
        <v>2729</v>
      </c>
      <c r="I1515">
        <v>86</v>
      </c>
      <c r="J1515">
        <v>91</v>
      </c>
      <c r="K1515">
        <v>41</v>
      </c>
      <c r="L1515">
        <v>68</v>
      </c>
      <c r="M1515">
        <v>53</v>
      </c>
      <c r="N1515">
        <v>41</v>
      </c>
      <c r="O1515">
        <v>294</v>
      </c>
      <c r="P1515">
        <v>58.8</v>
      </c>
      <c r="Q1515" t="s">
        <v>31</v>
      </c>
      <c r="R1515" t="s">
        <v>27</v>
      </c>
      <c r="S1515">
        <v>2483</v>
      </c>
      <c r="T1515" t="s">
        <v>42</v>
      </c>
      <c r="U1515" t="str">
        <f t="shared" si="23"/>
        <v>Pass</v>
      </c>
    </row>
    <row r="1516" spans="1:21">
      <c r="A1516" t="s">
        <v>2730</v>
      </c>
      <c r="B1516" t="s">
        <v>896</v>
      </c>
      <c r="C1516" t="s">
        <v>22</v>
      </c>
      <c r="D1516">
        <v>10</v>
      </c>
      <c r="E1516" t="s">
        <v>26</v>
      </c>
      <c r="F1516">
        <v>14</v>
      </c>
      <c r="G1516" t="s">
        <v>24</v>
      </c>
      <c r="H1516" t="s">
        <v>2731</v>
      </c>
      <c r="I1516">
        <v>71</v>
      </c>
      <c r="J1516">
        <v>74</v>
      </c>
      <c r="K1516">
        <v>94</v>
      </c>
      <c r="L1516">
        <v>72</v>
      </c>
      <c r="M1516">
        <v>58</v>
      </c>
      <c r="N1516">
        <v>77</v>
      </c>
      <c r="O1516">
        <v>375</v>
      </c>
      <c r="P1516">
        <v>75</v>
      </c>
      <c r="Q1516" t="s">
        <v>40</v>
      </c>
      <c r="R1516" t="s">
        <v>27</v>
      </c>
      <c r="S1516">
        <v>3537</v>
      </c>
      <c r="T1516" t="s">
        <v>66</v>
      </c>
      <c r="U1516" t="str">
        <f t="shared" si="23"/>
        <v>Pass</v>
      </c>
    </row>
    <row r="1517" spans="1:21">
      <c r="A1517" t="s">
        <v>2732</v>
      </c>
      <c r="B1517" t="s">
        <v>735</v>
      </c>
      <c r="C1517" t="s">
        <v>37</v>
      </c>
      <c r="D1517">
        <v>6</v>
      </c>
      <c r="E1517" t="s">
        <v>23</v>
      </c>
      <c r="F1517">
        <v>11</v>
      </c>
      <c r="G1517" t="s">
        <v>38</v>
      </c>
      <c r="H1517" t="s">
        <v>1184</v>
      </c>
      <c r="I1517">
        <v>100</v>
      </c>
      <c r="J1517">
        <v>57</v>
      </c>
      <c r="K1517">
        <v>83</v>
      </c>
      <c r="L1517">
        <v>76</v>
      </c>
      <c r="M1517">
        <v>72</v>
      </c>
      <c r="N1517">
        <v>57</v>
      </c>
      <c r="O1517">
        <v>345</v>
      </c>
      <c r="P1517">
        <v>69</v>
      </c>
      <c r="Q1517" t="s">
        <v>26</v>
      </c>
      <c r="R1517" t="s">
        <v>41</v>
      </c>
      <c r="S1517">
        <v>1890</v>
      </c>
      <c r="T1517" t="s">
        <v>42</v>
      </c>
      <c r="U1517" t="str">
        <f t="shared" si="23"/>
        <v>Pass</v>
      </c>
    </row>
    <row r="1518" spans="1:21">
      <c r="A1518" t="s">
        <v>2733</v>
      </c>
      <c r="B1518" t="s">
        <v>582</v>
      </c>
      <c r="C1518" t="s">
        <v>22</v>
      </c>
      <c r="D1518">
        <v>7</v>
      </c>
      <c r="E1518" t="s">
        <v>26</v>
      </c>
      <c r="F1518">
        <v>12</v>
      </c>
      <c r="G1518" t="s">
        <v>54</v>
      </c>
      <c r="H1518" t="s">
        <v>1893</v>
      </c>
      <c r="I1518">
        <v>86</v>
      </c>
      <c r="J1518">
        <v>88</v>
      </c>
      <c r="K1518">
        <v>48</v>
      </c>
      <c r="L1518">
        <v>88</v>
      </c>
      <c r="M1518">
        <v>52</v>
      </c>
      <c r="N1518">
        <v>73</v>
      </c>
      <c r="O1518">
        <v>349</v>
      </c>
      <c r="P1518">
        <v>69.8</v>
      </c>
      <c r="Q1518" t="s">
        <v>26</v>
      </c>
      <c r="R1518" t="s">
        <v>41</v>
      </c>
      <c r="S1518">
        <v>4698</v>
      </c>
      <c r="T1518" t="s">
        <v>34</v>
      </c>
      <c r="U1518" t="str">
        <f t="shared" si="23"/>
        <v>Pass</v>
      </c>
    </row>
    <row r="1519" spans="1:21">
      <c r="A1519" t="s">
        <v>2734</v>
      </c>
      <c r="B1519" t="s">
        <v>819</v>
      </c>
      <c r="C1519" t="s">
        <v>37</v>
      </c>
      <c r="D1519">
        <v>10</v>
      </c>
      <c r="E1519" t="s">
        <v>31</v>
      </c>
      <c r="F1519">
        <v>16</v>
      </c>
      <c r="G1519" t="s">
        <v>58</v>
      </c>
      <c r="H1519" t="s">
        <v>2735</v>
      </c>
      <c r="I1519">
        <v>83</v>
      </c>
      <c r="J1519">
        <v>62</v>
      </c>
      <c r="K1519">
        <v>55</v>
      </c>
      <c r="L1519">
        <v>50</v>
      </c>
      <c r="M1519">
        <v>43</v>
      </c>
      <c r="N1519">
        <v>65</v>
      </c>
      <c r="O1519">
        <v>275</v>
      </c>
      <c r="P1519">
        <v>55</v>
      </c>
      <c r="Q1519" t="s">
        <v>31</v>
      </c>
      <c r="R1519" t="s">
        <v>41</v>
      </c>
      <c r="S1519">
        <v>2455</v>
      </c>
      <c r="T1519" t="s">
        <v>48</v>
      </c>
      <c r="U1519" t="str">
        <f t="shared" si="23"/>
        <v>Fail</v>
      </c>
    </row>
    <row r="1520" spans="1:21">
      <c r="A1520" t="s">
        <v>2736</v>
      </c>
      <c r="B1520" t="s">
        <v>594</v>
      </c>
      <c r="C1520" t="s">
        <v>22</v>
      </c>
      <c r="D1520">
        <v>5</v>
      </c>
      <c r="E1520" t="s">
        <v>23</v>
      </c>
      <c r="F1520">
        <v>10</v>
      </c>
      <c r="G1520" t="s">
        <v>45</v>
      </c>
      <c r="H1520" t="s">
        <v>833</v>
      </c>
      <c r="I1520">
        <v>80</v>
      </c>
      <c r="J1520">
        <v>83</v>
      </c>
      <c r="K1520">
        <v>61</v>
      </c>
      <c r="L1520">
        <v>72</v>
      </c>
      <c r="M1520">
        <v>54</v>
      </c>
      <c r="N1520">
        <v>88</v>
      </c>
      <c r="O1520">
        <v>358</v>
      </c>
      <c r="P1520">
        <v>71.599999999999994</v>
      </c>
      <c r="Q1520" t="s">
        <v>40</v>
      </c>
      <c r="R1520" t="s">
        <v>27</v>
      </c>
      <c r="S1520">
        <v>2665</v>
      </c>
      <c r="T1520" t="s">
        <v>48</v>
      </c>
      <c r="U1520" t="str">
        <f t="shared" si="23"/>
        <v>Pass</v>
      </c>
    </row>
    <row r="1521" spans="1:21">
      <c r="A1521" t="s">
        <v>2737</v>
      </c>
      <c r="B1521" t="s">
        <v>562</v>
      </c>
      <c r="C1521" t="s">
        <v>37</v>
      </c>
      <c r="D1521">
        <v>10</v>
      </c>
      <c r="E1521" t="s">
        <v>31</v>
      </c>
      <c r="F1521">
        <v>16</v>
      </c>
      <c r="G1521" t="s">
        <v>58</v>
      </c>
      <c r="H1521" t="s">
        <v>2738</v>
      </c>
      <c r="I1521">
        <v>77</v>
      </c>
      <c r="J1521">
        <v>76</v>
      </c>
      <c r="K1521">
        <v>45</v>
      </c>
      <c r="L1521">
        <v>96</v>
      </c>
      <c r="M1521">
        <v>50</v>
      </c>
      <c r="N1521">
        <v>62</v>
      </c>
      <c r="O1521">
        <v>329</v>
      </c>
      <c r="P1521">
        <v>65.8</v>
      </c>
      <c r="Q1521" t="s">
        <v>26</v>
      </c>
      <c r="R1521" t="s">
        <v>41</v>
      </c>
      <c r="S1521">
        <v>3634</v>
      </c>
      <c r="T1521" t="s">
        <v>48</v>
      </c>
      <c r="U1521" t="str">
        <f t="shared" si="23"/>
        <v>Pass</v>
      </c>
    </row>
    <row r="1522" spans="1:21">
      <c r="A1522" t="s">
        <v>2739</v>
      </c>
      <c r="B1522" t="s">
        <v>373</v>
      </c>
      <c r="C1522" t="s">
        <v>22</v>
      </c>
      <c r="D1522">
        <v>3</v>
      </c>
      <c r="E1522" t="s">
        <v>47</v>
      </c>
      <c r="F1522">
        <v>8</v>
      </c>
      <c r="G1522" t="s">
        <v>38</v>
      </c>
      <c r="H1522" t="s">
        <v>1916</v>
      </c>
      <c r="I1522">
        <v>88</v>
      </c>
      <c r="J1522">
        <v>78</v>
      </c>
      <c r="K1522">
        <v>48</v>
      </c>
      <c r="L1522">
        <v>70</v>
      </c>
      <c r="M1522">
        <v>53</v>
      </c>
      <c r="N1522">
        <v>75</v>
      </c>
      <c r="O1522">
        <v>324</v>
      </c>
      <c r="P1522">
        <v>64.8</v>
      </c>
      <c r="Q1522" t="s">
        <v>26</v>
      </c>
      <c r="R1522" t="s">
        <v>27</v>
      </c>
      <c r="S1522">
        <v>3574</v>
      </c>
      <c r="T1522" t="s">
        <v>28</v>
      </c>
      <c r="U1522" t="str">
        <f t="shared" si="23"/>
        <v>Pass</v>
      </c>
    </row>
    <row r="1523" spans="1:21">
      <c r="A1523" t="s">
        <v>2740</v>
      </c>
      <c r="B1523" t="s">
        <v>184</v>
      </c>
      <c r="C1523" t="s">
        <v>37</v>
      </c>
      <c r="D1523">
        <v>7</v>
      </c>
      <c r="E1523" t="s">
        <v>31</v>
      </c>
      <c r="F1523">
        <v>13</v>
      </c>
      <c r="G1523" t="s">
        <v>64</v>
      </c>
      <c r="H1523" t="s">
        <v>2741</v>
      </c>
      <c r="I1523">
        <v>95</v>
      </c>
      <c r="J1523">
        <v>85</v>
      </c>
      <c r="K1523">
        <v>67</v>
      </c>
      <c r="L1523">
        <v>69</v>
      </c>
      <c r="M1523">
        <v>56</v>
      </c>
      <c r="N1523">
        <v>42</v>
      </c>
      <c r="O1523">
        <v>319</v>
      </c>
      <c r="P1523">
        <v>63.8</v>
      </c>
      <c r="Q1523" t="s">
        <v>26</v>
      </c>
      <c r="R1523" t="s">
        <v>27</v>
      </c>
      <c r="S1523">
        <v>3464</v>
      </c>
      <c r="T1523" t="s">
        <v>66</v>
      </c>
      <c r="U1523" t="str">
        <f t="shared" si="23"/>
        <v>Pass</v>
      </c>
    </row>
    <row r="1524" spans="1:21">
      <c r="A1524" t="s">
        <v>2742</v>
      </c>
      <c r="B1524" t="s">
        <v>913</v>
      </c>
      <c r="C1524" t="s">
        <v>37</v>
      </c>
      <c r="D1524">
        <v>9</v>
      </c>
      <c r="E1524" t="s">
        <v>26</v>
      </c>
      <c r="F1524">
        <v>14</v>
      </c>
      <c r="G1524" t="s">
        <v>38</v>
      </c>
      <c r="H1524" t="s">
        <v>2743</v>
      </c>
      <c r="I1524">
        <v>78</v>
      </c>
      <c r="J1524">
        <v>43</v>
      </c>
      <c r="K1524">
        <v>94</v>
      </c>
      <c r="L1524">
        <v>42</v>
      </c>
      <c r="M1524">
        <v>64</v>
      </c>
      <c r="N1524">
        <v>47</v>
      </c>
      <c r="O1524">
        <v>290</v>
      </c>
      <c r="P1524">
        <v>58</v>
      </c>
      <c r="Q1524" t="s">
        <v>31</v>
      </c>
      <c r="R1524" t="s">
        <v>27</v>
      </c>
      <c r="S1524">
        <v>4960</v>
      </c>
      <c r="T1524" t="s">
        <v>34</v>
      </c>
      <c r="U1524" t="str">
        <f t="shared" si="23"/>
        <v>Pass</v>
      </c>
    </row>
    <row r="1525" spans="1:21">
      <c r="A1525" t="s">
        <v>2744</v>
      </c>
      <c r="B1525" t="s">
        <v>30</v>
      </c>
      <c r="C1525" t="s">
        <v>37</v>
      </c>
      <c r="D1525">
        <v>5</v>
      </c>
      <c r="E1525" t="s">
        <v>26</v>
      </c>
      <c r="F1525">
        <v>9</v>
      </c>
      <c r="G1525" t="s">
        <v>64</v>
      </c>
      <c r="H1525" t="s">
        <v>1827</v>
      </c>
      <c r="I1525">
        <v>66</v>
      </c>
      <c r="J1525">
        <v>35</v>
      </c>
      <c r="K1525">
        <v>80</v>
      </c>
      <c r="L1525">
        <v>47</v>
      </c>
      <c r="M1525">
        <v>93</v>
      </c>
      <c r="N1525">
        <v>96</v>
      </c>
      <c r="O1525">
        <v>351</v>
      </c>
      <c r="P1525">
        <v>70.2</v>
      </c>
      <c r="Q1525" t="s">
        <v>40</v>
      </c>
      <c r="R1525" t="s">
        <v>41</v>
      </c>
      <c r="S1525">
        <v>4262</v>
      </c>
      <c r="T1525" t="s">
        <v>28</v>
      </c>
      <c r="U1525" t="str">
        <f t="shared" si="23"/>
        <v>Pass</v>
      </c>
    </row>
    <row r="1526" spans="1:21">
      <c r="A1526" t="s">
        <v>2745</v>
      </c>
      <c r="B1526" t="s">
        <v>242</v>
      </c>
      <c r="C1526" t="s">
        <v>37</v>
      </c>
      <c r="D1526">
        <v>9</v>
      </c>
      <c r="E1526" t="s">
        <v>23</v>
      </c>
      <c r="F1526">
        <v>13</v>
      </c>
      <c r="G1526" t="s">
        <v>38</v>
      </c>
      <c r="H1526" t="s">
        <v>2746</v>
      </c>
      <c r="I1526">
        <v>86</v>
      </c>
      <c r="J1526">
        <v>59</v>
      </c>
      <c r="K1526">
        <v>60</v>
      </c>
      <c r="L1526">
        <v>38</v>
      </c>
      <c r="M1526">
        <v>39</v>
      </c>
      <c r="N1526">
        <v>80</v>
      </c>
      <c r="O1526">
        <v>276</v>
      </c>
      <c r="P1526">
        <v>55.2</v>
      </c>
      <c r="Q1526" t="s">
        <v>31</v>
      </c>
      <c r="R1526" t="s">
        <v>41</v>
      </c>
      <c r="S1526">
        <v>2698</v>
      </c>
      <c r="T1526" t="s">
        <v>34</v>
      </c>
      <c r="U1526" t="str">
        <f t="shared" si="23"/>
        <v>Pass</v>
      </c>
    </row>
    <row r="1527" spans="1:21">
      <c r="A1527" t="s">
        <v>2747</v>
      </c>
      <c r="B1527" t="s">
        <v>187</v>
      </c>
      <c r="C1527" t="s">
        <v>22</v>
      </c>
      <c r="D1527">
        <v>5</v>
      </c>
      <c r="E1527" t="s">
        <v>23</v>
      </c>
      <c r="F1527">
        <v>11</v>
      </c>
      <c r="G1527" t="s">
        <v>32</v>
      </c>
      <c r="H1527" t="s">
        <v>1504</v>
      </c>
      <c r="I1527">
        <v>94</v>
      </c>
      <c r="J1527">
        <v>60</v>
      </c>
      <c r="K1527">
        <v>94</v>
      </c>
      <c r="L1527">
        <v>97</v>
      </c>
      <c r="M1527">
        <v>90</v>
      </c>
      <c r="N1527">
        <v>64</v>
      </c>
      <c r="O1527">
        <v>405</v>
      </c>
      <c r="P1527">
        <v>81</v>
      </c>
      <c r="Q1527" t="s">
        <v>47</v>
      </c>
      <c r="R1527" t="s">
        <v>41</v>
      </c>
      <c r="S1527">
        <v>2164</v>
      </c>
      <c r="T1527" t="s">
        <v>66</v>
      </c>
      <c r="U1527" t="str">
        <f t="shared" si="23"/>
        <v>Pass</v>
      </c>
    </row>
    <row r="1528" spans="1:21">
      <c r="A1528" t="s">
        <v>2748</v>
      </c>
      <c r="B1528" t="s">
        <v>359</v>
      </c>
      <c r="C1528" t="s">
        <v>37</v>
      </c>
      <c r="D1528">
        <v>5</v>
      </c>
      <c r="E1528" t="s">
        <v>23</v>
      </c>
      <c r="F1528">
        <v>10</v>
      </c>
      <c r="G1528" t="s">
        <v>45</v>
      </c>
      <c r="H1528" t="s">
        <v>2749</v>
      </c>
      <c r="I1528">
        <v>100</v>
      </c>
      <c r="J1528">
        <v>49</v>
      </c>
      <c r="K1528">
        <v>42</v>
      </c>
      <c r="L1528">
        <v>74</v>
      </c>
      <c r="M1528">
        <v>47</v>
      </c>
      <c r="N1528">
        <v>74</v>
      </c>
      <c r="O1528">
        <v>286</v>
      </c>
      <c r="P1528">
        <v>57.2</v>
      </c>
      <c r="Q1528" t="s">
        <v>31</v>
      </c>
      <c r="R1528" t="s">
        <v>27</v>
      </c>
      <c r="S1528">
        <v>2371</v>
      </c>
      <c r="T1528" t="s">
        <v>48</v>
      </c>
      <c r="U1528" t="str">
        <f t="shared" si="23"/>
        <v>Pass</v>
      </c>
    </row>
    <row r="1529" spans="1:21">
      <c r="A1529" t="s">
        <v>2750</v>
      </c>
      <c r="B1529" t="s">
        <v>134</v>
      </c>
      <c r="C1529" t="s">
        <v>37</v>
      </c>
      <c r="D1529">
        <v>10</v>
      </c>
      <c r="E1529" t="s">
        <v>31</v>
      </c>
      <c r="F1529">
        <v>16</v>
      </c>
      <c r="G1529" t="s">
        <v>24</v>
      </c>
      <c r="H1529" t="s">
        <v>2100</v>
      </c>
      <c r="I1529">
        <v>89</v>
      </c>
      <c r="J1529">
        <v>53</v>
      </c>
      <c r="K1529">
        <v>71</v>
      </c>
      <c r="L1529">
        <v>96</v>
      </c>
      <c r="M1529">
        <v>66</v>
      </c>
      <c r="N1529">
        <v>61</v>
      </c>
      <c r="O1529">
        <v>347</v>
      </c>
      <c r="P1529">
        <v>69.400000000000006</v>
      </c>
      <c r="Q1529" t="s">
        <v>26</v>
      </c>
      <c r="R1529" t="s">
        <v>27</v>
      </c>
      <c r="S1529">
        <v>3835</v>
      </c>
      <c r="T1529" t="s">
        <v>48</v>
      </c>
      <c r="U1529" t="str">
        <f t="shared" si="23"/>
        <v>Pass</v>
      </c>
    </row>
    <row r="1530" spans="1:21">
      <c r="A1530" t="s">
        <v>2751</v>
      </c>
      <c r="B1530" t="s">
        <v>582</v>
      </c>
      <c r="C1530" t="s">
        <v>37</v>
      </c>
      <c r="D1530">
        <v>2</v>
      </c>
      <c r="E1530" t="s">
        <v>47</v>
      </c>
      <c r="F1530">
        <v>7</v>
      </c>
      <c r="G1530" t="s">
        <v>38</v>
      </c>
      <c r="H1530" t="s">
        <v>997</v>
      </c>
      <c r="I1530">
        <v>72</v>
      </c>
      <c r="J1530">
        <v>62</v>
      </c>
      <c r="K1530">
        <v>74</v>
      </c>
      <c r="L1530">
        <v>87</v>
      </c>
      <c r="M1530">
        <v>93</v>
      </c>
      <c r="N1530">
        <v>44</v>
      </c>
      <c r="O1530">
        <v>360</v>
      </c>
      <c r="P1530">
        <v>72</v>
      </c>
      <c r="Q1530" t="s">
        <v>40</v>
      </c>
      <c r="R1530" t="s">
        <v>27</v>
      </c>
      <c r="S1530">
        <v>1953</v>
      </c>
      <c r="T1530" t="s">
        <v>34</v>
      </c>
      <c r="U1530" t="str">
        <f t="shared" si="23"/>
        <v>Pass</v>
      </c>
    </row>
    <row r="1531" spans="1:21">
      <c r="A1531" t="s">
        <v>2752</v>
      </c>
      <c r="B1531" t="s">
        <v>832</v>
      </c>
      <c r="C1531" t="s">
        <v>37</v>
      </c>
      <c r="D1531">
        <v>8</v>
      </c>
      <c r="E1531" t="s">
        <v>23</v>
      </c>
      <c r="F1531">
        <v>13</v>
      </c>
      <c r="G1531" t="s">
        <v>24</v>
      </c>
      <c r="H1531" t="s">
        <v>1878</v>
      </c>
      <c r="I1531">
        <v>98</v>
      </c>
      <c r="J1531">
        <v>68</v>
      </c>
      <c r="K1531">
        <v>88</v>
      </c>
      <c r="L1531">
        <v>92</v>
      </c>
      <c r="M1531">
        <v>98</v>
      </c>
      <c r="N1531">
        <v>100</v>
      </c>
      <c r="O1531">
        <v>446</v>
      </c>
      <c r="P1531">
        <v>89.2</v>
      </c>
      <c r="Q1531" t="s">
        <v>47</v>
      </c>
      <c r="R1531" t="s">
        <v>41</v>
      </c>
      <c r="S1531">
        <v>4911</v>
      </c>
      <c r="T1531" t="s">
        <v>70</v>
      </c>
      <c r="U1531" t="str">
        <f t="shared" si="23"/>
        <v>Pass</v>
      </c>
    </row>
    <row r="1532" spans="1:21">
      <c r="A1532" t="s">
        <v>2753</v>
      </c>
      <c r="B1532" t="s">
        <v>461</v>
      </c>
      <c r="C1532" t="s">
        <v>22</v>
      </c>
      <c r="D1532">
        <v>11</v>
      </c>
      <c r="E1532" t="s">
        <v>47</v>
      </c>
      <c r="F1532">
        <v>15</v>
      </c>
      <c r="G1532" t="s">
        <v>45</v>
      </c>
      <c r="H1532" t="s">
        <v>2754</v>
      </c>
      <c r="I1532">
        <v>96</v>
      </c>
      <c r="J1532">
        <v>61</v>
      </c>
      <c r="K1532">
        <v>97</v>
      </c>
      <c r="L1532">
        <v>53</v>
      </c>
      <c r="M1532">
        <v>38</v>
      </c>
      <c r="N1532">
        <v>83</v>
      </c>
      <c r="O1532">
        <v>332</v>
      </c>
      <c r="P1532">
        <v>66.400000000000006</v>
      </c>
      <c r="Q1532" t="s">
        <v>26</v>
      </c>
      <c r="R1532" t="s">
        <v>41</v>
      </c>
      <c r="S1532">
        <v>2323</v>
      </c>
      <c r="T1532" t="s">
        <v>48</v>
      </c>
      <c r="U1532" t="str">
        <f t="shared" si="23"/>
        <v>Pass</v>
      </c>
    </row>
    <row r="1533" spans="1:21">
      <c r="A1533" t="s">
        <v>2755</v>
      </c>
      <c r="B1533" t="s">
        <v>555</v>
      </c>
      <c r="C1533" t="s">
        <v>22</v>
      </c>
      <c r="D1533">
        <v>2</v>
      </c>
      <c r="E1533" t="s">
        <v>23</v>
      </c>
      <c r="F1533">
        <v>8</v>
      </c>
      <c r="G1533" t="s">
        <v>32</v>
      </c>
      <c r="H1533" t="s">
        <v>2416</v>
      </c>
      <c r="I1533">
        <v>65</v>
      </c>
      <c r="J1533">
        <v>36</v>
      </c>
      <c r="K1533">
        <v>36</v>
      </c>
      <c r="L1533">
        <v>60</v>
      </c>
      <c r="M1533">
        <v>42</v>
      </c>
      <c r="N1533">
        <v>69</v>
      </c>
      <c r="O1533">
        <v>243</v>
      </c>
      <c r="P1533">
        <v>48.6</v>
      </c>
      <c r="Q1533" t="s">
        <v>23</v>
      </c>
      <c r="R1533" t="s">
        <v>27</v>
      </c>
      <c r="S1533">
        <v>3038</v>
      </c>
      <c r="T1533" t="s">
        <v>70</v>
      </c>
      <c r="U1533" t="str">
        <f t="shared" si="23"/>
        <v>Fail</v>
      </c>
    </row>
    <row r="1534" spans="1:21">
      <c r="A1534" t="s">
        <v>2756</v>
      </c>
      <c r="B1534" t="s">
        <v>525</v>
      </c>
      <c r="C1534" t="s">
        <v>37</v>
      </c>
      <c r="D1534">
        <v>10</v>
      </c>
      <c r="E1534" t="s">
        <v>26</v>
      </c>
      <c r="F1534">
        <v>15</v>
      </c>
      <c r="G1534" t="s">
        <v>32</v>
      </c>
      <c r="H1534" t="s">
        <v>1768</v>
      </c>
      <c r="I1534">
        <v>85</v>
      </c>
      <c r="J1534">
        <v>76</v>
      </c>
      <c r="K1534">
        <v>63</v>
      </c>
      <c r="L1534">
        <v>46</v>
      </c>
      <c r="M1534">
        <v>87</v>
      </c>
      <c r="N1534">
        <v>80</v>
      </c>
      <c r="O1534">
        <v>352</v>
      </c>
      <c r="P1534">
        <v>70.400000000000006</v>
      </c>
      <c r="Q1534" t="s">
        <v>40</v>
      </c>
      <c r="R1534" t="s">
        <v>41</v>
      </c>
      <c r="S1534">
        <v>4649</v>
      </c>
      <c r="T1534" t="s">
        <v>48</v>
      </c>
      <c r="U1534" t="str">
        <f t="shared" si="23"/>
        <v>Pass</v>
      </c>
    </row>
    <row r="1535" spans="1:21">
      <c r="A1535" t="s">
        <v>2757</v>
      </c>
      <c r="B1535" t="s">
        <v>256</v>
      </c>
      <c r="C1535" t="s">
        <v>22</v>
      </c>
      <c r="D1535">
        <v>11</v>
      </c>
      <c r="E1535" t="s">
        <v>23</v>
      </c>
      <c r="F1535">
        <v>17</v>
      </c>
      <c r="G1535" t="s">
        <v>58</v>
      </c>
      <c r="H1535" t="s">
        <v>2758</v>
      </c>
      <c r="I1535">
        <v>87</v>
      </c>
      <c r="J1535">
        <v>93</v>
      </c>
      <c r="K1535">
        <v>69</v>
      </c>
      <c r="L1535">
        <v>56</v>
      </c>
      <c r="M1535">
        <v>41</v>
      </c>
      <c r="N1535">
        <v>93</v>
      </c>
      <c r="O1535">
        <v>352</v>
      </c>
      <c r="P1535">
        <v>70.400000000000006</v>
      </c>
      <c r="Q1535" t="s">
        <v>40</v>
      </c>
      <c r="R1535" t="s">
        <v>41</v>
      </c>
      <c r="S1535">
        <v>1873</v>
      </c>
      <c r="T1535" t="s">
        <v>48</v>
      </c>
      <c r="U1535" t="str">
        <f t="shared" si="23"/>
        <v>Pass</v>
      </c>
    </row>
    <row r="1536" spans="1:21">
      <c r="A1536" t="s">
        <v>2759</v>
      </c>
      <c r="B1536" t="s">
        <v>261</v>
      </c>
      <c r="C1536" t="s">
        <v>37</v>
      </c>
      <c r="D1536">
        <v>7</v>
      </c>
      <c r="E1536" t="s">
        <v>26</v>
      </c>
      <c r="F1536">
        <v>12</v>
      </c>
      <c r="G1536" t="s">
        <v>58</v>
      </c>
      <c r="H1536" t="s">
        <v>1558</v>
      </c>
      <c r="I1536">
        <v>85</v>
      </c>
      <c r="J1536">
        <v>41</v>
      </c>
      <c r="K1536">
        <v>96</v>
      </c>
      <c r="L1536">
        <v>67</v>
      </c>
      <c r="M1536">
        <v>100</v>
      </c>
      <c r="N1536">
        <v>90</v>
      </c>
      <c r="O1536">
        <v>394</v>
      </c>
      <c r="P1536">
        <v>78.8</v>
      </c>
      <c r="Q1536" t="s">
        <v>40</v>
      </c>
      <c r="R1536" t="s">
        <v>41</v>
      </c>
      <c r="S1536">
        <v>4195</v>
      </c>
      <c r="T1536" t="s">
        <v>66</v>
      </c>
      <c r="U1536" t="str">
        <f t="shared" si="23"/>
        <v>Pass</v>
      </c>
    </row>
    <row r="1537" spans="1:21">
      <c r="A1537" t="s">
        <v>2760</v>
      </c>
      <c r="B1537" t="s">
        <v>93</v>
      </c>
      <c r="C1537" t="s">
        <v>37</v>
      </c>
      <c r="D1537">
        <v>10</v>
      </c>
      <c r="E1537" t="s">
        <v>23</v>
      </c>
      <c r="F1537">
        <v>15</v>
      </c>
      <c r="G1537" t="s">
        <v>32</v>
      </c>
      <c r="H1537" t="s">
        <v>2761</v>
      </c>
      <c r="I1537">
        <v>87</v>
      </c>
      <c r="J1537">
        <v>40</v>
      </c>
      <c r="K1537">
        <v>96</v>
      </c>
      <c r="L1537">
        <v>86</v>
      </c>
      <c r="M1537">
        <v>84</v>
      </c>
      <c r="N1537">
        <v>59</v>
      </c>
      <c r="O1537">
        <v>365</v>
      </c>
      <c r="P1537">
        <v>73</v>
      </c>
      <c r="Q1537" t="s">
        <v>40</v>
      </c>
      <c r="R1537" t="s">
        <v>41</v>
      </c>
      <c r="S1537">
        <v>1957</v>
      </c>
      <c r="T1537" t="s">
        <v>70</v>
      </c>
      <c r="U1537" t="str">
        <f t="shared" si="23"/>
        <v>Pass</v>
      </c>
    </row>
    <row r="1538" spans="1:21">
      <c r="A1538" t="s">
        <v>2762</v>
      </c>
      <c r="B1538" t="s">
        <v>256</v>
      </c>
      <c r="C1538" t="s">
        <v>22</v>
      </c>
      <c r="D1538">
        <v>2</v>
      </c>
      <c r="E1538" t="s">
        <v>31</v>
      </c>
      <c r="F1538">
        <v>8</v>
      </c>
      <c r="G1538" t="s">
        <v>54</v>
      </c>
      <c r="H1538" t="s">
        <v>2017</v>
      </c>
      <c r="I1538">
        <v>69</v>
      </c>
      <c r="J1538">
        <v>91</v>
      </c>
      <c r="K1538">
        <v>93</v>
      </c>
      <c r="L1538">
        <v>87</v>
      </c>
      <c r="M1538">
        <v>99</v>
      </c>
      <c r="N1538">
        <v>80</v>
      </c>
      <c r="O1538">
        <v>450</v>
      </c>
      <c r="P1538">
        <v>90</v>
      </c>
      <c r="Q1538" t="s">
        <v>760</v>
      </c>
      <c r="R1538" t="s">
        <v>27</v>
      </c>
      <c r="S1538">
        <v>4979</v>
      </c>
      <c r="T1538" t="s">
        <v>66</v>
      </c>
      <c r="U1538" t="str">
        <f t="shared" si="23"/>
        <v>Pass</v>
      </c>
    </row>
    <row r="1539" spans="1:21">
      <c r="A1539" t="s">
        <v>2763</v>
      </c>
      <c r="B1539" t="s">
        <v>134</v>
      </c>
      <c r="C1539" t="s">
        <v>22</v>
      </c>
      <c r="D1539">
        <v>4</v>
      </c>
      <c r="E1539" t="s">
        <v>31</v>
      </c>
      <c r="F1539">
        <v>8</v>
      </c>
      <c r="G1539" t="s">
        <v>54</v>
      </c>
      <c r="H1539" t="s">
        <v>1738</v>
      </c>
      <c r="I1539">
        <v>65</v>
      </c>
      <c r="J1539">
        <v>39</v>
      </c>
      <c r="K1539">
        <v>92</v>
      </c>
      <c r="L1539">
        <v>61</v>
      </c>
      <c r="M1539">
        <v>61</v>
      </c>
      <c r="N1539">
        <v>83</v>
      </c>
      <c r="O1539">
        <v>336</v>
      </c>
      <c r="P1539">
        <v>67.2</v>
      </c>
      <c r="Q1539" t="s">
        <v>26</v>
      </c>
      <c r="R1539" t="s">
        <v>27</v>
      </c>
      <c r="S1539">
        <v>2210</v>
      </c>
      <c r="T1539" t="s">
        <v>28</v>
      </c>
      <c r="U1539" t="str">
        <f t="shared" ref="U1539:U1602" si="24">IF(P1539&gt;55,"Pass","Fail")</f>
        <v>Pass</v>
      </c>
    </row>
    <row r="1540" spans="1:21">
      <c r="A1540" t="s">
        <v>2764</v>
      </c>
      <c r="B1540" t="s">
        <v>1142</v>
      </c>
      <c r="C1540" t="s">
        <v>37</v>
      </c>
      <c r="D1540">
        <v>11</v>
      </c>
      <c r="E1540" t="s">
        <v>31</v>
      </c>
      <c r="F1540">
        <v>16</v>
      </c>
      <c r="G1540" t="s">
        <v>58</v>
      </c>
      <c r="H1540" t="s">
        <v>1726</v>
      </c>
      <c r="I1540">
        <v>66</v>
      </c>
      <c r="J1540">
        <v>37</v>
      </c>
      <c r="K1540">
        <v>76</v>
      </c>
      <c r="L1540">
        <v>41</v>
      </c>
      <c r="M1540">
        <v>70</v>
      </c>
      <c r="N1540">
        <v>75</v>
      </c>
      <c r="O1540">
        <v>299</v>
      </c>
      <c r="P1540">
        <v>59.8</v>
      </c>
      <c r="Q1540" t="s">
        <v>31</v>
      </c>
      <c r="R1540" t="s">
        <v>41</v>
      </c>
      <c r="S1540">
        <v>2928</v>
      </c>
      <c r="T1540" t="s">
        <v>42</v>
      </c>
      <c r="U1540" t="str">
        <f t="shared" si="24"/>
        <v>Pass</v>
      </c>
    </row>
    <row r="1541" spans="1:21">
      <c r="A1541" t="s">
        <v>2765</v>
      </c>
      <c r="B1541" t="s">
        <v>199</v>
      </c>
      <c r="C1541" t="s">
        <v>37</v>
      </c>
      <c r="D1541">
        <v>11</v>
      </c>
      <c r="E1541" t="s">
        <v>47</v>
      </c>
      <c r="F1541">
        <v>15</v>
      </c>
      <c r="G1541" t="s">
        <v>45</v>
      </c>
      <c r="H1541" t="s">
        <v>943</v>
      </c>
      <c r="I1541">
        <v>94</v>
      </c>
      <c r="J1541">
        <v>43</v>
      </c>
      <c r="K1541">
        <v>55</v>
      </c>
      <c r="L1541">
        <v>67</v>
      </c>
      <c r="M1541">
        <v>58</v>
      </c>
      <c r="N1541">
        <v>90</v>
      </c>
      <c r="O1541">
        <v>313</v>
      </c>
      <c r="P1541">
        <v>62.6</v>
      </c>
      <c r="Q1541" t="s">
        <v>26</v>
      </c>
      <c r="R1541" t="s">
        <v>27</v>
      </c>
      <c r="S1541">
        <v>3645</v>
      </c>
      <c r="T1541" t="s">
        <v>28</v>
      </c>
      <c r="U1541" t="str">
        <f t="shared" si="24"/>
        <v>Pass</v>
      </c>
    </row>
    <row r="1542" spans="1:21">
      <c r="A1542" t="s">
        <v>2766</v>
      </c>
      <c r="B1542" t="s">
        <v>607</v>
      </c>
      <c r="C1542" t="s">
        <v>37</v>
      </c>
      <c r="D1542">
        <v>8</v>
      </c>
      <c r="E1542" t="s">
        <v>26</v>
      </c>
      <c r="F1542">
        <v>14</v>
      </c>
      <c r="G1542" t="s">
        <v>32</v>
      </c>
      <c r="H1542" t="s">
        <v>285</v>
      </c>
      <c r="I1542">
        <v>71</v>
      </c>
      <c r="J1542">
        <v>52</v>
      </c>
      <c r="K1542">
        <v>65</v>
      </c>
      <c r="L1542">
        <v>68</v>
      </c>
      <c r="M1542">
        <v>74</v>
      </c>
      <c r="N1542">
        <v>75</v>
      </c>
      <c r="O1542">
        <v>334</v>
      </c>
      <c r="P1542">
        <v>66.8</v>
      </c>
      <c r="Q1542" t="s">
        <v>26</v>
      </c>
      <c r="R1542" t="s">
        <v>27</v>
      </c>
      <c r="S1542">
        <v>4105</v>
      </c>
      <c r="T1542" t="s">
        <v>66</v>
      </c>
      <c r="U1542" t="str">
        <f t="shared" si="24"/>
        <v>Pass</v>
      </c>
    </row>
    <row r="1543" spans="1:21">
      <c r="A1543" t="s">
        <v>2767</v>
      </c>
      <c r="B1543" t="s">
        <v>96</v>
      </c>
      <c r="C1543" t="s">
        <v>37</v>
      </c>
      <c r="D1543">
        <v>12</v>
      </c>
      <c r="E1543" t="s">
        <v>23</v>
      </c>
      <c r="F1543">
        <v>18</v>
      </c>
      <c r="G1543" t="s">
        <v>64</v>
      </c>
      <c r="H1543" t="s">
        <v>664</v>
      </c>
      <c r="I1543">
        <v>60</v>
      </c>
      <c r="J1543">
        <v>68</v>
      </c>
      <c r="K1543">
        <v>38</v>
      </c>
      <c r="L1543">
        <v>74</v>
      </c>
      <c r="M1543">
        <v>39</v>
      </c>
      <c r="N1543">
        <v>70</v>
      </c>
      <c r="O1543">
        <v>289</v>
      </c>
      <c r="P1543">
        <v>57.8</v>
      </c>
      <c r="Q1543" t="s">
        <v>31</v>
      </c>
      <c r="R1543" t="s">
        <v>27</v>
      </c>
      <c r="S1543">
        <v>3402</v>
      </c>
      <c r="T1543" t="s">
        <v>48</v>
      </c>
      <c r="U1543" t="str">
        <f t="shared" si="24"/>
        <v>Pass</v>
      </c>
    </row>
    <row r="1544" spans="1:21">
      <c r="A1544" t="s">
        <v>2768</v>
      </c>
      <c r="B1544" t="s">
        <v>389</v>
      </c>
      <c r="C1544" t="s">
        <v>22</v>
      </c>
      <c r="D1544">
        <v>2</v>
      </c>
      <c r="E1544" t="s">
        <v>47</v>
      </c>
      <c r="F1544">
        <v>7</v>
      </c>
      <c r="G1544" t="s">
        <v>58</v>
      </c>
      <c r="H1544" t="s">
        <v>2769</v>
      </c>
      <c r="I1544">
        <v>89</v>
      </c>
      <c r="J1544">
        <v>55</v>
      </c>
      <c r="K1544">
        <v>49</v>
      </c>
      <c r="L1544">
        <v>98</v>
      </c>
      <c r="M1544">
        <v>60</v>
      </c>
      <c r="N1544">
        <v>88</v>
      </c>
      <c r="O1544">
        <v>350</v>
      </c>
      <c r="P1544">
        <v>70</v>
      </c>
      <c r="Q1544" t="s">
        <v>40</v>
      </c>
      <c r="R1544" t="s">
        <v>41</v>
      </c>
      <c r="S1544">
        <v>2003</v>
      </c>
      <c r="T1544" t="s">
        <v>34</v>
      </c>
      <c r="U1544" t="str">
        <f t="shared" si="24"/>
        <v>Pass</v>
      </c>
    </row>
    <row r="1545" spans="1:21">
      <c r="A1545" t="s">
        <v>2770</v>
      </c>
      <c r="B1545" t="s">
        <v>365</v>
      </c>
      <c r="C1545" t="s">
        <v>22</v>
      </c>
      <c r="D1545">
        <v>11</v>
      </c>
      <c r="E1545" t="s">
        <v>23</v>
      </c>
      <c r="F1545">
        <v>17</v>
      </c>
      <c r="G1545" t="s">
        <v>32</v>
      </c>
      <c r="H1545" t="s">
        <v>88</v>
      </c>
      <c r="I1545">
        <v>68</v>
      </c>
      <c r="J1545">
        <v>62</v>
      </c>
      <c r="K1545">
        <v>65</v>
      </c>
      <c r="L1545">
        <v>57</v>
      </c>
      <c r="M1545">
        <v>58</v>
      </c>
      <c r="N1545">
        <v>96</v>
      </c>
      <c r="O1545">
        <v>338</v>
      </c>
      <c r="P1545">
        <v>67.599999999999994</v>
      </c>
      <c r="Q1545" t="s">
        <v>26</v>
      </c>
      <c r="R1545" t="s">
        <v>41</v>
      </c>
      <c r="S1545">
        <v>2752</v>
      </c>
      <c r="T1545" t="s">
        <v>70</v>
      </c>
      <c r="U1545" t="str">
        <f t="shared" si="24"/>
        <v>Pass</v>
      </c>
    </row>
    <row r="1546" spans="1:21">
      <c r="A1546" t="s">
        <v>2771</v>
      </c>
      <c r="B1546" t="s">
        <v>280</v>
      </c>
      <c r="C1546" t="s">
        <v>22</v>
      </c>
      <c r="D1546">
        <v>12</v>
      </c>
      <c r="E1546" t="s">
        <v>26</v>
      </c>
      <c r="F1546">
        <v>17</v>
      </c>
      <c r="G1546" t="s">
        <v>38</v>
      </c>
      <c r="H1546" t="s">
        <v>2772</v>
      </c>
      <c r="I1546">
        <v>94</v>
      </c>
      <c r="J1546">
        <v>66</v>
      </c>
      <c r="K1546">
        <v>38</v>
      </c>
      <c r="L1546">
        <v>41</v>
      </c>
      <c r="M1546">
        <v>98</v>
      </c>
      <c r="N1546">
        <v>55</v>
      </c>
      <c r="O1546">
        <v>298</v>
      </c>
      <c r="P1546">
        <v>59.6</v>
      </c>
      <c r="Q1546" t="s">
        <v>31</v>
      </c>
      <c r="R1546" t="s">
        <v>41</v>
      </c>
      <c r="S1546">
        <v>3238</v>
      </c>
      <c r="T1546" t="s">
        <v>34</v>
      </c>
      <c r="U1546" t="str">
        <f t="shared" si="24"/>
        <v>Pass</v>
      </c>
    </row>
    <row r="1547" spans="1:21">
      <c r="A1547" t="s">
        <v>2773</v>
      </c>
      <c r="B1547" t="s">
        <v>628</v>
      </c>
      <c r="C1547" t="s">
        <v>37</v>
      </c>
      <c r="D1547">
        <v>3</v>
      </c>
      <c r="E1547" t="s">
        <v>23</v>
      </c>
      <c r="F1547">
        <v>9</v>
      </c>
      <c r="G1547" t="s">
        <v>38</v>
      </c>
      <c r="H1547" t="s">
        <v>2774</v>
      </c>
      <c r="I1547">
        <v>83</v>
      </c>
      <c r="J1547">
        <v>64</v>
      </c>
      <c r="K1547">
        <v>40</v>
      </c>
      <c r="L1547">
        <v>36</v>
      </c>
      <c r="M1547">
        <v>49</v>
      </c>
      <c r="N1547">
        <v>49</v>
      </c>
      <c r="O1547">
        <v>238</v>
      </c>
      <c r="P1547">
        <v>47.6</v>
      </c>
      <c r="Q1547" t="s">
        <v>23</v>
      </c>
      <c r="R1547" t="s">
        <v>27</v>
      </c>
      <c r="S1547">
        <v>2413</v>
      </c>
      <c r="T1547" t="s">
        <v>42</v>
      </c>
      <c r="U1547" t="str">
        <f t="shared" si="24"/>
        <v>Fail</v>
      </c>
    </row>
    <row r="1548" spans="1:21">
      <c r="A1548" t="s">
        <v>2775</v>
      </c>
      <c r="B1548" t="s">
        <v>113</v>
      </c>
      <c r="C1548" t="s">
        <v>22</v>
      </c>
      <c r="D1548">
        <v>4</v>
      </c>
      <c r="E1548" t="s">
        <v>23</v>
      </c>
      <c r="F1548">
        <v>10</v>
      </c>
      <c r="G1548" t="s">
        <v>38</v>
      </c>
      <c r="H1548" t="s">
        <v>2776</v>
      </c>
      <c r="I1548">
        <v>69</v>
      </c>
      <c r="J1548">
        <v>48</v>
      </c>
      <c r="K1548">
        <v>93</v>
      </c>
      <c r="L1548">
        <v>37</v>
      </c>
      <c r="M1548">
        <v>64</v>
      </c>
      <c r="N1548">
        <v>43</v>
      </c>
      <c r="O1548">
        <v>285</v>
      </c>
      <c r="P1548">
        <v>57</v>
      </c>
      <c r="Q1548" t="s">
        <v>31</v>
      </c>
      <c r="R1548" t="s">
        <v>27</v>
      </c>
      <c r="S1548">
        <v>2085</v>
      </c>
      <c r="T1548" t="s">
        <v>28</v>
      </c>
      <c r="U1548" t="str">
        <f t="shared" si="24"/>
        <v>Pass</v>
      </c>
    </row>
    <row r="1549" spans="1:21">
      <c r="A1549" t="s">
        <v>2777</v>
      </c>
      <c r="B1549" t="s">
        <v>274</v>
      </c>
      <c r="C1549" t="s">
        <v>22</v>
      </c>
      <c r="D1549">
        <v>11</v>
      </c>
      <c r="E1549" t="s">
        <v>26</v>
      </c>
      <c r="F1549">
        <v>15</v>
      </c>
      <c r="G1549" t="s">
        <v>45</v>
      </c>
      <c r="H1549" t="s">
        <v>346</v>
      </c>
      <c r="I1549">
        <v>72</v>
      </c>
      <c r="J1549">
        <v>92</v>
      </c>
      <c r="K1549">
        <v>57</v>
      </c>
      <c r="L1549">
        <v>73</v>
      </c>
      <c r="M1549">
        <v>84</v>
      </c>
      <c r="N1549">
        <v>89</v>
      </c>
      <c r="O1549">
        <v>395</v>
      </c>
      <c r="P1549">
        <v>79</v>
      </c>
      <c r="Q1549" t="s">
        <v>40</v>
      </c>
      <c r="R1549" t="s">
        <v>27</v>
      </c>
      <c r="S1549">
        <v>2426</v>
      </c>
      <c r="T1549" t="s">
        <v>66</v>
      </c>
      <c r="U1549" t="str">
        <f t="shared" si="24"/>
        <v>Pass</v>
      </c>
    </row>
    <row r="1550" spans="1:21">
      <c r="A1550" t="s">
        <v>2778</v>
      </c>
      <c r="B1550" t="s">
        <v>160</v>
      </c>
      <c r="C1550" t="s">
        <v>37</v>
      </c>
      <c r="D1550">
        <v>3</v>
      </c>
      <c r="E1550" t="s">
        <v>26</v>
      </c>
      <c r="F1550">
        <v>8</v>
      </c>
      <c r="G1550" t="s">
        <v>32</v>
      </c>
      <c r="H1550" t="s">
        <v>2779</v>
      </c>
      <c r="I1550">
        <v>99</v>
      </c>
      <c r="J1550">
        <v>36</v>
      </c>
      <c r="K1550">
        <v>71</v>
      </c>
      <c r="L1550">
        <v>89</v>
      </c>
      <c r="M1550">
        <v>88</v>
      </c>
      <c r="N1550">
        <v>38</v>
      </c>
      <c r="O1550">
        <v>322</v>
      </c>
      <c r="P1550">
        <v>64.400000000000006</v>
      </c>
      <c r="Q1550" t="s">
        <v>26</v>
      </c>
      <c r="R1550" t="s">
        <v>27</v>
      </c>
      <c r="S1550">
        <v>1714</v>
      </c>
      <c r="T1550" t="s">
        <v>66</v>
      </c>
      <c r="U1550" t="str">
        <f t="shared" si="24"/>
        <v>Pass</v>
      </c>
    </row>
    <row r="1551" spans="1:21">
      <c r="A1551" t="s">
        <v>2780</v>
      </c>
      <c r="B1551" t="s">
        <v>767</v>
      </c>
      <c r="C1551" t="s">
        <v>37</v>
      </c>
      <c r="D1551">
        <v>11</v>
      </c>
      <c r="E1551" t="s">
        <v>47</v>
      </c>
      <c r="F1551">
        <v>17</v>
      </c>
      <c r="G1551" t="s">
        <v>38</v>
      </c>
      <c r="H1551" t="s">
        <v>2781</v>
      </c>
      <c r="I1551">
        <v>69</v>
      </c>
      <c r="J1551">
        <v>35</v>
      </c>
      <c r="K1551">
        <v>88</v>
      </c>
      <c r="L1551">
        <v>75</v>
      </c>
      <c r="M1551">
        <v>92</v>
      </c>
      <c r="N1551">
        <v>71</v>
      </c>
      <c r="O1551">
        <v>361</v>
      </c>
      <c r="P1551">
        <v>72.2</v>
      </c>
      <c r="Q1551" t="s">
        <v>40</v>
      </c>
      <c r="R1551" t="s">
        <v>41</v>
      </c>
      <c r="S1551">
        <v>3654</v>
      </c>
      <c r="T1551" t="s">
        <v>28</v>
      </c>
      <c r="U1551" t="str">
        <f t="shared" si="24"/>
        <v>Pass</v>
      </c>
    </row>
    <row r="1552" spans="1:21">
      <c r="A1552" t="s">
        <v>2782</v>
      </c>
      <c r="B1552" t="s">
        <v>824</v>
      </c>
      <c r="C1552" t="s">
        <v>37</v>
      </c>
      <c r="D1552">
        <v>2</v>
      </c>
      <c r="E1552" t="s">
        <v>23</v>
      </c>
      <c r="F1552">
        <v>7</v>
      </c>
      <c r="G1552" t="s">
        <v>54</v>
      </c>
      <c r="H1552" t="s">
        <v>470</v>
      </c>
      <c r="I1552">
        <v>100</v>
      </c>
      <c r="J1552">
        <v>44</v>
      </c>
      <c r="K1552">
        <v>98</v>
      </c>
      <c r="L1552">
        <v>66</v>
      </c>
      <c r="M1552">
        <v>59</v>
      </c>
      <c r="N1552">
        <v>86</v>
      </c>
      <c r="O1552">
        <v>353</v>
      </c>
      <c r="P1552">
        <v>70.599999999999994</v>
      </c>
      <c r="Q1552" t="s">
        <v>40</v>
      </c>
      <c r="R1552" t="s">
        <v>27</v>
      </c>
      <c r="S1552">
        <v>2104</v>
      </c>
      <c r="T1552" t="s">
        <v>48</v>
      </c>
      <c r="U1552" t="str">
        <f t="shared" si="24"/>
        <v>Pass</v>
      </c>
    </row>
    <row r="1553" spans="1:21">
      <c r="A1553" t="s">
        <v>2783</v>
      </c>
      <c r="B1553" t="s">
        <v>844</v>
      </c>
      <c r="C1553" t="s">
        <v>37</v>
      </c>
      <c r="D1553">
        <v>10</v>
      </c>
      <c r="E1553" t="s">
        <v>26</v>
      </c>
      <c r="F1553">
        <v>14</v>
      </c>
      <c r="G1553" t="s">
        <v>54</v>
      </c>
      <c r="H1553" t="s">
        <v>387</v>
      </c>
      <c r="I1553">
        <v>85</v>
      </c>
      <c r="J1553">
        <v>67</v>
      </c>
      <c r="K1553">
        <v>81</v>
      </c>
      <c r="L1553">
        <v>66</v>
      </c>
      <c r="M1553">
        <v>53</v>
      </c>
      <c r="N1553">
        <v>62</v>
      </c>
      <c r="O1553">
        <v>329</v>
      </c>
      <c r="P1553">
        <v>65.8</v>
      </c>
      <c r="Q1553" t="s">
        <v>26</v>
      </c>
      <c r="R1553" t="s">
        <v>27</v>
      </c>
      <c r="S1553">
        <v>2892</v>
      </c>
      <c r="T1553" t="s">
        <v>34</v>
      </c>
      <c r="U1553" t="str">
        <f t="shared" si="24"/>
        <v>Pass</v>
      </c>
    </row>
    <row r="1554" spans="1:21">
      <c r="A1554" t="s">
        <v>2784</v>
      </c>
      <c r="B1554" t="s">
        <v>30</v>
      </c>
      <c r="C1554" t="s">
        <v>22</v>
      </c>
      <c r="D1554">
        <v>10</v>
      </c>
      <c r="E1554" t="s">
        <v>26</v>
      </c>
      <c r="F1554">
        <v>14</v>
      </c>
      <c r="G1554" t="s">
        <v>38</v>
      </c>
      <c r="H1554" t="s">
        <v>1205</v>
      </c>
      <c r="I1554">
        <v>94</v>
      </c>
      <c r="J1554">
        <v>50</v>
      </c>
      <c r="K1554">
        <v>83</v>
      </c>
      <c r="L1554">
        <v>65</v>
      </c>
      <c r="M1554">
        <v>48</v>
      </c>
      <c r="N1554">
        <v>97</v>
      </c>
      <c r="O1554">
        <v>343</v>
      </c>
      <c r="P1554">
        <v>68.599999999999994</v>
      </c>
      <c r="Q1554" t="s">
        <v>26</v>
      </c>
      <c r="R1554" t="s">
        <v>41</v>
      </c>
      <c r="S1554">
        <v>2461</v>
      </c>
      <c r="T1554" t="s">
        <v>28</v>
      </c>
      <c r="U1554" t="str">
        <f t="shared" si="24"/>
        <v>Pass</v>
      </c>
    </row>
    <row r="1555" spans="1:21">
      <c r="A1555" t="s">
        <v>2785</v>
      </c>
      <c r="B1555" t="s">
        <v>211</v>
      </c>
      <c r="C1555" t="s">
        <v>37</v>
      </c>
      <c r="D1555">
        <v>12</v>
      </c>
      <c r="E1555" t="s">
        <v>31</v>
      </c>
      <c r="F1555">
        <v>17</v>
      </c>
      <c r="G1555" t="s">
        <v>38</v>
      </c>
      <c r="H1555" t="s">
        <v>1070</v>
      </c>
      <c r="I1555">
        <v>81</v>
      </c>
      <c r="J1555">
        <v>71</v>
      </c>
      <c r="K1555">
        <v>40</v>
      </c>
      <c r="L1555">
        <v>62</v>
      </c>
      <c r="M1555">
        <v>38</v>
      </c>
      <c r="N1555">
        <v>38</v>
      </c>
      <c r="O1555">
        <v>249</v>
      </c>
      <c r="P1555">
        <v>49.8</v>
      </c>
      <c r="Q1555" t="s">
        <v>23</v>
      </c>
      <c r="R1555" t="s">
        <v>41</v>
      </c>
      <c r="S1555">
        <v>3401</v>
      </c>
      <c r="T1555" t="s">
        <v>48</v>
      </c>
      <c r="U1555" t="str">
        <f t="shared" si="24"/>
        <v>Fail</v>
      </c>
    </row>
    <row r="1556" spans="1:21">
      <c r="A1556" t="s">
        <v>2786</v>
      </c>
      <c r="B1556" t="s">
        <v>126</v>
      </c>
      <c r="C1556" t="s">
        <v>37</v>
      </c>
      <c r="D1556">
        <v>9</v>
      </c>
      <c r="E1556" t="s">
        <v>23</v>
      </c>
      <c r="F1556">
        <v>15</v>
      </c>
      <c r="G1556" t="s">
        <v>38</v>
      </c>
      <c r="H1556" t="s">
        <v>2787</v>
      </c>
      <c r="I1556">
        <v>75</v>
      </c>
      <c r="J1556">
        <v>73</v>
      </c>
      <c r="K1556">
        <v>79</v>
      </c>
      <c r="L1556">
        <v>80</v>
      </c>
      <c r="M1556">
        <v>85</v>
      </c>
      <c r="N1556">
        <v>94</v>
      </c>
      <c r="O1556">
        <v>411</v>
      </c>
      <c r="P1556">
        <v>82.2</v>
      </c>
      <c r="Q1556" t="s">
        <v>47</v>
      </c>
      <c r="R1556" t="s">
        <v>41</v>
      </c>
      <c r="S1556">
        <v>4886</v>
      </c>
      <c r="T1556" t="s">
        <v>70</v>
      </c>
      <c r="U1556" t="str">
        <f t="shared" si="24"/>
        <v>Pass</v>
      </c>
    </row>
    <row r="1557" spans="1:21">
      <c r="A1557" t="s">
        <v>2788</v>
      </c>
      <c r="B1557" t="s">
        <v>292</v>
      </c>
      <c r="C1557" t="s">
        <v>22</v>
      </c>
      <c r="D1557">
        <v>4</v>
      </c>
      <c r="E1557" t="s">
        <v>47</v>
      </c>
      <c r="F1557">
        <v>10</v>
      </c>
      <c r="G1557" t="s">
        <v>24</v>
      </c>
      <c r="H1557" t="s">
        <v>2789</v>
      </c>
      <c r="I1557">
        <v>93</v>
      </c>
      <c r="J1557">
        <v>98</v>
      </c>
      <c r="K1557">
        <v>92</v>
      </c>
      <c r="L1557">
        <v>55</v>
      </c>
      <c r="M1557">
        <v>87</v>
      </c>
      <c r="N1557">
        <v>47</v>
      </c>
      <c r="O1557">
        <v>379</v>
      </c>
      <c r="P1557">
        <v>75.8</v>
      </c>
      <c r="Q1557" t="s">
        <v>40</v>
      </c>
      <c r="R1557" t="s">
        <v>41</v>
      </c>
      <c r="S1557">
        <v>2011</v>
      </c>
      <c r="T1557" t="s">
        <v>42</v>
      </c>
      <c r="U1557" t="str">
        <f t="shared" si="24"/>
        <v>Pass</v>
      </c>
    </row>
    <row r="1558" spans="1:21">
      <c r="A1558" t="s">
        <v>2790</v>
      </c>
      <c r="B1558" t="s">
        <v>913</v>
      </c>
      <c r="C1558" t="s">
        <v>22</v>
      </c>
      <c r="D1558">
        <v>6</v>
      </c>
      <c r="E1558" t="s">
        <v>26</v>
      </c>
      <c r="F1558">
        <v>10</v>
      </c>
      <c r="G1558" t="s">
        <v>32</v>
      </c>
      <c r="H1558" t="s">
        <v>1216</v>
      </c>
      <c r="I1558">
        <v>100</v>
      </c>
      <c r="J1558">
        <v>91</v>
      </c>
      <c r="K1558">
        <v>40</v>
      </c>
      <c r="L1558">
        <v>99</v>
      </c>
      <c r="M1558">
        <v>45</v>
      </c>
      <c r="N1558">
        <v>82</v>
      </c>
      <c r="O1558">
        <v>357</v>
      </c>
      <c r="P1558">
        <v>71.400000000000006</v>
      </c>
      <c r="Q1558" t="s">
        <v>40</v>
      </c>
      <c r="R1558" t="s">
        <v>27</v>
      </c>
      <c r="S1558">
        <v>4158</v>
      </c>
      <c r="T1558" t="s">
        <v>42</v>
      </c>
      <c r="U1558" t="str">
        <f t="shared" si="24"/>
        <v>Pass</v>
      </c>
    </row>
    <row r="1559" spans="1:21">
      <c r="A1559" t="s">
        <v>2791</v>
      </c>
      <c r="B1559" t="s">
        <v>78</v>
      </c>
      <c r="C1559" t="s">
        <v>22</v>
      </c>
      <c r="D1559">
        <v>12</v>
      </c>
      <c r="E1559" t="s">
        <v>31</v>
      </c>
      <c r="F1559">
        <v>17</v>
      </c>
      <c r="G1559" t="s">
        <v>38</v>
      </c>
      <c r="H1559" t="s">
        <v>1068</v>
      </c>
      <c r="I1559">
        <v>63</v>
      </c>
      <c r="J1559">
        <v>62</v>
      </c>
      <c r="K1559">
        <v>50</v>
      </c>
      <c r="L1559">
        <v>58</v>
      </c>
      <c r="M1559">
        <v>85</v>
      </c>
      <c r="N1559">
        <v>38</v>
      </c>
      <c r="O1559">
        <v>293</v>
      </c>
      <c r="P1559">
        <v>58.6</v>
      </c>
      <c r="Q1559" t="s">
        <v>31</v>
      </c>
      <c r="R1559" t="s">
        <v>41</v>
      </c>
      <c r="S1559">
        <v>2679</v>
      </c>
      <c r="T1559" t="s">
        <v>28</v>
      </c>
      <c r="U1559" t="str">
        <f t="shared" si="24"/>
        <v>Pass</v>
      </c>
    </row>
    <row r="1560" spans="1:21">
      <c r="A1560" t="s">
        <v>2792</v>
      </c>
      <c r="B1560" t="s">
        <v>90</v>
      </c>
      <c r="C1560" t="s">
        <v>37</v>
      </c>
      <c r="D1560">
        <v>1</v>
      </c>
      <c r="E1560" t="s">
        <v>47</v>
      </c>
      <c r="F1560">
        <v>6</v>
      </c>
      <c r="G1560" t="s">
        <v>54</v>
      </c>
      <c r="H1560" t="s">
        <v>2793</v>
      </c>
      <c r="I1560">
        <v>62</v>
      </c>
      <c r="J1560">
        <v>99</v>
      </c>
      <c r="K1560">
        <v>64</v>
      </c>
      <c r="L1560">
        <v>65</v>
      </c>
      <c r="M1560">
        <v>64</v>
      </c>
      <c r="N1560">
        <v>50</v>
      </c>
      <c r="O1560">
        <v>342</v>
      </c>
      <c r="P1560">
        <v>68.400000000000006</v>
      </c>
      <c r="Q1560" t="s">
        <v>26</v>
      </c>
      <c r="R1560" t="s">
        <v>41</v>
      </c>
      <c r="S1560">
        <v>1728</v>
      </c>
      <c r="T1560" t="s">
        <v>70</v>
      </c>
      <c r="U1560" t="str">
        <f t="shared" si="24"/>
        <v>Pass</v>
      </c>
    </row>
    <row r="1561" spans="1:21">
      <c r="A1561" t="s">
        <v>2794</v>
      </c>
      <c r="B1561" t="s">
        <v>378</v>
      </c>
      <c r="C1561" t="s">
        <v>37</v>
      </c>
      <c r="D1561">
        <v>7</v>
      </c>
      <c r="E1561" t="s">
        <v>23</v>
      </c>
      <c r="F1561">
        <v>11</v>
      </c>
      <c r="G1561" t="s">
        <v>38</v>
      </c>
      <c r="H1561" t="s">
        <v>2795</v>
      </c>
      <c r="I1561">
        <v>67</v>
      </c>
      <c r="J1561">
        <v>42</v>
      </c>
      <c r="K1561">
        <v>48</v>
      </c>
      <c r="L1561">
        <v>99</v>
      </c>
      <c r="M1561">
        <v>39</v>
      </c>
      <c r="N1561">
        <v>91</v>
      </c>
      <c r="O1561">
        <v>319</v>
      </c>
      <c r="P1561">
        <v>63.8</v>
      </c>
      <c r="Q1561" t="s">
        <v>26</v>
      </c>
      <c r="R1561" t="s">
        <v>41</v>
      </c>
      <c r="S1561">
        <v>3482</v>
      </c>
      <c r="T1561" t="s">
        <v>42</v>
      </c>
      <c r="U1561" t="str">
        <f t="shared" si="24"/>
        <v>Pass</v>
      </c>
    </row>
    <row r="1562" spans="1:21">
      <c r="A1562" t="s">
        <v>2796</v>
      </c>
      <c r="B1562" t="s">
        <v>448</v>
      </c>
      <c r="C1562" t="s">
        <v>37</v>
      </c>
      <c r="D1562">
        <v>8</v>
      </c>
      <c r="E1562" t="s">
        <v>26</v>
      </c>
      <c r="F1562">
        <v>14</v>
      </c>
      <c r="G1562" t="s">
        <v>38</v>
      </c>
      <c r="H1562" t="s">
        <v>1882</v>
      </c>
      <c r="I1562">
        <v>65</v>
      </c>
      <c r="J1562">
        <v>50</v>
      </c>
      <c r="K1562">
        <v>90</v>
      </c>
      <c r="L1562">
        <v>69</v>
      </c>
      <c r="M1562">
        <v>69</v>
      </c>
      <c r="N1562">
        <v>70</v>
      </c>
      <c r="O1562">
        <v>348</v>
      </c>
      <c r="P1562">
        <v>69.599999999999994</v>
      </c>
      <c r="Q1562" t="s">
        <v>26</v>
      </c>
      <c r="R1562" t="s">
        <v>41</v>
      </c>
      <c r="S1562">
        <v>2145</v>
      </c>
      <c r="T1562" t="s">
        <v>42</v>
      </c>
      <c r="U1562" t="str">
        <f t="shared" si="24"/>
        <v>Pass</v>
      </c>
    </row>
    <row r="1563" spans="1:21">
      <c r="A1563" t="s">
        <v>2797</v>
      </c>
      <c r="B1563" t="s">
        <v>594</v>
      </c>
      <c r="C1563" t="s">
        <v>22</v>
      </c>
      <c r="D1563">
        <v>9</v>
      </c>
      <c r="E1563" t="s">
        <v>26</v>
      </c>
      <c r="F1563">
        <v>14</v>
      </c>
      <c r="G1563" t="s">
        <v>64</v>
      </c>
      <c r="H1563" t="s">
        <v>740</v>
      </c>
      <c r="I1563">
        <v>100</v>
      </c>
      <c r="J1563">
        <v>85</v>
      </c>
      <c r="K1563">
        <v>75</v>
      </c>
      <c r="L1563">
        <v>45</v>
      </c>
      <c r="M1563">
        <v>82</v>
      </c>
      <c r="N1563">
        <v>37</v>
      </c>
      <c r="O1563">
        <v>324</v>
      </c>
      <c r="P1563">
        <v>64.8</v>
      </c>
      <c r="Q1563" t="s">
        <v>26</v>
      </c>
      <c r="R1563" t="s">
        <v>41</v>
      </c>
      <c r="S1563">
        <v>1685</v>
      </c>
      <c r="T1563" t="s">
        <v>42</v>
      </c>
      <c r="U1563" t="str">
        <f t="shared" si="24"/>
        <v>Pass</v>
      </c>
    </row>
    <row r="1564" spans="1:21">
      <c r="A1564" t="s">
        <v>2798</v>
      </c>
      <c r="B1564" t="s">
        <v>231</v>
      </c>
      <c r="C1564" t="s">
        <v>37</v>
      </c>
      <c r="D1564">
        <v>4</v>
      </c>
      <c r="E1564" t="s">
        <v>23</v>
      </c>
      <c r="F1564">
        <v>10</v>
      </c>
      <c r="G1564" t="s">
        <v>38</v>
      </c>
      <c r="H1564" t="s">
        <v>2799</v>
      </c>
      <c r="I1564">
        <v>61</v>
      </c>
      <c r="J1564">
        <v>100</v>
      </c>
      <c r="K1564">
        <v>95</v>
      </c>
      <c r="L1564">
        <v>75</v>
      </c>
      <c r="M1564">
        <v>91</v>
      </c>
      <c r="N1564">
        <v>96</v>
      </c>
      <c r="O1564">
        <v>457</v>
      </c>
      <c r="P1564">
        <v>91.4</v>
      </c>
      <c r="Q1564" t="s">
        <v>760</v>
      </c>
      <c r="R1564" t="s">
        <v>27</v>
      </c>
      <c r="S1564">
        <v>4904</v>
      </c>
      <c r="T1564" t="s">
        <v>28</v>
      </c>
      <c r="U1564" t="str">
        <f t="shared" si="24"/>
        <v>Pass</v>
      </c>
    </row>
    <row r="1565" spans="1:21">
      <c r="A1565" t="s">
        <v>2800</v>
      </c>
      <c r="B1565" t="s">
        <v>555</v>
      </c>
      <c r="C1565" t="s">
        <v>37</v>
      </c>
      <c r="D1565">
        <v>1</v>
      </c>
      <c r="E1565" t="s">
        <v>31</v>
      </c>
      <c r="F1565">
        <v>6</v>
      </c>
      <c r="G1565" t="s">
        <v>32</v>
      </c>
      <c r="H1565" t="s">
        <v>1134</v>
      </c>
      <c r="I1565">
        <v>87</v>
      </c>
      <c r="J1565">
        <v>85</v>
      </c>
      <c r="K1565">
        <v>59</v>
      </c>
      <c r="L1565">
        <v>97</v>
      </c>
      <c r="M1565">
        <v>35</v>
      </c>
      <c r="N1565">
        <v>78</v>
      </c>
      <c r="O1565">
        <v>354</v>
      </c>
      <c r="P1565">
        <v>70.8</v>
      </c>
      <c r="Q1565" t="s">
        <v>40</v>
      </c>
      <c r="R1565" t="s">
        <v>27</v>
      </c>
      <c r="S1565">
        <v>2756</v>
      </c>
      <c r="T1565" t="s">
        <v>42</v>
      </c>
      <c r="U1565" t="str">
        <f t="shared" si="24"/>
        <v>Pass</v>
      </c>
    </row>
    <row r="1566" spans="1:21">
      <c r="A1566" t="s">
        <v>2801</v>
      </c>
      <c r="B1566" t="s">
        <v>193</v>
      </c>
      <c r="C1566" t="s">
        <v>37</v>
      </c>
      <c r="D1566">
        <v>4</v>
      </c>
      <c r="E1566" t="s">
        <v>47</v>
      </c>
      <c r="F1566">
        <v>9</v>
      </c>
      <c r="G1566" t="s">
        <v>45</v>
      </c>
      <c r="H1566" t="s">
        <v>114</v>
      </c>
      <c r="I1566">
        <v>88</v>
      </c>
      <c r="J1566">
        <v>77</v>
      </c>
      <c r="K1566">
        <v>99</v>
      </c>
      <c r="L1566">
        <v>68</v>
      </c>
      <c r="M1566">
        <v>60</v>
      </c>
      <c r="N1566">
        <v>44</v>
      </c>
      <c r="O1566">
        <v>348</v>
      </c>
      <c r="P1566">
        <v>69.599999999999994</v>
      </c>
      <c r="Q1566" t="s">
        <v>26</v>
      </c>
      <c r="R1566" t="s">
        <v>41</v>
      </c>
      <c r="S1566">
        <v>3644</v>
      </c>
      <c r="T1566" t="s">
        <v>48</v>
      </c>
      <c r="U1566" t="str">
        <f t="shared" si="24"/>
        <v>Pass</v>
      </c>
    </row>
    <row r="1567" spans="1:21">
      <c r="A1567" t="s">
        <v>2802</v>
      </c>
      <c r="B1567" t="s">
        <v>261</v>
      </c>
      <c r="C1567" t="s">
        <v>37</v>
      </c>
      <c r="D1567">
        <v>1</v>
      </c>
      <c r="E1567" t="s">
        <v>31</v>
      </c>
      <c r="F1567">
        <v>6</v>
      </c>
      <c r="G1567" t="s">
        <v>54</v>
      </c>
      <c r="H1567" t="s">
        <v>2803</v>
      </c>
      <c r="I1567">
        <v>91</v>
      </c>
      <c r="J1567">
        <v>84</v>
      </c>
      <c r="K1567">
        <v>52</v>
      </c>
      <c r="L1567">
        <v>85</v>
      </c>
      <c r="M1567">
        <v>46</v>
      </c>
      <c r="N1567">
        <v>77</v>
      </c>
      <c r="O1567">
        <v>344</v>
      </c>
      <c r="P1567">
        <v>68.8</v>
      </c>
      <c r="Q1567" t="s">
        <v>26</v>
      </c>
      <c r="R1567" t="s">
        <v>41</v>
      </c>
      <c r="S1567">
        <v>4072</v>
      </c>
      <c r="T1567" t="s">
        <v>34</v>
      </c>
      <c r="U1567" t="str">
        <f t="shared" si="24"/>
        <v>Pass</v>
      </c>
    </row>
    <row r="1568" spans="1:21">
      <c r="A1568" t="s">
        <v>2804</v>
      </c>
      <c r="B1568" t="s">
        <v>258</v>
      </c>
      <c r="C1568" t="s">
        <v>37</v>
      </c>
      <c r="D1568">
        <v>10</v>
      </c>
      <c r="E1568" t="s">
        <v>23</v>
      </c>
      <c r="F1568">
        <v>15</v>
      </c>
      <c r="G1568" t="s">
        <v>24</v>
      </c>
      <c r="H1568" t="s">
        <v>2805</v>
      </c>
      <c r="I1568">
        <v>100</v>
      </c>
      <c r="J1568">
        <v>75</v>
      </c>
      <c r="K1568">
        <v>77</v>
      </c>
      <c r="L1568">
        <v>53</v>
      </c>
      <c r="M1568">
        <v>43</v>
      </c>
      <c r="N1568">
        <v>83</v>
      </c>
      <c r="O1568">
        <v>331</v>
      </c>
      <c r="P1568">
        <v>66.2</v>
      </c>
      <c r="Q1568" t="s">
        <v>26</v>
      </c>
      <c r="R1568" t="s">
        <v>41</v>
      </c>
      <c r="S1568">
        <v>3029</v>
      </c>
      <c r="T1568" t="s">
        <v>34</v>
      </c>
      <c r="U1568" t="str">
        <f t="shared" si="24"/>
        <v>Pass</v>
      </c>
    </row>
    <row r="1569" spans="1:21">
      <c r="A1569" t="s">
        <v>2806</v>
      </c>
      <c r="B1569" t="s">
        <v>555</v>
      </c>
      <c r="C1569" t="s">
        <v>22</v>
      </c>
      <c r="D1569">
        <v>4</v>
      </c>
      <c r="E1569" t="s">
        <v>47</v>
      </c>
      <c r="F1569">
        <v>10</v>
      </c>
      <c r="G1569" t="s">
        <v>54</v>
      </c>
      <c r="H1569" t="s">
        <v>1291</v>
      </c>
      <c r="I1569">
        <v>76</v>
      </c>
      <c r="J1569">
        <v>68</v>
      </c>
      <c r="K1569">
        <v>49</v>
      </c>
      <c r="L1569">
        <v>90</v>
      </c>
      <c r="M1569">
        <v>53</v>
      </c>
      <c r="N1569">
        <v>77</v>
      </c>
      <c r="O1569">
        <v>337</v>
      </c>
      <c r="P1569">
        <v>67.400000000000006</v>
      </c>
      <c r="Q1569" t="s">
        <v>26</v>
      </c>
      <c r="R1569" t="s">
        <v>27</v>
      </c>
      <c r="S1569">
        <v>3754</v>
      </c>
      <c r="T1569" t="s">
        <v>34</v>
      </c>
      <c r="U1569" t="str">
        <f t="shared" si="24"/>
        <v>Pass</v>
      </c>
    </row>
    <row r="1570" spans="1:21">
      <c r="A1570" t="s">
        <v>2807</v>
      </c>
      <c r="B1570" t="s">
        <v>439</v>
      </c>
      <c r="C1570" t="s">
        <v>22</v>
      </c>
      <c r="D1570">
        <v>11</v>
      </c>
      <c r="E1570" t="s">
        <v>47</v>
      </c>
      <c r="F1570">
        <v>16</v>
      </c>
      <c r="G1570" t="s">
        <v>58</v>
      </c>
      <c r="H1570" t="s">
        <v>2808</v>
      </c>
      <c r="I1570">
        <v>75</v>
      </c>
      <c r="J1570">
        <v>56</v>
      </c>
      <c r="K1570">
        <v>68</v>
      </c>
      <c r="L1570">
        <v>100</v>
      </c>
      <c r="M1570">
        <v>94</v>
      </c>
      <c r="N1570">
        <v>66</v>
      </c>
      <c r="O1570">
        <v>384</v>
      </c>
      <c r="P1570">
        <v>76.8</v>
      </c>
      <c r="Q1570" t="s">
        <v>40</v>
      </c>
      <c r="R1570" t="s">
        <v>41</v>
      </c>
      <c r="S1570">
        <v>2810</v>
      </c>
      <c r="T1570" t="s">
        <v>28</v>
      </c>
      <c r="U1570" t="str">
        <f t="shared" si="24"/>
        <v>Pass</v>
      </c>
    </row>
    <row r="1571" spans="1:21">
      <c r="A1571" t="s">
        <v>2809</v>
      </c>
      <c r="B1571" t="s">
        <v>562</v>
      </c>
      <c r="C1571" t="s">
        <v>37</v>
      </c>
      <c r="D1571">
        <v>11</v>
      </c>
      <c r="E1571" t="s">
        <v>23</v>
      </c>
      <c r="F1571">
        <v>15</v>
      </c>
      <c r="G1571" t="s">
        <v>58</v>
      </c>
      <c r="H1571" t="s">
        <v>914</v>
      </c>
      <c r="I1571">
        <v>71</v>
      </c>
      <c r="J1571">
        <v>87</v>
      </c>
      <c r="K1571">
        <v>91</v>
      </c>
      <c r="L1571">
        <v>96</v>
      </c>
      <c r="M1571">
        <v>90</v>
      </c>
      <c r="N1571">
        <v>59</v>
      </c>
      <c r="O1571">
        <v>423</v>
      </c>
      <c r="P1571">
        <v>84.6</v>
      </c>
      <c r="Q1571" t="s">
        <v>47</v>
      </c>
      <c r="R1571" t="s">
        <v>41</v>
      </c>
      <c r="S1571">
        <v>2441</v>
      </c>
      <c r="T1571" t="s">
        <v>28</v>
      </c>
      <c r="U1571" t="str">
        <f t="shared" si="24"/>
        <v>Pass</v>
      </c>
    </row>
    <row r="1572" spans="1:21">
      <c r="A1572" t="s">
        <v>2810</v>
      </c>
      <c r="B1572" t="s">
        <v>239</v>
      </c>
      <c r="C1572" t="s">
        <v>22</v>
      </c>
      <c r="D1572">
        <v>8</v>
      </c>
      <c r="E1572" t="s">
        <v>47</v>
      </c>
      <c r="F1572">
        <v>14</v>
      </c>
      <c r="G1572" t="s">
        <v>38</v>
      </c>
      <c r="H1572" t="s">
        <v>2811</v>
      </c>
      <c r="I1572">
        <v>65</v>
      </c>
      <c r="J1572">
        <v>41</v>
      </c>
      <c r="K1572">
        <v>75</v>
      </c>
      <c r="L1572">
        <v>76</v>
      </c>
      <c r="M1572">
        <v>91</v>
      </c>
      <c r="N1572">
        <v>52</v>
      </c>
      <c r="O1572">
        <v>335</v>
      </c>
      <c r="P1572">
        <v>67</v>
      </c>
      <c r="Q1572" t="s">
        <v>26</v>
      </c>
      <c r="R1572" t="s">
        <v>27</v>
      </c>
      <c r="S1572">
        <v>3411</v>
      </c>
      <c r="T1572" t="s">
        <v>34</v>
      </c>
      <c r="U1572" t="str">
        <f t="shared" si="24"/>
        <v>Pass</v>
      </c>
    </row>
    <row r="1573" spans="1:21">
      <c r="A1573" t="s">
        <v>2812</v>
      </c>
      <c r="B1573" t="s">
        <v>614</v>
      </c>
      <c r="C1573" t="s">
        <v>22</v>
      </c>
      <c r="D1573">
        <v>9</v>
      </c>
      <c r="E1573" t="s">
        <v>47</v>
      </c>
      <c r="F1573">
        <v>13</v>
      </c>
      <c r="G1573" t="s">
        <v>24</v>
      </c>
      <c r="H1573" t="s">
        <v>387</v>
      </c>
      <c r="I1573">
        <v>68</v>
      </c>
      <c r="J1573">
        <v>51</v>
      </c>
      <c r="K1573">
        <v>59</v>
      </c>
      <c r="L1573">
        <v>84</v>
      </c>
      <c r="M1573">
        <v>50</v>
      </c>
      <c r="N1573">
        <v>81</v>
      </c>
      <c r="O1573">
        <v>325</v>
      </c>
      <c r="P1573">
        <v>65</v>
      </c>
      <c r="Q1573" t="s">
        <v>26</v>
      </c>
      <c r="R1573" t="s">
        <v>41</v>
      </c>
      <c r="S1573">
        <v>4146</v>
      </c>
      <c r="T1573" t="s">
        <v>28</v>
      </c>
      <c r="U1573" t="str">
        <f t="shared" si="24"/>
        <v>Pass</v>
      </c>
    </row>
    <row r="1574" spans="1:21">
      <c r="A1574" t="s">
        <v>2813</v>
      </c>
      <c r="B1574" t="s">
        <v>332</v>
      </c>
      <c r="C1574" t="s">
        <v>37</v>
      </c>
      <c r="D1574">
        <v>11</v>
      </c>
      <c r="E1574" t="s">
        <v>23</v>
      </c>
      <c r="F1574">
        <v>17</v>
      </c>
      <c r="G1574" t="s">
        <v>45</v>
      </c>
      <c r="H1574" t="s">
        <v>429</v>
      </c>
      <c r="I1574">
        <v>94</v>
      </c>
      <c r="J1574">
        <v>72</v>
      </c>
      <c r="K1574">
        <v>89</v>
      </c>
      <c r="L1574">
        <v>39</v>
      </c>
      <c r="M1574">
        <v>52</v>
      </c>
      <c r="N1574">
        <v>97</v>
      </c>
      <c r="O1574">
        <v>349</v>
      </c>
      <c r="P1574">
        <v>69.8</v>
      </c>
      <c r="Q1574" t="s">
        <v>26</v>
      </c>
      <c r="R1574" t="s">
        <v>41</v>
      </c>
      <c r="S1574">
        <v>4842</v>
      </c>
      <c r="T1574" t="s">
        <v>34</v>
      </c>
      <c r="U1574" t="str">
        <f t="shared" si="24"/>
        <v>Pass</v>
      </c>
    </row>
    <row r="1575" spans="1:21">
      <c r="A1575" t="s">
        <v>2814</v>
      </c>
      <c r="B1575" t="s">
        <v>99</v>
      </c>
      <c r="C1575" t="s">
        <v>22</v>
      </c>
      <c r="D1575">
        <v>11</v>
      </c>
      <c r="E1575" t="s">
        <v>31</v>
      </c>
      <c r="F1575">
        <v>15</v>
      </c>
      <c r="G1575" t="s">
        <v>45</v>
      </c>
      <c r="H1575" t="s">
        <v>979</v>
      </c>
      <c r="I1575">
        <v>84</v>
      </c>
      <c r="J1575">
        <v>50</v>
      </c>
      <c r="K1575">
        <v>100</v>
      </c>
      <c r="L1575">
        <v>65</v>
      </c>
      <c r="M1575">
        <v>53</v>
      </c>
      <c r="N1575">
        <v>95</v>
      </c>
      <c r="O1575">
        <v>363</v>
      </c>
      <c r="P1575">
        <v>72.599999999999994</v>
      </c>
      <c r="Q1575" t="s">
        <v>40</v>
      </c>
      <c r="R1575" t="s">
        <v>41</v>
      </c>
      <c r="S1575">
        <v>4854</v>
      </c>
      <c r="T1575" t="s">
        <v>48</v>
      </c>
      <c r="U1575" t="str">
        <f t="shared" si="24"/>
        <v>Pass</v>
      </c>
    </row>
    <row r="1576" spans="1:21">
      <c r="A1576" t="s">
        <v>2815</v>
      </c>
      <c r="B1576" t="s">
        <v>175</v>
      </c>
      <c r="C1576" t="s">
        <v>37</v>
      </c>
      <c r="D1576">
        <v>2</v>
      </c>
      <c r="E1576" t="s">
        <v>47</v>
      </c>
      <c r="F1576">
        <v>8</v>
      </c>
      <c r="G1576" t="s">
        <v>64</v>
      </c>
      <c r="H1576" t="s">
        <v>2203</v>
      </c>
      <c r="I1576">
        <v>72</v>
      </c>
      <c r="J1576">
        <v>92</v>
      </c>
      <c r="K1576">
        <v>98</v>
      </c>
      <c r="L1576">
        <v>69</v>
      </c>
      <c r="M1576">
        <v>61</v>
      </c>
      <c r="N1576">
        <v>100</v>
      </c>
      <c r="O1576">
        <v>420</v>
      </c>
      <c r="P1576">
        <v>84</v>
      </c>
      <c r="Q1576" t="s">
        <v>47</v>
      </c>
      <c r="R1576" t="s">
        <v>41</v>
      </c>
      <c r="S1576">
        <v>4106</v>
      </c>
      <c r="T1576" t="s">
        <v>34</v>
      </c>
      <c r="U1576" t="str">
        <f t="shared" si="24"/>
        <v>Pass</v>
      </c>
    </row>
    <row r="1577" spans="1:21">
      <c r="A1577" t="s">
        <v>2816</v>
      </c>
      <c r="B1577" t="s">
        <v>75</v>
      </c>
      <c r="C1577" t="s">
        <v>37</v>
      </c>
      <c r="D1577">
        <v>10</v>
      </c>
      <c r="E1577" t="s">
        <v>31</v>
      </c>
      <c r="F1577">
        <v>16</v>
      </c>
      <c r="G1577" t="s">
        <v>54</v>
      </c>
      <c r="H1577" t="s">
        <v>2817</v>
      </c>
      <c r="I1577">
        <v>95</v>
      </c>
      <c r="J1577">
        <v>76</v>
      </c>
      <c r="K1577">
        <v>84</v>
      </c>
      <c r="L1577">
        <v>48</v>
      </c>
      <c r="M1577">
        <v>99</v>
      </c>
      <c r="N1577">
        <v>81</v>
      </c>
      <c r="O1577">
        <v>388</v>
      </c>
      <c r="P1577">
        <v>77.599999999999994</v>
      </c>
      <c r="Q1577" t="s">
        <v>40</v>
      </c>
      <c r="R1577" t="s">
        <v>41</v>
      </c>
      <c r="S1577">
        <v>3681</v>
      </c>
      <c r="T1577" t="s">
        <v>42</v>
      </c>
      <c r="U1577" t="str">
        <f t="shared" si="24"/>
        <v>Pass</v>
      </c>
    </row>
    <row r="1578" spans="1:21">
      <c r="A1578" t="s">
        <v>2818</v>
      </c>
      <c r="B1578" t="s">
        <v>99</v>
      </c>
      <c r="C1578" t="s">
        <v>22</v>
      </c>
      <c r="D1578">
        <v>3</v>
      </c>
      <c r="E1578" t="s">
        <v>26</v>
      </c>
      <c r="F1578">
        <v>7</v>
      </c>
      <c r="G1578" t="s">
        <v>24</v>
      </c>
      <c r="H1578" t="s">
        <v>1377</v>
      </c>
      <c r="I1578">
        <v>77</v>
      </c>
      <c r="J1578">
        <v>62</v>
      </c>
      <c r="K1578">
        <v>83</v>
      </c>
      <c r="L1578">
        <v>79</v>
      </c>
      <c r="M1578">
        <v>58</v>
      </c>
      <c r="N1578">
        <v>67</v>
      </c>
      <c r="O1578">
        <v>349</v>
      </c>
      <c r="P1578">
        <v>69.8</v>
      </c>
      <c r="Q1578" t="s">
        <v>26</v>
      </c>
      <c r="R1578" t="s">
        <v>41</v>
      </c>
      <c r="S1578">
        <v>2797</v>
      </c>
      <c r="T1578" t="s">
        <v>42</v>
      </c>
      <c r="U1578" t="str">
        <f t="shared" si="24"/>
        <v>Pass</v>
      </c>
    </row>
    <row r="1579" spans="1:21">
      <c r="A1579" t="s">
        <v>2819</v>
      </c>
      <c r="B1579" t="s">
        <v>280</v>
      </c>
      <c r="C1579" t="s">
        <v>22</v>
      </c>
      <c r="D1579">
        <v>3</v>
      </c>
      <c r="E1579" t="s">
        <v>26</v>
      </c>
      <c r="F1579">
        <v>9</v>
      </c>
      <c r="G1579" t="s">
        <v>54</v>
      </c>
      <c r="H1579" t="s">
        <v>2490</v>
      </c>
      <c r="I1579">
        <v>92</v>
      </c>
      <c r="J1579">
        <v>42</v>
      </c>
      <c r="K1579">
        <v>55</v>
      </c>
      <c r="L1579">
        <v>78</v>
      </c>
      <c r="M1579">
        <v>95</v>
      </c>
      <c r="N1579">
        <v>58</v>
      </c>
      <c r="O1579">
        <v>328</v>
      </c>
      <c r="P1579">
        <v>65.599999999999994</v>
      </c>
      <c r="Q1579" t="s">
        <v>26</v>
      </c>
      <c r="R1579" t="s">
        <v>41</v>
      </c>
      <c r="S1579">
        <v>2619</v>
      </c>
      <c r="T1579" t="s">
        <v>70</v>
      </c>
      <c r="U1579" t="str">
        <f t="shared" si="24"/>
        <v>Pass</v>
      </c>
    </row>
    <row r="1580" spans="1:21">
      <c r="A1580" t="s">
        <v>2820</v>
      </c>
      <c r="B1580" t="s">
        <v>832</v>
      </c>
      <c r="C1580" t="s">
        <v>37</v>
      </c>
      <c r="D1580">
        <v>12</v>
      </c>
      <c r="E1580" t="s">
        <v>26</v>
      </c>
      <c r="F1580">
        <v>17</v>
      </c>
      <c r="G1580" t="s">
        <v>32</v>
      </c>
      <c r="H1580" t="s">
        <v>2631</v>
      </c>
      <c r="I1580">
        <v>60</v>
      </c>
      <c r="J1580">
        <v>78</v>
      </c>
      <c r="K1580">
        <v>45</v>
      </c>
      <c r="L1580">
        <v>78</v>
      </c>
      <c r="M1580">
        <v>41</v>
      </c>
      <c r="N1580">
        <v>92</v>
      </c>
      <c r="O1580">
        <v>334</v>
      </c>
      <c r="P1580">
        <v>66.8</v>
      </c>
      <c r="Q1580" t="s">
        <v>26</v>
      </c>
      <c r="R1580" t="s">
        <v>27</v>
      </c>
      <c r="S1580">
        <v>3002</v>
      </c>
      <c r="T1580" t="s">
        <v>42</v>
      </c>
      <c r="U1580" t="str">
        <f t="shared" si="24"/>
        <v>Pass</v>
      </c>
    </row>
    <row r="1581" spans="1:21">
      <c r="A1581" t="s">
        <v>2821</v>
      </c>
      <c r="B1581" t="s">
        <v>835</v>
      </c>
      <c r="C1581" t="s">
        <v>37</v>
      </c>
      <c r="D1581">
        <v>3</v>
      </c>
      <c r="E1581" t="s">
        <v>23</v>
      </c>
      <c r="F1581">
        <v>7</v>
      </c>
      <c r="G1581" t="s">
        <v>54</v>
      </c>
      <c r="H1581" t="s">
        <v>2822</v>
      </c>
      <c r="I1581">
        <v>72</v>
      </c>
      <c r="J1581">
        <v>42</v>
      </c>
      <c r="K1581">
        <v>93</v>
      </c>
      <c r="L1581">
        <v>51</v>
      </c>
      <c r="M1581">
        <v>69</v>
      </c>
      <c r="N1581">
        <v>98</v>
      </c>
      <c r="O1581">
        <v>353</v>
      </c>
      <c r="P1581">
        <v>70.599999999999994</v>
      </c>
      <c r="Q1581" t="s">
        <v>40</v>
      </c>
      <c r="R1581" t="s">
        <v>27</v>
      </c>
      <c r="S1581">
        <v>2133</v>
      </c>
      <c r="T1581" t="s">
        <v>66</v>
      </c>
      <c r="U1581" t="str">
        <f t="shared" si="24"/>
        <v>Pass</v>
      </c>
    </row>
    <row r="1582" spans="1:21">
      <c r="A1582" t="s">
        <v>2823</v>
      </c>
      <c r="B1582" t="s">
        <v>490</v>
      </c>
      <c r="C1582" t="s">
        <v>22</v>
      </c>
      <c r="D1582">
        <v>7</v>
      </c>
      <c r="E1582" t="s">
        <v>31</v>
      </c>
      <c r="F1582">
        <v>11</v>
      </c>
      <c r="G1582" t="s">
        <v>32</v>
      </c>
      <c r="H1582" t="s">
        <v>2824</v>
      </c>
      <c r="I1582">
        <v>96</v>
      </c>
      <c r="J1582">
        <v>70</v>
      </c>
      <c r="K1582">
        <v>59</v>
      </c>
      <c r="L1582">
        <v>36</v>
      </c>
      <c r="M1582">
        <v>73</v>
      </c>
      <c r="N1582">
        <v>89</v>
      </c>
      <c r="O1582">
        <v>327</v>
      </c>
      <c r="P1582">
        <v>65.400000000000006</v>
      </c>
      <c r="Q1582" t="s">
        <v>26</v>
      </c>
      <c r="R1582" t="s">
        <v>41</v>
      </c>
      <c r="S1582">
        <v>1791</v>
      </c>
      <c r="T1582" t="s">
        <v>66</v>
      </c>
      <c r="U1582" t="str">
        <f t="shared" si="24"/>
        <v>Pass</v>
      </c>
    </row>
    <row r="1583" spans="1:21">
      <c r="A1583" t="s">
        <v>2825</v>
      </c>
      <c r="B1583" t="s">
        <v>277</v>
      </c>
      <c r="C1583" t="s">
        <v>37</v>
      </c>
      <c r="D1583">
        <v>5</v>
      </c>
      <c r="E1583" t="s">
        <v>31</v>
      </c>
      <c r="F1583">
        <v>10</v>
      </c>
      <c r="G1583" t="s">
        <v>54</v>
      </c>
      <c r="H1583" t="s">
        <v>936</v>
      </c>
      <c r="I1583">
        <v>86</v>
      </c>
      <c r="J1583">
        <v>71</v>
      </c>
      <c r="K1583">
        <v>84</v>
      </c>
      <c r="L1583">
        <v>41</v>
      </c>
      <c r="M1583">
        <v>47</v>
      </c>
      <c r="N1583">
        <v>71</v>
      </c>
      <c r="O1583">
        <v>314</v>
      </c>
      <c r="P1583">
        <v>62.8</v>
      </c>
      <c r="Q1583" t="s">
        <v>26</v>
      </c>
      <c r="R1583" t="s">
        <v>27</v>
      </c>
      <c r="S1583">
        <v>3829</v>
      </c>
      <c r="T1583" t="s">
        <v>70</v>
      </c>
      <c r="U1583" t="str">
        <f t="shared" si="24"/>
        <v>Pass</v>
      </c>
    </row>
    <row r="1584" spans="1:21">
      <c r="A1584" t="s">
        <v>2826</v>
      </c>
      <c r="B1584" t="s">
        <v>134</v>
      </c>
      <c r="C1584" t="s">
        <v>37</v>
      </c>
      <c r="D1584">
        <v>9</v>
      </c>
      <c r="E1584" t="s">
        <v>23</v>
      </c>
      <c r="F1584">
        <v>14</v>
      </c>
      <c r="G1584" t="s">
        <v>38</v>
      </c>
      <c r="H1584" t="s">
        <v>2761</v>
      </c>
      <c r="I1584">
        <v>65</v>
      </c>
      <c r="J1584">
        <v>71</v>
      </c>
      <c r="K1584">
        <v>75</v>
      </c>
      <c r="L1584">
        <v>74</v>
      </c>
      <c r="M1584">
        <v>91</v>
      </c>
      <c r="N1584">
        <v>99</v>
      </c>
      <c r="O1584">
        <v>410</v>
      </c>
      <c r="P1584">
        <v>82</v>
      </c>
      <c r="Q1584" t="s">
        <v>47</v>
      </c>
      <c r="R1584" t="s">
        <v>27</v>
      </c>
      <c r="S1584">
        <v>3912</v>
      </c>
      <c r="T1584" t="s">
        <v>28</v>
      </c>
      <c r="U1584" t="str">
        <f t="shared" si="24"/>
        <v>Pass</v>
      </c>
    </row>
    <row r="1585" spans="1:21">
      <c r="A1585" t="s">
        <v>2827</v>
      </c>
      <c r="B1585" t="s">
        <v>319</v>
      </c>
      <c r="C1585" t="s">
        <v>22</v>
      </c>
      <c r="D1585">
        <v>10</v>
      </c>
      <c r="E1585" t="s">
        <v>31</v>
      </c>
      <c r="F1585">
        <v>14</v>
      </c>
      <c r="G1585" t="s">
        <v>64</v>
      </c>
      <c r="H1585" t="s">
        <v>2711</v>
      </c>
      <c r="I1585">
        <v>80</v>
      </c>
      <c r="J1585">
        <v>71</v>
      </c>
      <c r="K1585">
        <v>66</v>
      </c>
      <c r="L1585">
        <v>36</v>
      </c>
      <c r="M1585">
        <v>74</v>
      </c>
      <c r="N1585">
        <v>53</v>
      </c>
      <c r="O1585">
        <v>300</v>
      </c>
      <c r="P1585">
        <v>60</v>
      </c>
      <c r="Q1585" t="s">
        <v>26</v>
      </c>
      <c r="R1585" t="s">
        <v>41</v>
      </c>
      <c r="S1585">
        <v>2329</v>
      </c>
      <c r="T1585" t="s">
        <v>34</v>
      </c>
      <c r="U1585" t="str">
        <f t="shared" si="24"/>
        <v>Pass</v>
      </c>
    </row>
    <row r="1586" spans="1:21">
      <c r="A1586" t="s">
        <v>2828</v>
      </c>
      <c r="B1586" t="s">
        <v>160</v>
      </c>
      <c r="C1586" t="s">
        <v>37</v>
      </c>
      <c r="D1586">
        <v>4</v>
      </c>
      <c r="E1586" t="s">
        <v>47</v>
      </c>
      <c r="F1586">
        <v>8</v>
      </c>
      <c r="G1586" t="s">
        <v>58</v>
      </c>
      <c r="H1586" t="s">
        <v>143</v>
      </c>
      <c r="I1586">
        <v>90</v>
      </c>
      <c r="J1586">
        <v>89</v>
      </c>
      <c r="K1586">
        <v>45</v>
      </c>
      <c r="L1586">
        <v>69</v>
      </c>
      <c r="M1586">
        <v>88</v>
      </c>
      <c r="N1586">
        <v>59</v>
      </c>
      <c r="O1586">
        <v>350</v>
      </c>
      <c r="P1586">
        <v>70</v>
      </c>
      <c r="Q1586" t="s">
        <v>40</v>
      </c>
      <c r="R1586" t="s">
        <v>27</v>
      </c>
      <c r="S1586">
        <v>2700</v>
      </c>
      <c r="T1586" t="s">
        <v>48</v>
      </c>
      <c r="U1586" t="str">
        <f t="shared" si="24"/>
        <v>Pass</v>
      </c>
    </row>
    <row r="1587" spans="1:21">
      <c r="A1587" t="s">
        <v>2829</v>
      </c>
      <c r="B1587" t="s">
        <v>134</v>
      </c>
      <c r="C1587" t="s">
        <v>37</v>
      </c>
      <c r="D1587">
        <v>12</v>
      </c>
      <c r="E1587" t="s">
        <v>31</v>
      </c>
      <c r="F1587">
        <v>17</v>
      </c>
      <c r="G1587" t="s">
        <v>64</v>
      </c>
      <c r="H1587" t="s">
        <v>2830</v>
      </c>
      <c r="I1587">
        <v>87</v>
      </c>
      <c r="J1587">
        <v>91</v>
      </c>
      <c r="K1587">
        <v>59</v>
      </c>
      <c r="L1587">
        <v>46</v>
      </c>
      <c r="M1587">
        <v>49</v>
      </c>
      <c r="N1587">
        <v>99</v>
      </c>
      <c r="O1587">
        <v>344</v>
      </c>
      <c r="P1587">
        <v>68.8</v>
      </c>
      <c r="Q1587" t="s">
        <v>26</v>
      </c>
      <c r="R1587" t="s">
        <v>41</v>
      </c>
      <c r="S1587">
        <v>4149</v>
      </c>
      <c r="T1587" t="s">
        <v>34</v>
      </c>
      <c r="U1587" t="str">
        <f t="shared" si="24"/>
        <v>Pass</v>
      </c>
    </row>
    <row r="1588" spans="1:21">
      <c r="A1588" t="s">
        <v>2831</v>
      </c>
      <c r="B1588" t="s">
        <v>253</v>
      </c>
      <c r="C1588" t="s">
        <v>37</v>
      </c>
      <c r="D1588">
        <v>11</v>
      </c>
      <c r="E1588" t="s">
        <v>47</v>
      </c>
      <c r="F1588">
        <v>17</v>
      </c>
      <c r="G1588" t="s">
        <v>32</v>
      </c>
      <c r="H1588" t="s">
        <v>2181</v>
      </c>
      <c r="I1588">
        <v>73</v>
      </c>
      <c r="J1588">
        <v>35</v>
      </c>
      <c r="K1588">
        <v>71</v>
      </c>
      <c r="L1588">
        <v>86</v>
      </c>
      <c r="M1588">
        <v>43</v>
      </c>
      <c r="N1588">
        <v>57</v>
      </c>
      <c r="O1588">
        <v>292</v>
      </c>
      <c r="P1588">
        <v>58.4</v>
      </c>
      <c r="Q1588" t="s">
        <v>31</v>
      </c>
      <c r="R1588" t="s">
        <v>27</v>
      </c>
      <c r="S1588">
        <v>3097</v>
      </c>
      <c r="T1588" t="s">
        <v>28</v>
      </c>
      <c r="U1588" t="str">
        <f t="shared" si="24"/>
        <v>Pass</v>
      </c>
    </row>
    <row r="1589" spans="1:21">
      <c r="A1589" t="s">
        <v>2832</v>
      </c>
      <c r="B1589" t="s">
        <v>184</v>
      </c>
      <c r="C1589" t="s">
        <v>37</v>
      </c>
      <c r="D1589">
        <v>5</v>
      </c>
      <c r="E1589" t="s">
        <v>47</v>
      </c>
      <c r="F1589">
        <v>9</v>
      </c>
      <c r="G1589" t="s">
        <v>45</v>
      </c>
      <c r="H1589" t="s">
        <v>1179</v>
      </c>
      <c r="I1589">
        <v>64</v>
      </c>
      <c r="J1589">
        <v>57</v>
      </c>
      <c r="K1589">
        <v>96</v>
      </c>
      <c r="L1589">
        <v>65</v>
      </c>
      <c r="M1589">
        <v>64</v>
      </c>
      <c r="N1589">
        <v>64</v>
      </c>
      <c r="O1589">
        <v>346</v>
      </c>
      <c r="P1589">
        <v>69.2</v>
      </c>
      <c r="Q1589" t="s">
        <v>26</v>
      </c>
      <c r="R1589" t="s">
        <v>41</v>
      </c>
      <c r="S1589">
        <v>4354</v>
      </c>
      <c r="T1589" t="s">
        <v>34</v>
      </c>
      <c r="U1589" t="str">
        <f t="shared" si="24"/>
        <v>Pass</v>
      </c>
    </row>
    <row r="1590" spans="1:21">
      <c r="A1590" t="s">
        <v>2833</v>
      </c>
      <c r="B1590" t="s">
        <v>350</v>
      </c>
      <c r="C1590" t="s">
        <v>37</v>
      </c>
      <c r="D1590">
        <v>3</v>
      </c>
      <c r="E1590" t="s">
        <v>31</v>
      </c>
      <c r="F1590">
        <v>9</v>
      </c>
      <c r="G1590" t="s">
        <v>24</v>
      </c>
      <c r="H1590" t="s">
        <v>2438</v>
      </c>
      <c r="I1590">
        <v>71</v>
      </c>
      <c r="J1590">
        <v>79</v>
      </c>
      <c r="K1590">
        <v>91</v>
      </c>
      <c r="L1590">
        <v>94</v>
      </c>
      <c r="M1590">
        <v>100</v>
      </c>
      <c r="N1590">
        <v>67</v>
      </c>
      <c r="O1590">
        <v>431</v>
      </c>
      <c r="P1590">
        <v>86.2</v>
      </c>
      <c r="Q1590" t="s">
        <v>47</v>
      </c>
      <c r="R1590" t="s">
        <v>41</v>
      </c>
      <c r="S1590">
        <v>2650</v>
      </c>
      <c r="T1590" t="s">
        <v>28</v>
      </c>
      <c r="U1590" t="str">
        <f t="shared" si="24"/>
        <v>Pass</v>
      </c>
    </row>
    <row r="1591" spans="1:21">
      <c r="A1591" t="s">
        <v>2834</v>
      </c>
      <c r="B1591" t="s">
        <v>165</v>
      </c>
      <c r="C1591" t="s">
        <v>22</v>
      </c>
      <c r="D1591">
        <v>7</v>
      </c>
      <c r="E1591" t="s">
        <v>26</v>
      </c>
      <c r="F1591">
        <v>13</v>
      </c>
      <c r="G1591" t="s">
        <v>64</v>
      </c>
      <c r="H1591" t="s">
        <v>2835</v>
      </c>
      <c r="I1591">
        <v>61</v>
      </c>
      <c r="J1591">
        <v>42</v>
      </c>
      <c r="K1591">
        <v>71</v>
      </c>
      <c r="L1591">
        <v>54</v>
      </c>
      <c r="M1591">
        <v>100</v>
      </c>
      <c r="N1591">
        <v>93</v>
      </c>
      <c r="O1591">
        <v>360</v>
      </c>
      <c r="P1591">
        <v>72</v>
      </c>
      <c r="Q1591" t="s">
        <v>40</v>
      </c>
      <c r="R1591" t="s">
        <v>41</v>
      </c>
      <c r="S1591">
        <v>1708</v>
      </c>
      <c r="T1591" t="s">
        <v>70</v>
      </c>
      <c r="U1591" t="str">
        <f t="shared" si="24"/>
        <v>Pass</v>
      </c>
    </row>
    <row r="1592" spans="1:21">
      <c r="A1592" t="s">
        <v>2836</v>
      </c>
      <c r="B1592" t="s">
        <v>386</v>
      </c>
      <c r="C1592" t="s">
        <v>37</v>
      </c>
      <c r="D1592">
        <v>3</v>
      </c>
      <c r="E1592" t="s">
        <v>26</v>
      </c>
      <c r="F1592">
        <v>7</v>
      </c>
      <c r="G1592" t="s">
        <v>38</v>
      </c>
      <c r="H1592" t="s">
        <v>2837</v>
      </c>
      <c r="I1592">
        <v>68</v>
      </c>
      <c r="J1592">
        <v>78</v>
      </c>
      <c r="K1592">
        <v>42</v>
      </c>
      <c r="L1592">
        <v>56</v>
      </c>
      <c r="M1592">
        <v>64</v>
      </c>
      <c r="N1592">
        <v>60</v>
      </c>
      <c r="O1592">
        <v>300</v>
      </c>
      <c r="P1592">
        <v>60</v>
      </c>
      <c r="Q1592" t="s">
        <v>26</v>
      </c>
      <c r="R1592" t="s">
        <v>27</v>
      </c>
      <c r="S1592">
        <v>4666</v>
      </c>
      <c r="T1592" t="s">
        <v>28</v>
      </c>
      <c r="U1592" t="str">
        <f t="shared" si="24"/>
        <v>Pass</v>
      </c>
    </row>
    <row r="1593" spans="1:21">
      <c r="A1593" t="s">
        <v>2838</v>
      </c>
      <c r="B1593" t="s">
        <v>99</v>
      </c>
      <c r="C1593" t="s">
        <v>22</v>
      </c>
      <c r="D1593">
        <v>1</v>
      </c>
      <c r="E1593" t="s">
        <v>23</v>
      </c>
      <c r="F1593">
        <v>6</v>
      </c>
      <c r="G1593" t="s">
        <v>24</v>
      </c>
      <c r="H1593" t="s">
        <v>1462</v>
      </c>
      <c r="I1593">
        <v>95</v>
      </c>
      <c r="J1593">
        <v>55</v>
      </c>
      <c r="K1593">
        <v>44</v>
      </c>
      <c r="L1593">
        <v>55</v>
      </c>
      <c r="M1593">
        <v>95</v>
      </c>
      <c r="N1593">
        <v>69</v>
      </c>
      <c r="O1593">
        <v>318</v>
      </c>
      <c r="P1593">
        <v>63.6</v>
      </c>
      <c r="Q1593" t="s">
        <v>26</v>
      </c>
      <c r="R1593" t="s">
        <v>41</v>
      </c>
      <c r="S1593">
        <v>3556</v>
      </c>
      <c r="T1593" t="s">
        <v>42</v>
      </c>
      <c r="U1593" t="str">
        <f t="shared" si="24"/>
        <v>Pass</v>
      </c>
    </row>
    <row r="1594" spans="1:21">
      <c r="A1594" t="s">
        <v>2839</v>
      </c>
      <c r="B1594" t="s">
        <v>562</v>
      </c>
      <c r="C1594" t="s">
        <v>37</v>
      </c>
      <c r="D1594">
        <v>5</v>
      </c>
      <c r="E1594" t="s">
        <v>26</v>
      </c>
      <c r="F1594">
        <v>10</v>
      </c>
      <c r="G1594" t="s">
        <v>38</v>
      </c>
      <c r="H1594" t="s">
        <v>2840</v>
      </c>
      <c r="I1594">
        <v>62</v>
      </c>
      <c r="J1594">
        <v>65</v>
      </c>
      <c r="K1594">
        <v>61</v>
      </c>
      <c r="L1594">
        <v>48</v>
      </c>
      <c r="M1594">
        <v>58</v>
      </c>
      <c r="N1594">
        <v>72</v>
      </c>
      <c r="O1594">
        <v>304</v>
      </c>
      <c r="P1594">
        <v>60.8</v>
      </c>
      <c r="Q1594" t="s">
        <v>26</v>
      </c>
      <c r="R1594" t="s">
        <v>27</v>
      </c>
      <c r="S1594">
        <v>3207</v>
      </c>
      <c r="T1594" t="s">
        <v>70</v>
      </c>
      <c r="U1594" t="str">
        <f t="shared" si="24"/>
        <v>Pass</v>
      </c>
    </row>
    <row r="1595" spans="1:21">
      <c r="A1595" t="s">
        <v>2841</v>
      </c>
      <c r="B1595" t="s">
        <v>99</v>
      </c>
      <c r="C1595" t="s">
        <v>22</v>
      </c>
      <c r="D1595">
        <v>9</v>
      </c>
      <c r="E1595" t="s">
        <v>47</v>
      </c>
      <c r="F1595">
        <v>14</v>
      </c>
      <c r="G1595" t="s">
        <v>58</v>
      </c>
      <c r="H1595" t="s">
        <v>1823</v>
      </c>
      <c r="I1595">
        <v>69</v>
      </c>
      <c r="J1595">
        <v>97</v>
      </c>
      <c r="K1595">
        <v>96</v>
      </c>
      <c r="L1595">
        <v>54</v>
      </c>
      <c r="M1595">
        <v>74</v>
      </c>
      <c r="N1595">
        <v>46</v>
      </c>
      <c r="O1595">
        <v>367</v>
      </c>
      <c r="P1595">
        <v>73.400000000000006</v>
      </c>
      <c r="Q1595" t="s">
        <v>40</v>
      </c>
      <c r="R1595" t="s">
        <v>27</v>
      </c>
      <c r="S1595">
        <v>4219</v>
      </c>
      <c r="T1595" t="s">
        <v>48</v>
      </c>
      <c r="U1595" t="str">
        <f t="shared" si="24"/>
        <v>Pass</v>
      </c>
    </row>
    <row r="1596" spans="1:21">
      <c r="A1596" t="s">
        <v>2842</v>
      </c>
      <c r="B1596" t="s">
        <v>190</v>
      </c>
      <c r="C1596" t="s">
        <v>37</v>
      </c>
      <c r="D1596">
        <v>2</v>
      </c>
      <c r="E1596" t="s">
        <v>47</v>
      </c>
      <c r="F1596">
        <v>8</v>
      </c>
      <c r="G1596" t="s">
        <v>54</v>
      </c>
      <c r="H1596" t="s">
        <v>2701</v>
      </c>
      <c r="I1596">
        <v>75</v>
      </c>
      <c r="J1596">
        <v>52</v>
      </c>
      <c r="K1596">
        <v>59</v>
      </c>
      <c r="L1596">
        <v>37</v>
      </c>
      <c r="M1596">
        <v>55</v>
      </c>
      <c r="N1596">
        <v>76</v>
      </c>
      <c r="O1596">
        <v>279</v>
      </c>
      <c r="P1596">
        <v>55.8</v>
      </c>
      <c r="Q1596" t="s">
        <v>31</v>
      </c>
      <c r="R1596" t="s">
        <v>41</v>
      </c>
      <c r="S1596">
        <v>2177</v>
      </c>
      <c r="T1596" t="s">
        <v>48</v>
      </c>
      <c r="U1596" t="str">
        <f t="shared" si="24"/>
        <v>Pass</v>
      </c>
    </row>
    <row r="1597" spans="1:21">
      <c r="A1597" t="s">
        <v>2843</v>
      </c>
      <c r="B1597" t="s">
        <v>365</v>
      </c>
      <c r="C1597" t="s">
        <v>37</v>
      </c>
      <c r="D1597">
        <v>7</v>
      </c>
      <c r="E1597" t="s">
        <v>23</v>
      </c>
      <c r="F1597">
        <v>11</v>
      </c>
      <c r="G1597" t="s">
        <v>64</v>
      </c>
      <c r="H1597" t="s">
        <v>936</v>
      </c>
      <c r="I1597">
        <v>85</v>
      </c>
      <c r="J1597">
        <v>80</v>
      </c>
      <c r="K1597">
        <v>77</v>
      </c>
      <c r="L1597">
        <v>66</v>
      </c>
      <c r="M1597">
        <v>92</v>
      </c>
      <c r="N1597">
        <v>59</v>
      </c>
      <c r="O1597">
        <v>374</v>
      </c>
      <c r="P1597">
        <v>74.8</v>
      </c>
      <c r="Q1597" t="s">
        <v>40</v>
      </c>
      <c r="R1597" t="s">
        <v>27</v>
      </c>
      <c r="S1597">
        <v>2458</v>
      </c>
      <c r="T1597" t="s">
        <v>42</v>
      </c>
      <c r="U1597" t="str">
        <f t="shared" si="24"/>
        <v>Pass</v>
      </c>
    </row>
    <row r="1598" spans="1:21">
      <c r="A1598" t="s">
        <v>2844</v>
      </c>
      <c r="B1598" t="s">
        <v>913</v>
      </c>
      <c r="C1598" t="s">
        <v>37</v>
      </c>
      <c r="D1598">
        <v>10</v>
      </c>
      <c r="E1598" t="s">
        <v>47</v>
      </c>
      <c r="F1598">
        <v>16</v>
      </c>
      <c r="G1598" t="s">
        <v>24</v>
      </c>
      <c r="H1598" t="s">
        <v>1504</v>
      </c>
      <c r="I1598">
        <v>69</v>
      </c>
      <c r="J1598">
        <v>79</v>
      </c>
      <c r="K1598">
        <v>66</v>
      </c>
      <c r="L1598">
        <v>76</v>
      </c>
      <c r="M1598">
        <v>97</v>
      </c>
      <c r="N1598">
        <v>42</v>
      </c>
      <c r="O1598">
        <v>360</v>
      </c>
      <c r="P1598">
        <v>72</v>
      </c>
      <c r="Q1598" t="s">
        <v>40</v>
      </c>
      <c r="R1598" t="s">
        <v>27</v>
      </c>
      <c r="S1598">
        <v>4823</v>
      </c>
      <c r="T1598" t="s">
        <v>28</v>
      </c>
      <c r="U1598" t="str">
        <f t="shared" si="24"/>
        <v>Pass</v>
      </c>
    </row>
    <row r="1599" spans="1:21">
      <c r="A1599" t="s">
        <v>2845</v>
      </c>
      <c r="B1599" t="s">
        <v>389</v>
      </c>
      <c r="C1599" t="s">
        <v>22</v>
      </c>
      <c r="D1599">
        <v>8</v>
      </c>
      <c r="E1599" t="s">
        <v>26</v>
      </c>
      <c r="F1599">
        <v>12</v>
      </c>
      <c r="G1599" t="s">
        <v>38</v>
      </c>
      <c r="H1599" t="s">
        <v>917</v>
      </c>
      <c r="I1599">
        <v>78</v>
      </c>
      <c r="J1599">
        <v>62</v>
      </c>
      <c r="K1599">
        <v>81</v>
      </c>
      <c r="L1599">
        <v>70</v>
      </c>
      <c r="M1599">
        <v>58</v>
      </c>
      <c r="N1599">
        <v>61</v>
      </c>
      <c r="O1599">
        <v>332</v>
      </c>
      <c r="P1599">
        <v>66.400000000000006</v>
      </c>
      <c r="Q1599" t="s">
        <v>26</v>
      </c>
      <c r="R1599" t="s">
        <v>41</v>
      </c>
      <c r="S1599">
        <v>4918</v>
      </c>
      <c r="T1599" t="s">
        <v>28</v>
      </c>
      <c r="U1599" t="str">
        <f t="shared" si="24"/>
        <v>Pass</v>
      </c>
    </row>
    <row r="1600" spans="1:21">
      <c r="A1600" t="s">
        <v>2846</v>
      </c>
      <c r="B1600" t="s">
        <v>389</v>
      </c>
      <c r="C1600" t="s">
        <v>37</v>
      </c>
      <c r="D1600">
        <v>8</v>
      </c>
      <c r="E1600" t="s">
        <v>26</v>
      </c>
      <c r="F1600">
        <v>13</v>
      </c>
      <c r="G1600" t="s">
        <v>32</v>
      </c>
      <c r="H1600" t="s">
        <v>2847</v>
      </c>
      <c r="I1600">
        <v>91</v>
      </c>
      <c r="J1600">
        <v>77</v>
      </c>
      <c r="K1600">
        <v>75</v>
      </c>
      <c r="L1600">
        <v>36</v>
      </c>
      <c r="M1600">
        <v>37</v>
      </c>
      <c r="N1600">
        <v>40</v>
      </c>
      <c r="O1600">
        <v>265</v>
      </c>
      <c r="P1600">
        <v>53</v>
      </c>
      <c r="Q1600" t="s">
        <v>31</v>
      </c>
      <c r="R1600" t="s">
        <v>41</v>
      </c>
      <c r="S1600">
        <v>3708</v>
      </c>
      <c r="T1600" t="s">
        <v>48</v>
      </c>
      <c r="U1600" t="str">
        <f t="shared" si="24"/>
        <v>Fail</v>
      </c>
    </row>
    <row r="1601" spans="1:21">
      <c r="A1601" t="s">
        <v>2848</v>
      </c>
      <c r="B1601" t="s">
        <v>359</v>
      </c>
      <c r="C1601" t="s">
        <v>22</v>
      </c>
      <c r="D1601">
        <v>8</v>
      </c>
      <c r="E1601" t="s">
        <v>26</v>
      </c>
      <c r="F1601">
        <v>13</v>
      </c>
      <c r="G1601" t="s">
        <v>64</v>
      </c>
      <c r="H1601" t="s">
        <v>1665</v>
      </c>
      <c r="I1601">
        <v>63</v>
      </c>
      <c r="J1601">
        <v>84</v>
      </c>
      <c r="K1601">
        <v>87</v>
      </c>
      <c r="L1601">
        <v>69</v>
      </c>
      <c r="M1601">
        <v>76</v>
      </c>
      <c r="N1601">
        <v>75</v>
      </c>
      <c r="O1601">
        <v>391</v>
      </c>
      <c r="P1601">
        <v>78.2</v>
      </c>
      <c r="Q1601" t="s">
        <v>40</v>
      </c>
      <c r="R1601" t="s">
        <v>41</v>
      </c>
      <c r="S1601">
        <v>3199</v>
      </c>
      <c r="T1601" t="s">
        <v>34</v>
      </c>
      <c r="U1601" t="str">
        <f t="shared" si="24"/>
        <v>Pass</v>
      </c>
    </row>
    <row r="1602" spans="1:21">
      <c r="A1602" t="s">
        <v>2849</v>
      </c>
      <c r="B1602" t="s">
        <v>242</v>
      </c>
      <c r="C1602" t="s">
        <v>37</v>
      </c>
      <c r="D1602">
        <v>3</v>
      </c>
      <c r="E1602" t="s">
        <v>26</v>
      </c>
      <c r="F1602">
        <v>9</v>
      </c>
      <c r="G1602" t="s">
        <v>45</v>
      </c>
      <c r="H1602" t="s">
        <v>1933</v>
      </c>
      <c r="I1602">
        <v>63</v>
      </c>
      <c r="J1602">
        <v>99</v>
      </c>
      <c r="K1602">
        <v>93</v>
      </c>
      <c r="L1602">
        <v>88</v>
      </c>
      <c r="M1602">
        <v>48</v>
      </c>
      <c r="N1602">
        <v>50</v>
      </c>
      <c r="O1602">
        <v>378</v>
      </c>
      <c r="P1602">
        <v>75.599999999999994</v>
      </c>
      <c r="Q1602" t="s">
        <v>40</v>
      </c>
      <c r="R1602" t="s">
        <v>41</v>
      </c>
      <c r="S1602">
        <v>3140</v>
      </c>
      <c r="T1602" t="s">
        <v>34</v>
      </c>
      <c r="U1602" t="str">
        <f t="shared" si="24"/>
        <v>Pass</v>
      </c>
    </row>
    <row r="1603" spans="1:21">
      <c r="A1603" t="s">
        <v>2850</v>
      </c>
      <c r="B1603" t="s">
        <v>579</v>
      </c>
      <c r="C1603" t="s">
        <v>37</v>
      </c>
      <c r="D1603">
        <v>3</v>
      </c>
      <c r="E1603" t="s">
        <v>47</v>
      </c>
      <c r="F1603">
        <v>9</v>
      </c>
      <c r="G1603" t="s">
        <v>54</v>
      </c>
      <c r="H1603" t="s">
        <v>1222</v>
      </c>
      <c r="I1603">
        <v>93</v>
      </c>
      <c r="J1603">
        <v>67</v>
      </c>
      <c r="K1603">
        <v>79</v>
      </c>
      <c r="L1603">
        <v>97</v>
      </c>
      <c r="M1603">
        <v>98</v>
      </c>
      <c r="N1603">
        <v>75</v>
      </c>
      <c r="O1603">
        <v>416</v>
      </c>
      <c r="P1603">
        <v>83.2</v>
      </c>
      <c r="Q1603" t="s">
        <v>47</v>
      </c>
      <c r="R1603" t="s">
        <v>27</v>
      </c>
      <c r="S1603">
        <v>3448</v>
      </c>
      <c r="T1603" t="s">
        <v>66</v>
      </c>
      <c r="U1603" t="str">
        <f t="shared" ref="U1603:U1666" si="25">IF(P1603&gt;55,"Pass","Fail")</f>
        <v>Pass</v>
      </c>
    </row>
    <row r="1604" spans="1:21">
      <c r="A1604" t="s">
        <v>2851</v>
      </c>
      <c r="B1604" t="s">
        <v>123</v>
      </c>
      <c r="C1604" t="s">
        <v>37</v>
      </c>
      <c r="D1604">
        <v>4</v>
      </c>
      <c r="E1604" t="s">
        <v>23</v>
      </c>
      <c r="F1604">
        <v>10</v>
      </c>
      <c r="G1604" t="s">
        <v>54</v>
      </c>
      <c r="H1604" t="s">
        <v>46</v>
      </c>
      <c r="I1604">
        <v>97</v>
      </c>
      <c r="J1604">
        <v>77</v>
      </c>
      <c r="K1604">
        <v>55</v>
      </c>
      <c r="L1604">
        <v>54</v>
      </c>
      <c r="M1604">
        <v>67</v>
      </c>
      <c r="N1604">
        <v>69</v>
      </c>
      <c r="O1604">
        <v>322</v>
      </c>
      <c r="P1604">
        <v>64.400000000000006</v>
      </c>
      <c r="Q1604" t="s">
        <v>26</v>
      </c>
      <c r="R1604" t="s">
        <v>41</v>
      </c>
      <c r="S1604">
        <v>3062</v>
      </c>
      <c r="T1604" t="s">
        <v>70</v>
      </c>
      <c r="U1604" t="str">
        <f t="shared" si="25"/>
        <v>Pass</v>
      </c>
    </row>
    <row r="1605" spans="1:21">
      <c r="A1605" t="s">
        <v>2852</v>
      </c>
      <c r="B1605" t="s">
        <v>1142</v>
      </c>
      <c r="C1605" t="s">
        <v>37</v>
      </c>
      <c r="D1605">
        <v>4</v>
      </c>
      <c r="E1605" t="s">
        <v>23</v>
      </c>
      <c r="F1605">
        <v>10</v>
      </c>
      <c r="G1605" t="s">
        <v>64</v>
      </c>
      <c r="H1605" t="s">
        <v>951</v>
      </c>
      <c r="I1605">
        <v>93</v>
      </c>
      <c r="J1605">
        <v>44</v>
      </c>
      <c r="K1605">
        <v>74</v>
      </c>
      <c r="L1605">
        <v>61</v>
      </c>
      <c r="M1605">
        <v>100</v>
      </c>
      <c r="N1605">
        <v>75</v>
      </c>
      <c r="O1605">
        <v>354</v>
      </c>
      <c r="P1605">
        <v>70.8</v>
      </c>
      <c r="Q1605" t="s">
        <v>40</v>
      </c>
      <c r="R1605" t="s">
        <v>27</v>
      </c>
      <c r="S1605">
        <v>4549</v>
      </c>
      <c r="T1605" t="s">
        <v>48</v>
      </c>
      <c r="U1605" t="str">
        <f t="shared" si="25"/>
        <v>Pass</v>
      </c>
    </row>
    <row r="1606" spans="1:21">
      <c r="A1606" t="s">
        <v>2853</v>
      </c>
      <c r="B1606" t="s">
        <v>1417</v>
      </c>
      <c r="C1606" t="s">
        <v>22</v>
      </c>
      <c r="D1606">
        <v>4</v>
      </c>
      <c r="E1606" t="s">
        <v>26</v>
      </c>
      <c r="F1606">
        <v>9</v>
      </c>
      <c r="G1606" t="s">
        <v>24</v>
      </c>
      <c r="H1606" t="s">
        <v>129</v>
      </c>
      <c r="I1606">
        <v>92</v>
      </c>
      <c r="J1606">
        <v>73</v>
      </c>
      <c r="K1606">
        <v>39</v>
      </c>
      <c r="L1606">
        <v>45</v>
      </c>
      <c r="M1606">
        <v>54</v>
      </c>
      <c r="N1606">
        <v>45</v>
      </c>
      <c r="O1606">
        <v>256</v>
      </c>
      <c r="P1606">
        <v>51.2</v>
      </c>
      <c r="Q1606" t="s">
        <v>31</v>
      </c>
      <c r="R1606" t="s">
        <v>27</v>
      </c>
      <c r="S1606">
        <v>3323</v>
      </c>
      <c r="T1606" t="s">
        <v>66</v>
      </c>
      <c r="U1606" t="str">
        <f t="shared" si="25"/>
        <v>Fail</v>
      </c>
    </row>
    <row r="1607" spans="1:21">
      <c r="A1607" t="s">
        <v>2854</v>
      </c>
      <c r="B1607" t="s">
        <v>84</v>
      </c>
      <c r="C1607" t="s">
        <v>37</v>
      </c>
      <c r="D1607">
        <v>11</v>
      </c>
      <c r="E1607" t="s">
        <v>23</v>
      </c>
      <c r="F1607">
        <v>15</v>
      </c>
      <c r="G1607" t="s">
        <v>24</v>
      </c>
      <c r="H1607" t="s">
        <v>2501</v>
      </c>
      <c r="I1607">
        <v>90</v>
      </c>
      <c r="J1607">
        <v>42</v>
      </c>
      <c r="K1607">
        <v>73</v>
      </c>
      <c r="L1607">
        <v>67</v>
      </c>
      <c r="M1607">
        <v>78</v>
      </c>
      <c r="N1607">
        <v>68</v>
      </c>
      <c r="O1607">
        <v>328</v>
      </c>
      <c r="P1607">
        <v>65.599999999999994</v>
      </c>
      <c r="Q1607" t="s">
        <v>26</v>
      </c>
      <c r="R1607" t="s">
        <v>27</v>
      </c>
      <c r="S1607">
        <v>4453</v>
      </c>
      <c r="T1607" t="s">
        <v>66</v>
      </c>
      <c r="U1607" t="str">
        <f t="shared" si="25"/>
        <v>Pass</v>
      </c>
    </row>
    <row r="1608" spans="1:21">
      <c r="A1608" t="s">
        <v>2855</v>
      </c>
      <c r="B1608" t="s">
        <v>562</v>
      </c>
      <c r="C1608" t="s">
        <v>37</v>
      </c>
      <c r="D1608">
        <v>1</v>
      </c>
      <c r="E1608" t="s">
        <v>47</v>
      </c>
      <c r="F1608">
        <v>6</v>
      </c>
      <c r="G1608" t="s">
        <v>32</v>
      </c>
      <c r="H1608" t="s">
        <v>2856</v>
      </c>
      <c r="I1608">
        <v>94</v>
      </c>
      <c r="J1608">
        <v>98</v>
      </c>
      <c r="K1608">
        <v>83</v>
      </c>
      <c r="L1608">
        <v>63</v>
      </c>
      <c r="M1608">
        <v>58</v>
      </c>
      <c r="N1608">
        <v>88</v>
      </c>
      <c r="O1608">
        <v>390</v>
      </c>
      <c r="P1608">
        <v>78</v>
      </c>
      <c r="Q1608" t="s">
        <v>40</v>
      </c>
      <c r="R1608" t="s">
        <v>27</v>
      </c>
      <c r="S1608">
        <v>4742</v>
      </c>
      <c r="T1608" t="s">
        <v>42</v>
      </c>
      <c r="U1608" t="str">
        <f t="shared" si="25"/>
        <v>Pass</v>
      </c>
    </row>
    <row r="1609" spans="1:21">
      <c r="A1609" t="s">
        <v>2857</v>
      </c>
      <c r="B1609" t="s">
        <v>250</v>
      </c>
      <c r="C1609" t="s">
        <v>37</v>
      </c>
      <c r="D1609">
        <v>2</v>
      </c>
      <c r="E1609" t="s">
        <v>47</v>
      </c>
      <c r="F1609">
        <v>7</v>
      </c>
      <c r="G1609" t="s">
        <v>38</v>
      </c>
      <c r="H1609" t="s">
        <v>1536</v>
      </c>
      <c r="I1609">
        <v>86</v>
      </c>
      <c r="J1609">
        <v>50</v>
      </c>
      <c r="K1609">
        <v>94</v>
      </c>
      <c r="L1609">
        <v>37</v>
      </c>
      <c r="M1609">
        <v>70</v>
      </c>
      <c r="N1609">
        <v>39</v>
      </c>
      <c r="O1609">
        <v>290</v>
      </c>
      <c r="P1609">
        <v>58</v>
      </c>
      <c r="Q1609" t="s">
        <v>31</v>
      </c>
      <c r="R1609" t="s">
        <v>41</v>
      </c>
      <c r="S1609">
        <v>1642</v>
      </c>
      <c r="T1609" t="s">
        <v>66</v>
      </c>
      <c r="U1609" t="str">
        <f t="shared" si="25"/>
        <v>Pass</v>
      </c>
    </row>
    <row r="1610" spans="1:21">
      <c r="A1610" t="s">
        <v>2858</v>
      </c>
      <c r="B1610" t="s">
        <v>140</v>
      </c>
      <c r="C1610" t="s">
        <v>22</v>
      </c>
      <c r="D1610">
        <v>8</v>
      </c>
      <c r="E1610" t="s">
        <v>47</v>
      </c>
      <c r="F1610">
        <v>14</v>
      </c>
      <c r="G1610" t="s">
        <v>64</v>
      </c>
      <c r="H1610" t="s">
        <v>2859</v>
      </c>
      <c r="I1610">
        <v>64</v>
      </c>
      <c r="J1610">
        <v>50</v>
      </c>
      <c r="K1610">
        <v>35</v>
      </c>
      <c r="L1610">
        <v>93</v>
      </c>
      <c r="M1610">
        <v>65</v>
      </c>
      <c r="N1610">
        <v>91</v>
      </c>
      <c r="O1610">
        <v>334</v>
      </c>
      <c r="P1610">
        <v>66.8</v>
      </c>
      <c r="Q1610" t="s">
        <v>26</v>
      </c>
      <c r="R1610" t="s">
        <v>27</v>
      </c>
      <c r="S1610">
        <v>3814</v>
      </c>
      <c r="T1610" t="s">
        <v>42</v>
      </c>
      <c r="U1610" t="str">
        <f t="shared" si="25"/>
        <v>Pass</v>
      </c>
    </row>
    <row r="1611" spans="1:21">
      <c r="A1611" t="s">
        <v>2860</v>
      </c>
      <c r="B1611" t="s">
        <v>104</v>
      </c>
      <c r="C1611" t="s">
        <v>22</v>
      </c>
      <c r="D1611">
        <v>4</v>
      </c>
      <c r="E1611" t="s">
        <v>47</v>
      </c>
      <c r="F1611">
        <v>8</v>
      </c>
      <c r="G1611" t="s">
        <v>45</v>
      </c>
      <c r="H1611" t="s">
        <v>1922</v>
      </c>
      <c r="I1611">
        <v>71</v>
      </c>
      <c r="J1611">
        <v>58</v>
      </c>
      <c r="K1611">
        <v>70</v>
      </c>
      <c r="L1611">
        <v>69</v>
      </c>
      <c r="M1611">
        <v>48</v>
      </c>
      <c r="N1611">
        <v>38</v>
      </c>
      <c r="O1611">
        <v>283</v>
      </c>
      <c r="P1611">
        <v>56.6</v>
      </c>
      <c r="Q1611" t="s">
        <v>31</v>
      </c>
      <c r="R1611" t="s">
        <v>27</v>
      </c>
      <c r="S1611">
        <v>1616</v>
      </c>
      <c r="T1611" t="s">
        <v>34</v>
      </c>
      <c r="U1611" t="str">
        <f t="shared" si="25"/>
        <v>Pass</v>
      </c>
    </row>
    <row r="1612" spans="1:21">
      <c r="A1612" t="s">
        <v>2861</v>
      </c>
      <c r="B1612" t="s">
        <v>445</v>
      </c>
      <c r="C1612" t="s">
        <v>37</v>
      </c>
      <c r="D1612">
        <v>3</v>
      </c>
      <c r="E1612" t="s">
        <v>26</v>
      </c>
      <c r="F1612">
        <v>8</v>
      </c>
      <c r="G1612" t="s">
        <v>24</v>
      </c>
      <c r="H1612" t="s">
        <v>1884</v>
      </c>
      <c r="I1612">
        <v>83</v>
      </c>
      <c r="J1612">
        <v>98</v>
      </c>
      <c r="K1612">
        <v>100</v>
      </c>
      <c r="L1612">
        <v>36</v>
      </c>
      <c r="M1612">
        <v>39</v>
      </c>
      <c r="N1612">
        <v>46</v>
      </c>
      <c r="O1612">
        <v>319</v>
      </c>
      <c r="P1612">
        <v>63.8</v>
      </c>
      <c r="Q1612" t="s">
        <v>26</v>
      </c>
      <c r="R1612" t="s">
        <v>27</v>
      </c>
      <c r="S1612">
        <v>3151</v>
      </c>
      <c r="T1612" t="s">
        <v>42</v>
      </c>
      <c r="U1612" t="str">
        <f t="shared" si="25"/>
        <v>Pass</v>
      </c>
    </row>
    <row r="1613" spans="1:21">
      <c r="A1613" t="s">
        <v>2862</v>
      </c>
      <c r="B1613" t="s">
        <v>461</v>
      </c>
      <c r="C1613" t="s">
        <v>37</v>
      </c>
      <c r="D1613">
        <v>12</v>
      </c>
      <c r="E1613" t="s">
        <v>31</v>
      </c>
      <c r="F1613">
        <v>18</v>
      </c>
      <c r="G1613" t="s">
        <v>58</v>
      </c>
      <c r="H1613" t="s">
        <v>1674</v>
      </c>
      <c r="I1613">
        <v>85</v>
      </c>
      <c r="J1613">
        <v>63</v>
      </c>
      <c r="K1613">
        <v>55</v>
      </c>
      <c r="L1613">
        <v>42</v>
      </c>
      <c r="M1613">
        <v>83</v>
      </c>
      <c r="N1613">
        <v>60</v>
      </c>
      <c r="O1613">
        <v>303</v>
      </c>
      <c r="P1613">
        <v>60.6</v>
      </c>
      <c r="Q1613" t="s">
        <v>26</v>
      </c>
      <c r="R1613" t="s">
        <v>27</v>
      </c>
      <c r="S1613">
        <v>3622</v>
      </c>
      <c r="T1613" t="s">
        <v>42</v>
      </c>
      <c r="U1613" t="str">
        <f t="shared" si="25"/>
        <v>Pass</v>
      </c>
    </row>
    <row r="1614" spans="1:21">
      <c r="A1614" t="s">
        <v>2863</v>
      </c>
      <c r="B1614" t="s">
        <v>602</v>
      </c>
      <c r="C1614" t="s">
        <v>22</v>
      </c>
      <c r="D1614">
        <v>6</v>
      </c>
      <c r="E1614" t="s">
        <v>23</v>
      </c>
      <c r="F1614">
        <v>10</v>
      </c>
      <c r="G1614" t="s">
        <v>64</v>
      </c>
      <c r="H1614" t="s">
        <v>905</v>
      </c>
      <c r="I1614">
        <v>66</v>
      </c>
      <c r="J1614">
        <v>88</v>
      </c>
      <c r="K1614">
        <v>39</v>
      </c>
      <c r="L1614">
        <v>97</v>
      </c>
      <c r="M1614">
        <v>55</v>
      </c>
      <c r="N1614">
        <v>55</v>
      </c>
      <c r="O1614">
        <v>334</v>
      </c>
      <c r="P1614">
        <v>66.8</v>
      </c>
      <c r="Q1614" t="s">
        <v>26</v>
      </c>
      <c r="R1614" t="s">
        <v>27</v>
      </c>
      <c r="S1614">
        <v>2613</v>
      </c>
      <c r="T1614" t="s">
        <v>66</v>
      </c>
      <c r="U1614" t="str">
        <f t="shared" si="25"/>
        <v>Pass</v>
      </c>
    </row>
    <row r="1615" spans="1:21">
      <c r="A1615" t="s">
        <v>2864</v>
      </c>
      <c r="B1615" t="s">
        <v>678</v>
      </c>
      <c r="C1615" t="s">
        <v>37</v>
      </c>
      <c r="D1615">
        <v>10</v>
      </c>
      <c r="E1615" t="s">
        <v>47</v>
      </c>
      <c r="F1615">
        <v>15</v>
      </c>
      <c r="G1615" t="s">
        <v>54</v>
      </c>
      <c r="H1615" t="s">
        <v>683</v>
      </c>
      <c r="I1615">
        <v>98</v>
      </c>
      <c r="J1615">
        <v>49</v>
      </c>
      <c r="K1615">
        <v>77</v>
      </c>
      <c r="L1615">
        <v>66</v>
      </c>
      <c r="M1615">
        <v>48</v>
      </c>
      <c r="N1615">
        <v>58</v>
      </c>
      <c r="O1615">
        <v>298</v>
      </c>
      <c r="P1615">
        <v>59.6</v>
      </c>
      <c r="Q1615" t="s">
        <v>31</v>
      </c>
      <c r="R1615" t="s">
        <v>27</v>
      </c>
      <c r="S1615">
        <v>2518</v>
      </c>
      <c r="T1615" t="s">
        <v>34</v>
      </c>
      <c r="U1615" t="str">
        <f t="shared" si="25"/>
        <v>Pass</v>
      </c>
    </row>
    <row r="1616" spans="1:21">
      <c r="A1616" t="s">
        <v>2865</v>
      </c>
      <c r="B1616" t="s">
        <v>165</v>
      </c>
      <c r="C1616" t="s">
        <v>22</v>
      </c>
      <c r="D1616">
        <v>3</v>
      </c>
      <c r="E1616" t="s">
        <v>26</v>
      </c>
      <c r="F1616">
        <v>9</v>
      </c>
      <c r="G1616" t="s">
        <v>32</v>
      </c>
      <c r="H1616" t="s">
        <v>560</v>
      </c>
      <c r="I1616">
        <v>83</v>
      </c>
      <c r="J1616">
        <v>83</v>
      </c>
      <c r="K1616">
        <v>65</v>
      </c>
      <c r="L1616">
        <v>81</v>
      </c>
      <c r="M1616">
        <v>82</v>
      </c>
      <c r="N1616">
        <v>68</v>
      </c>
      <c r="O1616">
        <v>379</v>
      </c>
      <c r="P1616">
        <v>75.8</v>
      </c>
      <c r="Q1616" t="s">
        <v>40</v>
      </c>
      <c r="R1616" t="s">
        <v>41</v>
      </c>
      <c r="S1616">
        <v>3933</v>
      </c>
      <c r="T1616" t="s">
        <v>66</v>
      </c>
      <c r="U1616" t="str">
        <f t="shared" si="25"/>
        <v>Pass</v>
      </c>
    </row>
    <row r="1617" spans="1:21">
      <c r="A1617" t="s">
        <v>2866</v>
      </c>
      <c r="B1617" t="s">
        <v>651</v>
      </c>
      <c r="C1617" t="s">
        <v>37</v>
      </c>
      <c r="D1617">
        <v>8</v>
      </c>
      <c r="E1617" t="s">
        <v>31</v>
      </c>
      <c r="F1617">
        <v>14</v>
      </c>
      <c r="G1617" t="s">
        <v>64</v>
      </c>
      <c r="H1617" t="s">
        <v>2867</v>
      </c>
      <c r="I1617">
        <v>84</v>
      </c>
      <c r="J1617">
        <v>64</v>
      </c>
      <c r="K1617">
        <v>61</v>
      </c>
      <c r="L1617">
        <v>80</v>
      </c>
      <c r="M1617">
        <v>50</v>
      </c>
      <c r="N1617">
        <v>51</v>
      </c>
      <c r="O1617">
        <v>306</v>
      </c>
      <c r="P1617">
        <v>61.2</v>
      </c>
      <c r="Q1617" t="s">
        <v>26</v>
      </c>
      <c r="R1617" t="s">
        <v>41</v>
      </c>
      <c r="S1617">
        <v>3688</v>
      </c>
      <c r="T1617" t="s">
        <v>42</v>
      </c>
      <c r="U1617" t="str">
        <f t="shared" si="25"/>
        <v>Pass</v>
      </c>
    </row>
    <row r="1618" spans="1:21">
      <c r="A1618" t="s">
        <v>2868</v>
      </c>
      <c r="B1618" t="s">
        <v>1326</v>
      </c>
      <c r="C1618" t="s">
        <v>37</v>
      </c>
      <c r="D1618">
        <v>12</v>
      </c>
      <c r="E1618" t="s">
        <v>47</v>
      </c>
      <c r="F1618">
        <v>17</v>
      </c>
      <c r="G1618" t="s">
        <v>58</v>
      </c>
      <c r="H1618" t="s">
        <v>2869</v>
      </c>
      <c r="I1618">
        <v>61</v>
      </c>
      <c r="J1618">
        <v>84</v>
      </c>
      <c r="K1618">
        <v>91</v>
      </c>
      <c r="L1618">
        <v>44</v>
      </c>
      <c r="M1618">
        <v>48</v>
      </c>
      <c r="N1618">
        <v>62</v>
      </c>
      <c r="O1618">
        <v>329</v>
      </c>
      <c r="P1618">
        <v>65.8</v>
      </c>
      <c r="Q1618" t="s">
        <v>26</v>
      </c>
      <c r="R1618" t="s">
        <v>41</v>
      </c>
      <c r="S1618">
        <v>2158</v>
      </c>
      <c r="T1618" t="s">
        <v>42</v>
      </c>
      <c r="U1618" t="str">
        <f t="shared" si="25"/>
        <v>Pass</v>
      </c>
    </row>
    <row r="1619" spans="1:21">
      <c r="A1619" t="s">
        <v>2870</v>
      </c>
      <c r="B1619" t="s">
        <v>586</v>
      </c>
      <c r="C1619" t="s">
        <v>37</v>
      </c>
      <c r="D1619">
        <v>2</v>
      </c>
      <c r="E1619" t="s">
        <v>23</v>
      </c>
      <c r="F1619">
        <v>7</v>
      </c>
      <c r="G1619" t="s">
        <v>32</v>
      </c>
      <c r="H1619" t="s">
        <v>1544</v>
      </c>
      <c r="I1619">
        <v>82</v>
      </c>
      <c r="J1619">
        <v>38</v>
      </c>
      <c r="K1619">
        <v>65</v>
      </c>
      <c r="L1619">
        <v>79</v>
      </c>
      <c r="M1619">
        <v>50</v>
      </c>
      <c r="N1619">
        <v>66</v>
      </c>
      <c r="O1619">
        <v>298</v>
      </c>
      <c r="P1619">
        <v>59.6</v>
      </c>
      <c r="Q1619" t="s">
        <v>31</v>
      </c>
      <c r="R1619" t="s">
        <v>27</v>
      </c>
      <c r="S1619">
        <v>3829</v>
      </c>
      <c r="T1619" t="s">
        <v>70</v>
      </c>
      <c r="U1619" t="str">
        <f t="shared" si="25"/>
        <v>Pass</v>
      </c>
    </row>
    <row r="1620" spans="1:21">
      <c r="A1620" t="s">
        <v>2871</v>
      </c>
      <c r="B1620" t="s">
        <v>1644</v>
      </c>
      <c r="C1620" t="s">
        <v>37</v>
      </c>
      <c r="D1620">
        <v>9</v>
      </c>
      <c r="E1620" t="s">
        <v>47</v>
      </c>
      <c r="F1620">
        <v>15</v>
      </c>
      <c r="G1620" t="s">
        <v>32</v>
      </c>
      <c r="H1620" t="s">
        <v>736</v>
      </c>
      <c r="I1620">
        <v>67</v>
      </c>
      <c r="J1620">
        <v>84</v>
      </c>
      <c r="K1620">
        <v>100</v>
      </c>
      <c r="L1620">
        <v>61</v>
      </c>
      <c r="M1620">
        <v>82</v>
      </c>
      <c r="N1620">
        <v>69</v>
      </c>
      <c r="O1620">
        <v>396</v>
      </c>
      <c r="P1620">
        <v>79.2</v>
      </c>
      <c r="Q1620" t="s">
        <v>40</v>
      </c>
      <c r="R1620" t="s">
        <v>41</v>
      </c>
      <c r="S1620">
        <v>2607</v>
      </c>
      <c r="T1620" t="s">
        <v>28</v>
      </c>
      <c r="U1620" t="str">
        <f t="shared" si="25"/>
        <v>Pass</v>
      </c>
    </row>
    <row r="1621" spans="1:21">
      <c r="A1621" t="s">
        <v>2872</v>
      </c>
      <c r="B1621" t="s">
        <v>628</v>
      </c>
      <c r="C1621" t="s">
        <v>37</v>
      </c>
      <c r="D1621">
        <v>9</v>
      </c>
      <c r="E1621" t="s">
        <v>31</v>
      </c>
      <c r="F1621">
        <v>14</v>
      </c>
      <c r="G1621" t="s">
        <v>32</v>
      </c>
      <c r="H1621" t="s">
        <v>2873</v>
      </c>
      <c r="I1621">
        <v>79</v>
      </c>
      <c r="J1621">
        <v>100</v>
      </c>
      <c r="K1621">
        <v>46</v>
      </c>
      <c r="L1621">
        <v>62</v>
      </c>
      <c r="M1621">
        <v>56</v>
      </c>
      <c r="N1621">
        <v>75</v>
      </c>
      <c r="O1621">
        <v>339</v>
      </c>
      <c r="P1621">
        <v>67.8</v>
      </c>
      <c r="Q1621" t="s">
        <v>26</v>
      </c>
      <c r="R1621" t="s">
        <v>41</v>
      </c>
      <c r="S1621">
        <v>3103</v>
      </c>
      <c r="T1621" t="s">
        <v>42</v>
      </c>
      <c r="U1621" t="str">
        <f t="shared" si="25"/>
        <v>Pass</v>
      </c>
    </row>
    <row r="1622" spans="1:21">
      <c r="A1622" t="s">
        <v>2874</v>
      </c>
      <c r="B1622" t="s">
        <v>181</v>
      </c>
      <c r="C1622" t="s">
        <v>37</v>
      </c>
      <c r="D1622">
        <v>12</v>
      </c>
      <c r="E1622" t="s">
        <v>23</v>
      </c>
      <c r="F1622">
        <v>16</v>
      </c>
      <c r="G1622" t="s">
        <v>24</v>
      </c>
      <c r="H1622" t="s">
        <v>2118</v>
      </c>
      <c r="I1622">
        <v>77</v>
      </c>
      <c r="J1622">
        <v>85</v>
      </c>
      <c r="K1622">
        <v>87</v>
      </c>
      <c r="L1622">
        <v>66</v>
      </c>
      <c r="M1622">
        <v>95</v>
      </c>
      <c r="N1622">
        <v>91</v>
      </c>
      <c r="O1622">
        <v>424</v>
      </c>
      <c r="P1622">
        <v>84.8</v>
      </c>
      <c r="Q1622" t="s">
        <v>47</v>
      </c>
      <c r="R1622" t="s">
        <v>41</v>
      </c>
      <c r="S1622">
        <v>1718</v>
      </c>
      <c r="T1622" t="s">
        <v>28</v>
      </c>
      <c r="U1622" t="str">
        <f t="shared" si="25"/>
        <v>Pass</v>
      </c>
    </row>
    <row r="1623" spans="1:21">
      <c r="A1623" t="s">
        <v>2875</v>
      </c>
      <c r="B1623" t="s">
        <v>808</v>
      </c>
      <c r="C1623" t="s">
        <v>22</v>
      </c>
      <c r="D1623">
        <v>4</v>
      </c>
      <c r="E1623" t="s">
        <v>23</v>
      </c>
      <c r="F1623">
        <v>8</v>
      </c>
      <c r="G1623" t="s">
        <v>64</v>
      </c>
      <c r="H1623" t="s">
        <v>1230</v>
      </c>
      <c r="I1623">
        <v>67</v>
      </c>
      <c r="J1623">
        <v>36</v>
      </c>
      <c r="K1623">
        <v>75</v>
      </c>
      <c r="L1623">
        <v>76</v>
      </c>
      <c r="M1623">
        <v>46</v>
      </c>
      <c r="N1623">
        <v>79</v>
      </c>
      <c r="O1623">
        <v>312</v>
      </c>
      <c r="P1623">
        <v>62.4</v>
      </c>
      <c r="Q1623" t="s">
        <v>26</v>
      </c>
      <c r="R1623" t="s">
        <v>27</v>
      </c>
      <c r="S1623">
        <v>4840</v>
      </c>
      <c r="T1623" t="s">
        <v>70</v>
      </c>
      <c r="U1623" t="str">
        <f t="shared" si="25"/>
        <v>Pass</v>
      </c>
    </row>
    <row r="1624" spans="1:21">
      <c r="A1624" t="s">
        <v>2876</v>
      </c>
      <c r="B1624" t="s">
        <v>335</v>
      </c>
      <c r="C1624" t="s">
        <v>37</v>
      </c>
      <c r="D1624">
        <v>7</v>
      </c>
      <c r="E1624" t="s">
        <v>26</v>
      </c>
      <c r="F1624">
        <v>11</v>
      </c>
      <c r="G1624" t="s">
        <v>38</v>
      </c>
      <c r="H1624" t="s">
        <v>2877</v>
      </c>
      <c r="I1624">
        <v>97</v>
      </c>
      <c r="J1624">
        <v>60</v>
      </c>
      <c r="K1624">
        <v>53</v>
      </c>
      <c r="L1624">
        <v>57</v>
      </c>
      <c r="M1624">
        <v>68</v>
      </c>
      <c r="N1624">
        <v>82</v>
      </c>
      <c r="O1624">
        <v>320</v>
      </c>
      <c r="P1624">
        <v>64</v>
      </c>
      <c r="Q1624" t="s">
        <v>26</v>
      </c>
      <c r="R1624" t="s">
        <v>41</v>
      </c>
      <c r="S1624">
        <v>1505</v>
      </c>
      <c r="T1624" t="s">
        <v>70</v>
      </c>
      <c r="U1624" t="str">
        <f t="shared" si="25"/>
        <v>Pass</v>
      </c>
    </row>
    <row r="1625" spans="1:21">
      <c r="A1625" t="s">
        <v>2878</v>
      </c>
      <c r="B1625" t="s">
        <v>332</v>
      </c>
      <c r="C1625" t="s">
        <v>37</v>
      </c>
      <c r="D1625">
        <v>1</v>
      </c>
      <c r="E1625" t="s">
        <v>47</v>
      </c>
      <c r="F1625">
        <v>6</v>
      </c>
      <c r="G1625" t="s">
        <v>45</v>
      </c>
      <c r="H1625" t="s">
        <v>2879</v>
      </c>
      <c r="I1625">
        <v>61</v>
      </c>
      <c r="J1625">
        <v>51</v>
      </c>
      <c r="K1625">
        <v>81</v>
      </c>
      <c r="L1625">
        <v>57</v>
      </c>
      <c r="M1625">
        <v>80</v>
      </c>
      <c r="N1625">
        <v>47</v>
      </c>
      <c r="O1625">
        <v>316</v>
      </c>
      <c r="P1625">
        <v>63.2</v>
      </c>
      <c r="Q1625" t="s">
        <v>26</v>
      </c>
      <c r="R1625" t="s">
        <v>41</v>
      </c>
      <c r="S1625">
        <v>3135</v>
      </c>
      <c r="T1625" t="s">
        <v>42</v>
      </c>
      <c r="U1625" t="str">
        <f t="shared" si="25"/>
        <v>Pass</v>
      </c>
    </row>
    <row r="1626" spans="1:21">
      <c r="A1626" t="s">
        <v>2880</v>
      </c>
      <c r="B1626" t="s">
        <v>118</v>
      </c>
      <c r="C1626" t="s">
        <v>37</v>
      </c>
      <c r="D1626">
        <v>7</v>
      </c>
      <c r="E1626" t="s">
        <v>23</v>
      </c>
      <c r="F1626">
        <v>12</v>
      </c>
      <c r="G1626" t="s">
        <v>32</v>
      </c>
      <c r="H1626" t="s">
        <v>932</v>
      </c>
      <c r="I1626">
        <v>65</v>
      </c>
      <c r="J1626">
        <v>99</v>
      </c>
      <c r="K1626">
        <v>52</v>
      </c>
      <c r="L1626">
        <v>88</v>
      </c>
      <c r="M1626">
        <v>57</v>
      </c>
      <c r="N1626">
        <v>46</v>
      </c>
      <c r="O1626">
        <v>342</v>
      </c>
      <c r="P1626">
        <v>68.400000000000006</v>
      </c>
      <c r="Q1626" t="s">
        <v>26</v>
      </c>
      <c r="R1626" t="s">
        <v>41</v>
      </c>
      <c r="S1626">
        <v>2378</v>
      </c>
      <c r="T1626" t="s">
        <v>42</v>
      </c>
      <c r="U1626" t="str">
        <f t="shared" si="25"/>
        <v>Pass</v>
      </c>
    </row>
    <row r="1627" spans="1:21">
      <c r="A1627" t="s">
        <v>2881</v>
      </c>
      <c r="B1627" t="s">
        <v>231</v>
      </c>
      <c r="C1627" t="s">
        <v>22</v>
      </c>
      <c r="D1627">
        <v>9</v>
      </c>
      <c r="E1627" t="s">
        <v>26</v>
      </c>
      <c r="F1627">
        <v>14</v>
      </c>
      <c r="G1627" t="s">
        <v>64</v>
      </c>
      <c r="H1627" t="s">
        <v>1701</v>
      </c>
      <c r="I1627">
        <v>64</v>
      </c>
      <c r="J1627">
        <v>50</v>
      </c>
      <c r="K1627">
        <v>41</v>
      </c>
      <c r="L1627">
        <v>54</v>
      </c>
      <c r="M1627">
        <v>95</v>
      </c>
      <c r="N1627">
        <v>76</v>
      </c>
      <c r="O1627">
        <v>316</v>
      </c>
      <c r="P1627">
        <v>63.2</v>
      </c>
      <c r="Q1627" t="s">
        <v>26</v>
      </c>
      <c r="R1627" t="s">
        <v>27</v>
      </c>
      <c r="S1627">
        <v>3740</v>
      </c>
      <c r="T1627" t="s">
        <v>48</v>
      </c>
      <c r="U1627" t="str">
        <f t="shared" si="25"/>
        <v>Pass</v>
      </c>
    </row>
    <row r="1628" spans="1:21">
      <c r="A1628" t="s">
        <v>2882</v>
      </c>
      <c r="B1628" t="s">
        <v>884</v>
      </c>
      <c r="C1628" t="s">
        <v>37</v>
      </c>
      <c r="D1628">
        <v>3</v>
      </c>
      <c r="E1628" t="s">
        <v>47</v>
      </c>
      <c r="F1628">
        <v>7</v>
      </c>
      <c r="G1628" t="s">
        <v>58</v>
      </c>
      <c r="H1628" t="s">
        <v>2774</v>
      </c>
      <c r="I1628">
        <v>74</v>
      </c>
      <c r="J1628">
        <v>36</v>
      </c>
      <c r="K1628">
        <v>98</v>
      </c>
      <c r="L1628">
        <v>64</v>
      </c>
      <c r="M1628">
        <v>54</v>
      </c>
      <c r="N1628">
        <v>72</v>
      </c>
      <c r="O1628">
        <v>324</v>
      </c>
      <c r="P1628">
        <v>64.8</v>
      </c>
      <c r="Q1628" t="s">
        <v>26</v>
      </c>
      <c r="R1628" t="s">
        <v>41</v>
      </c>
      <c r="S1628">
        <v>3068</v>
      </c>
      <c r="T1628" t="s">
        <v>34</v>
      </c>
      <c r="U1628" t="str">
        <f t="shared" si="25"/>
        <v>Pass</v>
      </c>
    </row>
    <row r="1629" spans="1:21">
      <c r="A1629" t="s">
        <v>2883</v>
      </c>
      <c r="B1629" t="s">
        <v>196</v>
      </c>
      <c r="C1629" t="s">
        <v>37</v>
      </c>
      <c r="D1629">
        <v>3</v>
      </c>
      <c r="E1629" t="s">
        <v>31</v>
      </c>
      <c r="F1629">
        <v>9</v>
      </c>
      <c r="G1629" t="s">
        <v>58</v>
      </c>
      <c r="H1629" t="s">
        <v>2884</v>
      </c>
      <c r="I1629">
        <v>81</v>
      </c>
      <c r="J1629">
        <v>89</v>
      </c>
      <c r="K1629">
        <v>78</v>
      </c>
      <c r="L1629">
        <v>66</v>
      </c>
      <c r="M1629">
        <v>67</v>
      </c>
      <c r="N1629">
        <v>85</v>
      </c>
      <c r="O1629">
        <v>385</v>
      </c>
      <c r="P1629">
        <v>77</v>
      </c>
      <c r="Q1629" t="s">
        <v>40</v>
      </c>
      <c r="R1629" t="s">
        <v>41</v>
      </c>
      <c r="S1629">
        <v>2143</v>
      </c>
      <c r="T1629" t="s">
        <v>48</v>
      </c>
      <c r="U1629" t="str">
        <f t="shared" si="25"/>
        <v>Pass</v>
      </c>
    </row>
    <row r="1630" spans="1:21">
      <c r="A1630" t="s">
        <v>2885</v>
      </c>
      <c r="B1630" t="s">
        <v>90</v>
      </c>
      <c r="C1630" t="s">
        <v>37</v>
      </c>
      <c r="D1630">
        <v>1</v>
      </c>
      <c r="E1630" t="s">
        <v>31</v>
      </c>
      <c r="F1630">
        <v>7</v>
      </c>
      <c r="G1630" t="s">
        <v>64</v>
      </c>
      <c r="H1630" t="s">
        <v>1952</v>
      </c>
      <c r="I1630">
        <v>96</v>
      </c>
      <c r="J1630">
        <v>69</v>
      </c>
      <c r="K1630">
        <v>59</v>
      </c>
      <c r="L1630">
        <v>38</v>
      </c>
      <c r="M1630">
        <v>56</v>
      </c>
      <c r="N1630">
        <v>48</v>
      </c>
      <c r="O1630">
        <v>270</v>
      </c>
      <c r="P1630">
        <v>54</v>
      </c>
      <c r="Q1630" t="s">
        <v>31</v>
      </c>
      <c r="R1630" t="s">
        <v>41</v>
      </c>
      <c r="S1630">
        <v>4190</v>
      </c>
      <c r="T1630" t="s">
        <v>42</v>
      </c>
      <c r="U1630" t="str">
        <f t="shared" si="25"/>
        <v>Fail</v>
      </c>
    </row>
    <row r="1631" spans="1:21">
      <c r="A1631" t="s">
        <v>2886</v>
      </c>
      <c r="B1631" t="s">
        <v>168</v>
      </c>
      <c r="C1631" t="s">
        <v>22</v>
      </c>
      <c r="D1631">
        <v>3</v>
      </c>
      <c r="E1631" t="s">
        <v>31</v>
      </c>
      <c r="F1631">
        <v>9</v>
      </c>
      <c r="G1631" t="s">
        <v>32</v>
      </c>
      <c r="H1631" t="s">
        <v>1276</v>
      </c>
      <c r="I1631">
        <v>69</v>
      </c>
      <c r="J1631">
        <v>40</v>
      </c>
      <c r="K1631">
        <v>89</v>
      </c>
      <c r="L1631">
        <v>81</v>
      </c>
      <c r="M1631">
        <v>81</v>
      </c>
      <c r="N1631">
        <v>47</v>
      </c>
      <c r="O1631">
        <v>338</v>
      </c>
      <c r="P1631">
        <v>67.599999999999994</v>
      </c>
      <c r="Q1631" t="s">
        <v>26</v>
      </c>
      <c r="R1631" t="s">
        <v>41</v>
      </c>
      <c r="S1631">
        <v>4219</v>
      </c>
      <c r="T1631" t="s">
        <v>48</v>
      </c>
      <c r="U1631" t="str">
        <f t="shared" si="25"/>
        <v>Pass</v>
      </c>
    </row>
    <row r="1632" spans="1:21">
      <c r="A1632" t="s">
        <v>2887</v>
      </c>
      <c r="B1632" t="s">
        <v>544</v>
      </c>
      <c r="C1632" t="s">
        <v>22</v>
      </c>
      <c r="D1632">
        <v>6</v>
      </c>
      <c r="E1632" t="s">
        <v>23</v>
      </c>
      <c r="F1632">
        <v>12</v>
      </c>
      <c r="G1632" t="s">
        <v>64</v>
      </c>
      <c r="H1632" t="s">
        <v>1977</v>
      </c>
      <c r="I1632">
        <v>60</v>
      </c>
      <c r="J1632">
        <v>46</v>
      </c>
      <c r="K1632">
        <v>51</v>
      </c>
      <c r="L1632">
        <v>96</v>
      </c>
      <c r="M1632">
        <v>56</v>
      </c>
      <c r="N1632">
        <v>69</v>
      </c>
      <c r="O1632">
        <v>318</v>
      </c>
      <c r="P1632">
        <v>63.6</v>
      </c>
      <c r="Q1632" t="s">
        <v>26</v>
      </c>
      <c r="R1632" t="s">
        <v>27</v>
      </c>
      <c r="S1632">
        <v>3559</v>
      </c>
      <c r="T1632" t="s">
        <v>34</v>
      </c>
      <c r="U1632" t="str">
        <f t="shared" si="25"/>
        <v>Pass</v>
      </c>
    </row>
    <row r="1633" spans="1:21">
      <c r="A1633" t="s">
        <v>2888</v>
      </c>
      <c r="B1633" t="s">
        <v>819</v>
      </c>
      <c r="C1633" t="s">
        <v>37</v>
      </c>
      <c r="D1633">
        <v>4</v>
      </c>
      <c r="E1633" t="s">
        <v>23</v>
      </c>
      <c r="F1633">
        <v>10</v>
      </c>
      <c r="G1633" t="s">
        <v>24</v>
      </c>
      <c r="H1633" t="s">
        <v>2889</v>
      </c>
      <c r="I1633">
        <v>75</v>
      </c>
      <c r="J1633">
        <v>62</v>
      </c>
      <c r="K1633">
        <v>54</v>
      </c>
      <c r="L1633">
        <v>77</v>
      </c>
      <c r="M1633">
        <v>96</v>
      </c>
      <c r="N1633">
        <v>100</v>
      </c>
      <c r="O1633">
        <v>389</v>
      </c>
      <c r="P1633">
        <v>77.8</v>
      </c>
      <c r="Q1633" t="s">
        <v>40</v>
      </c>
      <c r="R1633" t="s">
        <v>27</v>
      </c>
      <c r="S1633">
        <v>4149</v>
      </c>
      <c r="T1633" t="s">
        <v>66</v>
      </c>
      <c r="U1633" t="str">
        <f t="shared" si="25"/>
        <v>Pass</v>
      </c>
    </row>
    <row r="1634" spans="1:21">
      <c r="A1634" t="s">
        <v>2890</v>
      </c>
      <c r="B1634" t="s">
        <v>208</v>
      </c>
      <c r="C1634" t="s">
        <v>22</v>
      </c>
      <c r="D1634">
        <v>4</v>
      </c>
      <c r="E1634" t="s">
        <v>47</v>
      </c>
      <c r="F1634">
        <v>9</v>
      </c>
      <c r="G1634" t="s">
        <v>45</v>
      </c>
      <c r="H1634" t="s">
        <v>2891</v>
      </c>
      <c r="I1634">
        <v>97</v>
      </c>
      <c r="J1634">
        <v>48</v>
      </c>
      <c r="K1634">
        <v>74</v>
      </c>
      <c r="L1634">
        <v>71</v>
      </c>
      <c r="M1634">
        <v>38</v>
      </c>
      <c r="N1634">
        <v>64</v>
      </c>
      <c r="O1634">
        <v>295</v>
      </c>
      <c r="P1634">
        <v>59</v>
      </c>
      <c r="Q1634" t="s">
        <v>31</v>
      </c>
      <c r="R1634" t="s">
        <v>27</v>
      </c>
      <c r="S1634">
        <v>4225</v>
      </c>
      <c r="T1634" t="s">
        <v>70</v>
      </c>
      <c r="U1634" t="str">
        <f t="shared" si="25"/>
        <v>Pass</v>
      </c>
    </row>
    <row r="1635" spans="1:21">
      <c r="A1635" t="s">
        <v>2892</v>
      </c>
      <c r="B1635" t="s">
        <v>87</v>
      </c>
      <c r="C1635" t="s">
        <v>22</v>
      </c>
      <c r="D1635">
        <v>6</v>
      </c>
      <c r="E1635" t="s">
        <v>31</v>
      </c>
      <c r="F1635">
        <v>10</v>
      </c>
      <c r="G1635" t="s">
        <v>64</v>
      </c>
      <c r="H1635" t="s">
        <v>2701</v>
      </c>
      <c r="I1635">
        <v>86</v>
      </c>
      <c r="J1635">
        <v>49</v>
      </c>
      <c r="K1635">
        <v>49</v>
      </c>
      <c r="L1635">
        <v>42</v>
      </c>
      <c r="M1635">
        <v>87</v>
      </c>
      <c r="N1635">
        <v>80</v>
      </c>
      <c r="O1635">
        <v>307</v>
      </c>
      <c r="P1635">
        <v>61.4</v>
      </c>
      <c r="Q1635" t="s">
        <v>26</v>
      </c>
      <c r="R1635" t="s">
        <v>41</v>
      </c>
      <c r="S1635">
        <v>1653</v>
      </c>
      <c r="T1635" t="s">
        <v>34</v>
      </c>
      <c r="U1635" t="str">
        <f t="shared" si="25"/>
        <v>Pass</v>
      </c>
    </row>
    <row r="1636" spans="1:21">
      <c r="A1636" t="s">
        <v>2893</v>
      </c>
      <c r="B1636" t="s">
        <v>36</v>
      </c>
      <c r="C1636" t="s">
        <v>22</v>
      </c>
      <c r="D1636">
        <v>3</v>
      </c>
      <c r="E1636" t="s">
        <v>23</v>
      </c>
      <c r="F1636">
        <v>7</v>
      </c>
      <c r="G1636" t="s">
        <v>64</v>
      </c>
      <c r="H1636" t="s">
        <v>788</v>
      </c>
      <c r="I1636">
        <v>63</v>
      </c>
      <c r="J1636">
        <v>35</v>
      </c>
      <c r="K1636">
        <v>80</v>
      </c>
      <c r="L1636">
        <v>38</v>
      </c>
      <c r="M1636">
        <v>62</v>
      </c>
      <c r="N1636">
        <v>72</v>
      </c>
      <c r="O1636">
        <v>287</v>
      </c>
      <c r="P1636">
        <v>57.4</v>
      </c>
      <c r="Q1636" t="s">
        <v>31</v>
      </c>
      <c r="R1636" t="s">
        <v>41</v>
      </c>
      <c r="S1636">
        <v>4261</v>
      </c>
      <c r="T1636" t="s">
        <v>70</v>
      </c>
      <c r="U1636" t="str">
        <f t="shared" si="25"/>
        <v>Pass</v>
      </c>
    </row>
    <row r="1637" spans="1:21">
      <c r="A1637" t="s">
        <v>2894</v>
      </c>
      <c r="B1637" t="s">
        <v>375</v>
      </c>
      <c r="C1637" t="s">
        <v>22</v>
      </c>
      <c r="D1637">
        <v>8</v>
      </c>
      <c r="E1637" t="s">
        <v>23</v>
      </c>
      <c r="F1637">
        <v>13</v>
      </c>
      <c r="G1637" t="s">
        <v>64</v>
      </c>
      <c r="H1637" t="s">
        <v>275</v>
      </c>
      <c r="I1637">
        <v>93</v>
      </c>
      <c r="J1637">
        <v>76</v>
      </c>
      <c r="K1637">
        <v>40</v>
      </c>
      <c r="L1637">
        <v>43</v>
      </c>
      <c r="M1637">
        <v>43</v>
      </c>
      <c r="N1637">
        <v>51</v>
      </c>
      <c r="O1637">
        <v>253</v>
      </c>
      <c r="P1637">
        <v>50.6</v>
      </c>
      <c r="Q1637" t="s">
        <v>31</v>
      </c>
      <c r="R1637" t="s">
        <v>41</v>
      </c>
      <c r="S1637">
        <v>1806</v>
      </c>
      <c r="T1637" t="s">
        <v>28</v>
      </c>
      <c r="U1637" t="str">
        <f t="shared" si="25"/>
        <v>Fail</v>
      </c>
    </row>
    <row r="1638" spans="1:21">
      <c r="A1638" t="s">
        <v>2895</v>
      </c>
      <c r="B1638" t="s">
        <v>373</v>
      </c>
      <c r="C1638" t="s">
        <v>22</v>
      </c>
      <c r="D1638">
        <v>1</v>
      </c>
      <c r="E1638" t="s">
        <v>23</v>
      </c>
      <c r="F1638">
        <v>7</v>
      </c>
      <c r="G1638" t="s">
        <v>58</v>
      </c>
      <c r="H1638" t="s">
        <v>2896</v>
      </c>
      <c r="I1638">
        <v>61</v>
      </c>
      <c r="J1638">
        <v>84</v>
      </c>
      <c r="K1638">
        <v>82</v>
      </c>
      <c r="L1638">
        <v>47</v>
      </c>
      <c r="M1638">
        <v>57</v>
      </c>
      <c r="N1638">
        <v>60</v>
      </c>
      <c r="O1638">
        <v>330</v>
      </c>
      <c r="P1638">
        <v>66</v>
      </c>
      <c r="Q1638" t="s">
        <v>26</v>
      </c>
      <c r="R1638" t="s">
        <v>41</v>
      </c>
      <c r="S1638">
        <v>2384</v>
      </c>
      <c r="T1638" t="s">
        <v>70</v>
      </c>
      <c r="U1638" t="str">
        <f t="shared" si="25"/>
        <v>Pass</v>
      </c>
    </row>
    <row r="1639" spans="1:21">
      <c r="A1639" t="s">
        <v>2897</v>
      </c>
      <c r="B1639" t="s">
        <v>375</v>
      </c>
      <c r="C1639" t="s">
        <v>37</v>
      </c>
      <c r="D1639">
        <v>8</v>
      </c>
      <c r="E1639" t="s">
        <v>26</v>
      </c>
      <c r="F1639">
        <v>14</v>
      </c>
      <c r="G1639" t="s">
        <v>58</v>
      </c>
      <c r="H1639" t="s">
        <v>2898</v>
      </c>
      <c r="I1639">
        <v>93</v>
      </c>
      <c r="J1639">
        <v>36</v>
      </c>
      <c r="K1639">
        <v>87</v>
      </c>
      <c r="L1639">
        <v>62</v>
      </c>
      <c r="M1639">
        <v>69</v>
      </c>
      <c r="N1639">
        <v>87</v>
      </c>
      <c r="O1639">
        <v>341</v>
      </c>
      <c r="P1639">
        <v>68.2</v>
      </c>
      <c r="Q1639" t="s">
        <v>26</v>
      </c>
      <c r="R1639" t="s">
        <v>41</v>
      </c>
      <c r="S1639">
        <v>4653</v>
      </c>
      <c r="T1639" t="s">
        <v>66</v>
      </c>
      <c r="U1639" t="str">
        <f t="shared" si="25"/>
        <v>Pass</v>
      </c>
    </row>
    <row r="1640" spans="1:21">
      <c r="A1640" t="s">
        <v>2899</v>
      </c>
      <c r="B1640" t="s">
        <v>181</v>
      </c>
      <c r="C1640" t="s">
        <v>22</v>
      </c>
      <c r="D1640">
        <v>5</v>
      </c>
      <c r="E1640" t="s">
        <v>23</v>
      </c>
      <c r="F1640">
        <v>10</v>
      </c>
      <c r="G1640" t="s">
        <v>64</v>
      </c>
      <c r="H1640" t="s">
        <v>2900</v>
      </c>
      <c r="I1640">
        <v>90</v>
      </c>
      <c r="J1640">
        <v>98</v>
      </c>
      <c r="K1640">
        <v>71</v>
      </c>
      <c r="L1640">
        <v>53</v>
      </c>
      <c r="M1640">
        <v>73</v>
      </c>
      <c r="N1640">
        <v>42</v>
      </c>
      <c r="O1640">
        <v>337</v>
      </c>
      <c r="P1640">
        <v>67.400000000000006</v>
      </c>
      <c r="Q1640" t="s">
        <v>26</v>
      </c>
      <c r="R1640" t="s">
        <v>27</v>
      </c>
      <c r="S1640">
        <v>3421</v>
      </c>
      <c r="T1640" t="s">
        <v>42</v>
      </c>
      <c r="U1640" t="str">
        <f t="shared" si="25"/>
        <v>Pass</v>
      </c>
    </row>
    <row r="1641" spans="1:21">
      <c r="A1641" t="s">
        <v>2901</v>
      </c>
      <c r="B1641" t="s">
        <v>44</v>
      </c>
      <c r="C1641" t="s">
        <v>22</v>
      </c>
      <c r="D1641">
        <v>9</v>
      </c>
      <c r="E1641" t="s">
        <v>23</v>
      </c>
      <c r="F1641">
        <v>13</v>
      </c>
      <c r="G1641" t="s">
        <v>45</v>
      </c>
      <c r="H1641" t="s">
        <v>1418</v>
      </c>
      <c r="I1641">
        <v>76</v>
      </c>
      <c r="J1641">
        <v>35</v>
      </c>
      <c r="K1641">
        <v>64</v>
      </c>
      <c r="L1641">
        <v>57</v>
      </c>
      <c r="M1641">
        <v>59</v>
      </c>
      <c r="N1641">
        <v>88</v>
      </c>
      <c r="O1641">
        <v>303</v>
      </c>
      <c r="P1641">
        <v>60.6</v>
      </c>
      <c r="Q1641" t="s">
        <v>26</v>
      </c>
      <c r="R1641" t="s">
        <v>27</v>
      </c>
      <c r="S1641">
        <v>1840</v>
      </c>
      <c r="T1641" t="s">
        <v>48</v>
      </c>
      <c r="U1641" t="str">
        <f t="shared" si="25"/>
        <v>Pass</v>
      </c>
    </row>
    <row r="1642" spans="1:21">
      <c r="A1642" t="s">
        <v>2902</v>
      </c>
      <c r="B1642" t="s">
        <v>84</v>
      </c>
      <c r="C1642" t="s">
        <v>22</v>
      </c>
      <c r="D1642">
        <v>3</v>
      </c>
      <c r="E1642" t="s">
        <v>26</v>
      </c>
      <c r="F1642">
        <v>9</v>
      </c>
      <c r="G1642" t="s">
        <v>32</v>
      </c>
      <c r="H1642" t="s">
        <v>2903</v>
      </c>
      <c r="I1642">
        <v>64</v>
      </c>
      <c r="J1642">
        <v>53</v>
      </c>
      <c r="K1642">
        <v>55</v>
      </c>
      <c r="L1642">
        <v>94</v>
      </c>
      <c r="M1642">
        <v>75</v>
      </c>
      <c r="N1642">
        <v>83</v>
      </c>
      <c r="O1642">
        <v>360</v>
      </c>
      <c r="P1642">
        <v>72</v>
      </c>
      <c r="Q1642" t="s">
        <v>40</v>
      </c>
      <c r="R1642" t="s">
        <v>41</v>
      </c>
      <c r="S1642">
        <v>2494</v>
      </c>
      <c r="T1642" t="s">
        <v>66</v>
      </c>
      <c r="U1642" t="str">
        <f t="shared" si="25"/>
        <v>Pass</v>
      </c>
    </row>
    <row r="1643" spans="1:21">
      <c r="A1643" t="s">
        <v>2904</v>
      </c>
      <c r="B1643" t="s">
        <v>879</v>
      </c>
      <c r="C1643" t="s">
        <v>37</v>
      </c>
      <c r="D1643">
        <v>6</v>
      </c>
      <c r="E1643" t="s">
        <v>23</v>
      </c>
      <c r="F1643">
        <v>10</v>
      </c>
      <c r="G1643" t="s">
        <v>32</v>
      </c>
      <c r="H1643" t="s">
        <v>2905</v>
      </c>
      <c r="I1643">
        <v>85</v>
      </c>
      <c r="J1643">
        <v>59</v>
      </c>
      <c r="K1643">
        <v>93</v>
      </c>
      <c r="L1643">
        <v>67</v>
      </c>
      <c r="M1643">
        <v>58</v>
      </c>
      <c r="N1643">
        <v>54</v>
      </c>
      <c r="O1643">
        <v>331</v>
      </c>
      <c r="P1643">
        <v>66.2</v>
      </c>
      <c r="Q1643" t="s">
        <v>26</v>
      </c>
      <c r="R1643" t="s">
        <v>41</v>
      </c>
      <c r="S1643">
        <v>3266</v>
      </c>
      <c r="T1643" t="s">
        <v>42</v>
      </c>
      <c r="U1643" t="str">
        <f t="shared" si="25"/>
        <v>Pass</v>
      </c>
    </row>
    <row r="1644" spans="1:21">
      <c r="A1644" t="s">
        <v>2906</v>
      </c>
      <c r="B1644" t="s">
        <v>628</v>
      </c>
      <c r="C1644" t="s">
        <v>22</v>
      </c>
      <c r="D1644">
        <v>2</v>
      </c>
      <c r="E1644" t="s">
        <v>47</v>
      </c>
      <c r="F1644">
        <v>7</v>
      </c>
      <c r="G1644" t="s">
        <v>54</v>
      </c>
      <c r="H1644" t="s">
        <v>2128</v>
      </c>
      <c r="I1644">
        <v>79</v>
      </c>
      <c r="J1644">
        <v>97</v>
      </c>
      <c r="K1644">
        <v>90</v>
      </c>
      <c r="L1644">
        <v>66</v>
      </c>
      <c r="M1644">
        <v>84</v>
      </c>
      <c r="N1644">
        <v>76</v>
      </c>
      <c r="O1644">
        <v>413</v>
      </c>
      <c r="P1644">
        <v>82.6</v>
      </c>
      <c r="Q1644" t="s">
        <v>47</v>
      </c>
      <c r="R1644" t="s">
        <v>41</v>
      </c>
      <c r="S1644">
        <v>3694</v>
      </c>
      <c r="T1644" t="s">
        <v>48</v>
      </c>
      <c r="U1644" t="str">
        <f t="shared" si="25"/>
        <v>Pass</v>
      </c>
    </row>
    <row r="1645" spans="1:21">
      <c r="A1645" t="s">
        <v>2907</v>
      </c>
      <c r="B1645" t="s">
        <v>236</v>
      </c>
      <c r="C1645" t="s">
        <v>22</v>
      </c>
      <c r="D1645">
        <v>7</v>
      </c>
      <c r="E1645" t="s">
        <v>31</v>
      </c>
      <c r="F1645">
        <v>13</v>
      </c>
      <c r="G1645" t="s">
        <v>38</v>
      </c>
      <c r="H1645" t="s">
        <v>427</v>
      </c>
      <c r="I1645">
        <v>69</v>
      </c>
      <c r="J1645">
        <v>67</v>
      </c>
      <c r="K1645">
        <v>92</v>
      </c>
      <c r="L1645">
        <v>38</v>
      </c>
      <c r="M1645">
        <v>56</v>
      </c>
      <c r="N1645">
        <v>37</v>
      </c>
      <c r="O1645">
        <v>290</v>
      </c>
      <c r="P1645">
        <v>58</v>
      </c>
      <c r="Q1645" t="s">
        <v>31</v>
      </c>
      <c r="R1645" t="s">
        <v>27</v>
      </c>
      <c r="S1645">
        <v>4875</v>
      </c>
      <c r="T1645" t="s">
        <v>48</v>
      </c>
      <c r="U1645" t="str">
        <f t="shared" si="25"/>
        <v>Pass</v>
      </c>
    </row>
    <row r="1646" spans="1:21">
      <c r="A1646" t="s">
        <v>2908</v>
      </c>
      <c r="B1646" t="s">
        <v>205</v>
      </c>
      <c r="C1646" t="s">
        <v>22</v>
      </c>
      <c r="D1646">
        <v>6</v>
      </c>
      <c r="E1646" t="s">
        <v>31</v>
      </c>
      <c r="F1646">
        <v>12</v>
      </c>
      <c r="G1646" t="s">
        <v>58</v>
      </c>
      <c r="H1646" t="s">
        <v>1279</v>
      </c>
      <c r="I1646">
        <v>83</v>
      </c>
      <c r="J1646">
        <v>74</v>
      </c>
      <c r="K1646">
        <v>73</v>
      </c>
      <c r="L1646">
        <v>79</v>
      </c>
      <c r="M1646">
        <v>53</v>
      </c>
      <c r="N1646">
        <v>49</v>
      </c>
      <c r="O1646">
        <v>328</v>
      </c>
      <c r="P1646">
        <v>65.599999999999994</v>
      </c>
      <c r="Q1646" t="s">
        <v>26</v>
      </c>
      <c r="R1646" t="s">
        <v>41</v>
      </c>
      <c r="S1646">
        <v>2446</v>
      </c>
      <c r="T1646" t="s">
        <v>34</v>
      </c>
      <c r="U1646" t="str">
        <f t="shared" si="25"/>
        <v>Pass</v>
      </c>
    </row>
    <row r="1647" spans="1:21">
      <c r="A1647" t="s">
        <v>2909</v>
      </c>
      <c r="B1647" t="s">
        <v>373</v>
      </c>
      <c r="C1647" t="s">
        <v>22</v>
      </c>
      <c r="D1647">
        <v>7</v>
      </c>
      <c r="E1647" t="s">
        <v>31</v>
      </c>
      <c r="F1647">
        <v>12</v>
      </c>
      <c r="G1647" t="s">
        <v>54</v>
      </c>
      <c r="H1647" t="s">
        <v>2910</v>
      </c>
      <c r="I1647">
        <v>82</v>
      </c>
      <c r="J1647">
        <v>91</v>
      </c>
      <c r="K1647">
        <v>37</v>
      </c>
      <c r="L1647">
        <v>48</v>
      </c>
      <c r="M1647">
        <v>100</v>
      </c>
      <c r="N1647">
        <v>91</v>
      </c>
      <c r="O1647">
        <v>367</v>
      </c>
      <c r="P1647">
        <v>73.400000000000006</v>
      </c>
      <c r="Q1647" t="s">
        <v>40</v>
      </c>
      <c r="R1647" t="s">
        <v>41</v>
      </c>
      <c r="S1647">
        <v>2315</v>
      </c>
      <c r="T1647" t="s">
        <v>66</v>
      </c>
      <c r="U1647" t="str">
        <f t="shared" si="25"/>
        <v>Pass</v>
      </c>
    </row>
    <row r="1648" spans="1:21">
      <c r="A1648" t="s">
        <v>2911</v>
      </c>
      <c r="B1648" t="s">
        <v>808</v>
      </c>
      <c r="C1648" t="s">
        <v>37</v>
      </c>
      <c r="D1648">
        <v>9</v>
      </c>
      <c r="E1648" t="s">
        <v>47</v>
      </c>
      <c r="F1648">
        <v>14</v>
      </c>
      <c r="G1648" t="s">
        <v>54</v>
      </c>
      <c r="H1648" t="s">
        <v>2481</v>
      </c>
      <c r="I1648">
        <v>87</v>
      </c>
      <c r="J1648">
        <v>91</v>
      </c>
      <c r="K1648">
        <v>96</v>
      </c>
      <c r="L1648">
        <v>35</v>
      </c>
      <c r="M1648">
        <v>37</v>
      </c>
      <c r="N1648">
        <v>39</v>
      </c>
      <c r="O1648">
        <v>298</v>
      </c>
      <c r="P1648">
        <v>59.6</v>
      </c>
      <c r="Q1648" t="s">
        <v>31</v>
      </c>
      <c r="R1648" t="s">
        <v>27</v>
      </c>
      <c r="S1648">
        <v>3936</v>
      </c>
      <c r="T1648" t="s">
        <v>66</v>
      </c>
      <c r="U1648" t="str">
        <f t="shared" si="25"/>
        <v>Pass</v>
      </c>
    </row>
    <row r="1649" spans="1:21">
      <c r="A1649" t="s">
        <v>2912</v>
      </c>
      <c r="B1649" t="s">
        <v>231</v>
      </c>
      <c r="C1649" t="s">
        <v>22</v>
      </c>
      <c r="D1649">
        <v>1</v>
      </c>
      <c r="E1649" t="s">
        <v>23</v>
      </c>
      <c r="F1649">
        <v>7</v>
      </c>
      <c r="G1649" t="s">
        <v>32</v>
      </c>
      <c r="H1649" t="s">
        <v>2913</v>
      </c>
      <c r="I1649">
        <v>97</v>
      </c>
      <c r="J1649">
        <v>48</v>
      </c>
      <c r="K1649">
        <v>46</v>
      </c>
      <c r="L1649">
        <v>46</v>
      </c>
      <c r="M1649">
        <v>51</v>
      </c>
      <c r="N1649">
        <v>51</v>
      </c>
      <c r="O1649">
        <v>242</v>
      </c>
      <c r="P1649">
        <v>48.4</v>
      </c>
      <c r="Q1649" t="s">
        <v>23</v>
      </c>
      <c r="R1649" t="s">
        <v>27</v>
      </c>
      <c r="S1649">
        <v>3606</v>
      </c>
      <c r="T1649" t="s">
        <v>42</v>
      </c>
      <c r="U1649" t="str">
        <f t="shared" si="25"/>
        <v>Fail</v>
      </c>
    </row>
    <row r="1650" spans="1:21">
      <c r="A1650" t="s">
        <v>2914</v>
      </c>
      <c r="B1650" t="s">
        <v>140</v>
      </c>
      <c r="C1650" t="s">
        <v>22</v>
      </c>
      <c r="D1650">
        <v>3</v>
      </c>
      <c r="E1650" t="s">
        <v>26</v>
      </c>
      <c r="F1650">
        <v>8</v>
      </c>
      <c r="G1650" t="s">
        <v>54</v>
      </c>
      <c r="H1650" t="s">
        <v>2088</v>
      </c>
      <c r="I1650">
        <v>97</v>
      </c>
      <c r="J1650">
        <v>92</v>
      </c>
      <c r="K1650">
        <v>64</v>
      </c>
      <c r="L1650">
        <v>41</v>
      </c>
      <c r="M1650">
        <v>46</v>
      </c>
      <c r="N1650">
        <v>98</v>
      </c>
      <c r="O1650">
        <v>341</v>
      </c>
      <c r="P1650">
        <v>68.2</v>
      </c>
      <c r="Q1650" t="s">
        <v>26</v>
      </c>
      <c r="R1650" t="s">
        <v>41</v>
      </c>
      <c r="S1650">
        <v>4616</v>
      </c>
      <c r="T1650" t="s">
        <v>34</v>
      </c>
      <c r="U1650" t="str">
        <f t="shared" si="25"/>
        <v>Pass</v>
      </c>
    </row>
    <row r="1651" spans="1:21">
      <c r="A1651" t="s">
        <v>2915</v>
      </c>
      <c r="B1651" t="s">
        <v>735</v>
      </c>
      <c r="C1651" t="s">
        <v>37</v>
      </c>
      <c r="D1651">
        <v>11</v>
      </c>
      <c r="E1651" t="s">
        <v>31</v>
      </c>
      <c r="F1651">
        <v>16</v>
      </c>
      <c r="G1651" t="s">
        <v>45</v>
      </c>
      <c r="H1651" t="s">
        <v>1014</v>
      </c>
      <c r="I1651">
        <v>92</v>
      </c>
      <c r="J1651">
        <v>57</v>
      </c>
      <c r="K1651">
        <v>96</v>
      </c>
      <c r="L1651">
        <v>79</v>
      </c>
      <c r="M1651">
        <v>39</v>
      </c>
      <c r="N1651">
        <v>54</v>
      </c>
      <c r="O1651">
        <v>325</v>
      </c>
      <c r="P1651">
        <v>65</v>
      </c>
      <c r="Q1651" t="s">
        <v>26</v>
      </c>
      <c r="R1651" t="s">
        <v>41</v>
      </c>
      <c r="S1651">
        <v>4834</v>
      </c>
      <c r="T1651" t="s">
        <v>48</v>
      </c>
      <c r="U1651" t="str">
        <f t="shared" si="25"/>
        <v>Pass</v>
      </c>
    </row>
    <row r="1652" spans="1:21">
      <c r="A1652" t="s">
        <v>2916</v>
      </c>
      <c r="B1652" t="s">
        <v>134</v>
      </c>
      <c r="C1652" t="s">
        <v>37</v>
      </c>
      <c r="D1652">
        <v>8</v>
      </c>
      <c r="E1652" t="s">
        <v>31</v>
      </c>
      <c r="F1652">
        <v>14</v>
      </c>
      <c r="G1652" t="s">
        <v>38</v>
      </c>
      <c r="H1652" t="s">
        <v>355</v>
      </c>
      <c r="I1652">
        <v>67</v>
      </c>
      <c r="J1652">
        <v>40</v>
      </c>
      <c r="K1652">
        <v>82</v>
      </c>
      <c r="L1652">
        <v>71</v>
      </c>
      <c r="M1652">
        <v>50</v>
      </c>
      <c r="N1652">
        <v>66</v>
      </c>
      <c r="O1652">
        <v>309</v>
      </c>
      <c r="P1652">
        <v>61.8</v>
      </c>
      <c r="Q1652" t="s">
        <v>26</v>
      </c>
      <c r="R1652" t="s">
        <v>41</v>
      </c>
      <c r="S1652">
        <v>4764</v>
      </c>
      <c r="T1652" t="s">
        <v>70</v>
      </c>
      <c r="U1652" t="str">
        <f t="shared" si="25"/>
        <v>Pass</v>
      </c>
    </row>
    <row r="1653" spans="1:21">
      <c r="A1653" t="s">
        <v>2917</v>
      </c>
      <c r="B1653" t="s">
        <v>131</v>
      </c>
      <c r="C1653" t="s">
        <v>22</v>
      </c>
      <c r="D1653">
        <v>4</v>
      </c>
      <c r="E1653" t="s">
        <v>23</v>
      </c>
      <c r="F1653">
        <v>10</v>
      </c>
      <c r="G1653" t="s">
        <v>32</v>
      </c>
      <c r="H1653" t="s">
        <v>2463</v>
      </c>
      <c r="I1653">
        <v>90</v>
      </c>
      <c r="J1653">
        <v>76</v>
      </c>
      <c r="K1653">
        <v>54</v>
      </c>
      <c r="L1653">
        <v>96</v>
      </c>
      <c r="M1653">
        <v>44</v>
      </c>
      <c r="N1653">
        <v>45</v>
      </c>
      <c r="O1653">
        <v>315</v>
      </c>
      <c r="P1653">
        <v>63</v>
      </c>
      <c r="Q1653" t="s">
        <v>26</v>
      </c>
      <c r="R1653" t="s">
        <v>41</v>
      </c>
      <c r="S1653">
        <v>3133</v>
      </c>
      <c r="T1653" t="s">
        <v>66</v>
      </c>
      <c r="U1653" t="str">
        <f t="shared" si="25"/>
        <v>Pass</v>
      </c>
    </row>
    <row r="1654" spans="1:21">
      <c r="A1654" t="s">
        <v>2918</v>
      </c>
      <c r="B1654" t="s">
        <v>879</v>
      </c>
      <c r="C1654" t="s">
        <v>37</v>
      </c>
      <c r="D1654">
        <v>2</v>
      </c>
      <c r="E1654" t="s">
        <v>23</v>
      </c>
      <c r="F1654">
        <v>8</v>
      </c>
      <c r="G1654" t="s">
        <v>45</v>
      </c>
      <c r="H1654" t="s">
        <v>1648</v>
      </c>
      <c r="I1654">
        <v>99</v>
      </c>
      <c r="J1654">
        <v>83</v>
      </c>
      <c r="K1654">
        <v>87</v>
      </c>
      <c r="L1654">
        <v>36</v>
      </c>
      <c r="M1654">
        <v>80</v>
      </c>
      <c r="N1654">
        <v>40</v>
      </c>
      <c r="O1654">
        <v>326</v>
      </c>
      <c r="P1654">
        <v>65.2</v>
      </c>
      <c r="Q1654" t="s">
        <v>26</v>
      </c>
      <c r="R1654" t="s">
        <v>41</v>
      </c>
      <c r="S1654">
        <v>3202</v>
      </c>
      <c r="T1654" t="s">
        <v>28</v>
      </c>
      <c r="U1654" t="str">
        <f t="shared" si="25"/>
        <v>Pass</v>
      </c>
    </row>
    <row r="1655" spans="1:21">
      <c r="A1655" t="s">
        <v>2919</v>
      </c>
      <c r="B1655" t="s">
        <v>202</v>
      </c>
      <c r="C1655" t="s">
        <v>37</v>
      </c>
      <c r="D1655">
        <v>10</v>
      </c>
      <c r="E1655" t="s">
        <v>23</v>
      </c>
      <c r="F1655">
        <v>15</v>
      </c>
      <c r="G1655" t="s">
        <v>58</v>
      </c>
      <c r="H1655" t="s">
        <v>999</v>
      </c>
      <c r="I1655">
        <v>74</v>
      </c>
      <c r="J1655">
        <v>67</v>
      </c>
      <c r="K1655">
        <v>55</v>
      </c>
      <c r="L1655">
        <v>63</v>
      </c>
      <c r="M1655">
        <v>35</v>
      </c>
      <c r="N1655">
        <v>65</v>
      </c>
      <c r="O1655">
        <v>285</v>
      </c>
      <c r="P1655">
        <v>57</v>
      </c>
      <c r="Q1655" t="s">
        <v>31</v>
      </c>
      <c r="R1655" t="s">
        <v>41</v>
      </c>
      <c r="S1655">
        <v>3611</v>
      </c>
      <c r="T1655" t="s">
        <v>42</v>
      </c>
      <c r="U1655" t="str">
        <f t="shared" si="25"/>
        <v>Pass</v>
      </c>
    </row>
    <row r="1656" spans="1:21">
      <c r="A1656" t="s">
        <v>2920</v>
      </c>
      <c r="B1656" t="s">
        <v>1207</v>
      </c>
      <c r="C1656" t="s">
        <v>37</v>
      </c>
      <c r="D1656">
        <v>10</v>
      </c>
      <c r="E1656" t="s">
        <v>26</v>
      </c>
      <c r="F1656">
        <v>14</v>
      </c>
      <c r="G1656" t="s">
        <v>24</v>
      </c>
      <c r="H1656" t="s">
        <v>2921</v>
      </c>
      <c r="I1656">
        <v>99</v>
      </c>
      <c r="J1656">
        <v>42</v>
      </c>
      <c r="K1656">
        <v>64</v>
      </c>
      <c r="L1656">
        <v>45</v>
      </c>
      <c r="M1656">
        <v>71</v>
      </c>
      <c r="N1656">
        <v>50</v>
      </c>
      <c r="O1656">
        <v>272</v>
      </c>
      <c r="P1656">
        <v>54.4</v>
      </c>
      <c r="Q1656" t="s">
        <v>31</v>
      </c>
      <c r="R1656" t="s">
        <v>27</v>
      </c>
      <c r="S1656">
        <v>2585</v>
      </c>
      <c r="T1656" t="s">
        <v>34</v>
      </c>
      <c r="U1656" t="str">
        <f t="shared" si="25"/>
        <v>Fail</v>
      </c>
    </row>
    <row r="1657" spans="1:21">
      <c r="A1657" t="s">
        <v>2922</v>
      </c>
      <c r="B1657" t="s">
        <v>370</v>
      </c>
      <c r="C1657" t="s">
        <v>37</v>
      </c>
      <c r="D1657">
        <v>5</v>
      </c>
      <c r="E1657" t="s">
        <v>47</v>
      </c>
      <c r="F1657">
        <v>9</v>
      </c>
      <c r="G1657" t="s">
        <v>54</v>
      </c>
      <c r="H1657" t="s">
        <v>1418</v>
      </c>
      <c r="I1657">
        <v>99</v>
      </c>
      <c r="J1657">
        <v>89</v>
      </c>
      <c r="K1657">
        <v>39</v>
      </c>
      <c r="L1657">
        <v>49</v>
      </c>
      <c r="M1657">
        <v>89</v>
      </c>
      <c r="N1657">
        <v>84</v>
      </c>
      <c r="O1657">
        <v>350</v>
      </c>
      <c r="P1657">
        <v>70</v>
      </c>
      <c r="Q1657" t="s">
        <v>40</v>
      </c>
      <c r="R1657" t="s">
        <v>27</v>
      </c>
      <c r="S1657">
        <v>4160</v>
      </c>
      <c r="T1657" t="s">
        <v>42</v>
      </c>
      <c r="U1657" t="str">
        <f t="shared" si="25"/>
        <v>Pass</v>
      </c>
    </row>
    <row r="1658" spans="1:21">
      <c r="A1658" t="s">
        <v>2923</v>
      </c>
      <c r="B1658" t="s">
        <v>1644</v>
      </c>
      <c r="C1658" t="s">
        <v>37</v>
      </c>
      <c r="D1658">
        <v>5</v>
      </c>
      <c r="E1658" t="s">
        <v>47</v>
      </c>
      <c r="F1658">
        <v>9</v>
      </c>
      <c r="G1658" t="s">
        <v>58</v>
      </c>
      <c r="H1658" t="s">
        <v>406</v>
      </c>
      <c r="I1658">
        <v>84</v>
      </c>
      <c r="J1658">
        <v>49</v>
      </c>
      <c r="K1658">
        <v>64</v>
      </c>
      <c r="L1658">
        <v>41</v>
      </c>
      <c r="M1658">
        <v>77</v>
      </c>
      <c r="N1658">
        <v>70</v>
      </c>
      <c r="O1658">
        <v>301</v>
      </c>
      <c r="P1658">
        <v>60.2</v>
      </c>
      <c r="Q1658" t="s">
        <v>26</v>
      </c>
      <c r="R1658" t="s">
        <v>41</v>
      </c>
      <c r="S1658">
        <v>3645</v>
      </c>
      <c r="T1658" t="s">
        <v>48</v>
      </c>
      <c r="U1658" t="str">
        <f t="shared" si="25"/>
        <v>Pass</v>
      </c>
    </row>
    <row r="1659" spans="1:21">
      <c r="A1659" t="s">
        <v>2924</v>
      </c>
      <c r="B1659" t="s">
        <v>168</v>
      </c>
      <c r="C1659" t="s">
        <v>22</v>
      </c>
      <c r="D1659">
        <v>12</v>
      </c>
      <c r="E1659" t="s">
        <v>23</v>
      </c>
      <c r="F1659">
        <v>17</v>
      </c>
      <c r="G1659" t="s">
        <v>24</v>
      </c>
      <c r="H1659" t="s">
        <v>2925</v>
      </c>
      <c r="I1659">
        <v>83</v>
      </c>
      <c r="J1659">
        <v>80</v>
      </c>
      <c r="K1659">
        <v>56</v>
      </c>
      <c r="L1659">
        <v>74</v>
      </c>
      <c r="M1659">
        <v>97</v>
      </c>
      <c r="N1659">
        <v>90</v>
      </c>
      <c r="O1659">
        <v>397</v>
      </c>
      <c r="P1659">
        <v>79.400000000000006</v>
      </c>
      <c r="Q1659" t="s">
        <v>40</v>
      </c>
      <c r="R1659" t="s">
        <v>27</v>
      </c>
      <c r="S1659">
        <v>4477</v>
      </c>
      <c r="T1659" t="s">
        <v>42</v>
      </c>
      <c r="U1659" t="str">
        <f t="shared" si="25"/>
        <v>Pass</v>
      </c>
    </row>
    <row r="1660" spans="1:21">
      <c r="A1660" t="s">
        <v>2926</v>
      </c>
      <c r="B1660" t="s">
        <v>81</v>
      </c>
      <c r="C1660" t="s">
        <v>22</v>
      </c>
      <c r="D1660">
        <v>7</v>
      </c>
      <c r="E1660" t="s">
        <v>31</v>
      </c>
      <c r="F1660">
        <v>12</v>
      </c>
      <c r="G1660" t="s">
        <v>38</v>
      </c>
      <c r="H1660" t="s">
        <v>2927</v>
      </c>
      <c r="I1660">
        <v>70</v>
      </c>
      <c r="J1660">
        <v>96</v>
      </c>
      <c r="K1660">
        <v>74</v>
      </c>
      <c r="L1660">
        <v>97</v>
      </c>
      <c r="M1660">
        <v>91</v>
      </c>
      <c r="N1660">
        <v>72</v>
      </c>
      <c r="O1660">
        <v>430</v>
      </c>
      <c r="P1660">
        <v>86</v>
      </c>
      <c r="Q1660" t="s">
        <v>47</v>
      </c>
      <c r="R1660" t="s">
        <v>27</v>
      </c>
      <c r="S1660">
        <v>3010</v>
      </c>
      <c r="T1660" t="s">
        <v>70</v>
      </c>
      <c r="U1660" t="str">
        <f t="shared" si="25"/>
        <v>Pass</v>
      </c>
    </row>
    <row r="1661" spans="1:21">
      <c r="A1661" t="s">
        <v>2928</v>
      </c>
      <c r="B1661" t="s">
        <v>622</v>
      </c>
      <c r="C1661" t="s">
        <v>37</v>
      </c>
      <c r="D1661">
        <v>12</v>
      </c>
      <c r="E1661" t="s">
        <v>47</v>
      </c>
      <c r="F1661">
        <v>18</v>
      </c>
      <c r="G1661" t="s">
        <v>64</v>
      </c>
      <c r="H1661" t="s">
        <v>1446</v>
      </c>
      <c r="I1661">
        <v>79</v>
      </c>
      <c r="J1661">
        <v>96</v>
      </c>
      <c r="K1661">
        <v>75</v>
      </c>
      <c r="L1661">
        <v>96</v>
      </c>
      <c r="M1661">
        <v>50</v>
      </c>
      <c r="N1661">
        <v>45</v>
      </c>
      <c r="O1661">
        <v>362</v>
      </c>
      <c r="P1661">
        <v>72.400000000000006</v>
      </c>
      <c r="Q1661" t="s">
        <v>40</v>
      </c>
      <c r="R1661" t="s">
        <v>41</v>
      </c>
      <c r="S1661">
        <v>4243</v>
      </c>
      <c r="T1661" t="s">
        <v>48</v>
      </c>
      <c r="U1661" t="str">
        <f t="shared" si="25"/>
        <v>Pass</v>
      </c>
    </row>
    <row r="1662" spans="1:21">
      <c r="A1662" t="s">
        <v>2929</v>
      </c>
      <c r="B1662" t="s">
        <v>181</v>
      </c>
      <c r="C1662" t="s">
        <v>22</v>
      </c>
      <c r="D1662">
        <v>3</v>
      </c>
      <c r="E1662" t="s">
        <v>31</v>
      </c>
      <c r="F1662">
        <v>8</v>
      </c>
      <c r="G1662" t="s">
        <v>38</v>
      </c>
      <c r="H1662" t="s">
        <v>2631</v>
      </c>
      <c r="I1662">
        <v>90</v>
      </c>
      <c r="J1662">
        <v>62</v>
      </c>
      <c r="K1662">
        <v>76</v>
      </c>
      <c r="L1662">
        <v>47</v>
      </c>
      <c r="M1662">
        <v>88</v>
      </c>
      <c r="N1662">
        <v>44</v>
      </c>
      <c r="O1662">
        <v>317</v>
      </c>
      <c r="P1662">
        <v>63.4</v>
      </c>
      <c r="Q1662" t="s">
        <v>26</v>
      </c>
      <c r="R1662" t="s">
        <v>41</v>
      </c>
      <c r="S1662">
        <v>1621</v>
      </c>
      <c r="T1662" t="s">
        <v>66</v>
      </c>
      <c r="U1662" t="str">
        <f t="shared" si="25"/>
        <v>Pass</v>
      </c>
    </row>
    <row r="1663" spans="1:21">
      <c r="A1663" t="s">
        <v>2930</v>
      </c>
      <c r="B1663" t="s">
        <v>178</v>
      </c>
      <c r="C1663" t="s">
        <v>22</v>
      </c>
      <c r="D1663">
        <v>2</v>
      </c>
      <c r="E1663" t="s">
        <v>31</v>
      </c>
      <c r="F1663">
        <v>8</v>
      </c>
      <c r="G1663" t="s">
        <v>45</v>
      </c>
      <c r="H1663" t="s">
        <v>1174</v>
      </c>
      <c r="I1663">
        <v>99</v>
      </c>
      <c r="J1663">
        <v>36</v>
      </c>
      <c r="K1663">
        <v>72</v>
      </c>
      <c r="L1663">
        <v>99</v>
      </c>
      <c r="M1663">
        <v>42</v>
      </c>
      <c r="N1663">
        <v>46</v>
      </c>
      <c r="O1663">
        <v>295</v>
      </c>
      <c r="P1663">
        <v>59</v>
      </c>
      <c r="Q1663" t="s">
        <v>31</v>
      </c>
      <c r="R1663" t="s">
        <v>27</v>
      </c>
      <c r="S1663">
        <v>4853</v>
      </c>
      <c r="T1663" t="s">
        <v>42</v>
      </c>
      <c r="U1663" t="str">
        <f t="shared" si="25"/>
        <v>Pass</v>
      </c>
    </row>
    <row r="1664" spans="1:21">
      <c r="A1664" t="s">
        <v>2931</v>
      </c>
      <c r="B1664" t="s">
        <v>44</v>
      </c>
      <c r="C1664" t="s">
        <v>22</v>
      </c>
      <c r="D1664">
        <v>12</v>
      </c>
      <c r="E1664" t="s">
        <v>47</v>
      </c>
      <c r="F1664">
        <v>16</v>
      </c>
      <c r="G1664" t="s">
        <v>32</v>
      </c>
      <c r="H1664" t="s">
        <v>2932</v>
      </c>
      <c r="I1664">
        <v>65</v>
      </c>
      <c r="J1664">
        <v>75</v>
      </c>
      <c r="K1664">
        <v>98</v>
      </c>
      <c r="L1664">
        <v>92</v>
      </c>
      <c r="M1664">
        <v>65</v>
      </c>
      <c r="N1664">
        <v>59</v>
      </c>
      <c r="O1664">
        <v>389</v>
      </c>
      <c r="P1664">
        <v>77.8</v>
      </c>
      <c r="Q1664" t="s">
        <v>40</v>
      </c>
      <c r="R1664" t="s">
        <v>27</v>
      </c>
      <c r="S1664">
        <v>2235</v>
      </c>
      <c r="T1664" t="s">
        <v>28</v>
      </c>
      <c r="U1664" t="str">
        <f t="shared" si="25"/>
        <v>Pass</v>
      </c>
    </row>
    <row r="1665" spans="1:21">
      <c r="A1665" t="s">
        <v>2933</v>
      </c>
      <c r="B1665" t="s">
        <v>1410</v>
      </c>
      <c r="C1665" t="s">
        <v>37</v>
      </c>
      <c r="D1665">
        <v>3</v>
      </c>
      <c r="E1665" t="s">
        <v>31</v>
      </c>
      <c r="F1665">
        <v>8</v>
      </c>
      <c r="G1665" t="s">
        <v>64</v>
      </c>
      <c r="H1665" t="s">
        <v>424</v>
      </c>
      <c r="I1665">
        <v>69</v>
      </c>
      <c r="J1665">
        <v>60</v>
      </c>
      <c r="K1665">
        <v>97</v>
      </c>
      <c r="L1665">
        <v>90</v>
      </c>
      <c r="M1665">
        <v>43</v>
      </c>
      <c r="N1665">
        <v>79</v>
      </c>
      <c r="O1665">
        <v>369</v>
      </c>
      <c r="P1665">
        <v>73.8</v>
      </c>
      <c r="Q1665" t="s">
        <v>40</v>
      </c>
      <c r="R1665" t="s">
        <v>41</v>
      </c>
      <c r="S1665">
        <v>3961</v>
      </c>
      <c r="T1665" t="s">
        <v>28</v>
      </c>
      <c r="U1665" t="str">
        <f t="shared" si="25"/>
        <v>Pass</v>
      </c>
    </row>
    <row r="1666" spans="1:21">
      <c r="A1666" t="s">
        <v>2934</v>
      </c>
      <c r="B1666" t="s">
        <v>36</v>
      </c>
      <c r="C1666" t="s">
        <v>22</v>
      </c>
      <c r="D1666">
        <v>9</v>
      </c>
      <c r="E1666" t="s">
        <v>23</v>
      </c>
      <c r="F1666">
        <v>15</v>
      </c>
      <c r="G1666" t="s">
        <v>54</v>
      </c>
      <c r="H1666" t="s">
        <v>1368</v>
      </c>
      <c r="I1666">
        <v>93</v>
      </c>
      <c r="J1666">
        <v>100</v>
      </c>
      <c r="K1666">
        <v>46</v>
      </c>
      <c r="L1666">
        <v>61</v>
      </c>
      <c r="M1666">
        <v>97</v>
      </c>
      <c r="N1666">
        <v>42</v>
      </c>
      <c r="O1666">
        <v>346</v>
      </c>
      <c r="P1666">
        <v>69.2</v>
      </c>
      <c r="Q1666" t="s">
        <v>26</v>
      </c>
      <c r="R1666" t="s">
        <v>41</v>
      </c>
      <c r="S1666">
        <v>1918</v>
      </c>
      <c r="T1666" t="s">
        <v>42</v>
      </c>
      <c r="U1666" t="str">
        <f t="shared" si="25"/>
        <v>Pass</v>
      </c>
    </row>
    <row r="1667" spans="1:21">
      <c r="A1667" t="s">
        <v>2935</v>
      </c>
      <c r="B1667" t="s">
        <v>835</v>
      </c>
      <c r="C1667" t="s">
        <v>22</v>
      </c>
      <c r="D1667">
        <v>3</v>
      </c>
      <c r="E1667" t="s">
        <v>23</v>
      </c>
      <c r="F1667">
        <v>9</v>
      </c>
      <c r="G1667" t="s">
        <v>54</v>
      </c>
      <c r="H1667" t="s">
        <v>1043</v>
      </c>
      <c r="I1667">
        <v>94</v>
      </c>
      <c r="J1667">
        <v>87</v>
      </c>
      <c r="K1667">
        <v>54</v>
      </c>
      <c r="L1667">
        <v>66</v>
      </c>
      <c r="M1667">
        <v>75</v>
      </c>
      <c r="N1667">
        <v>61</v>
      </c>
      <c r="O1667">
        <v>343</v>
      </c>
      <c r="P1667">
        <v>68.599999999999994</v>
      </c>
      <c r="Q1667" t="s">
        <v>26</v>
      </c>
      <c r="R1667" t="s">
        <v>27</v>
      </c>
      <c r="S1667">
        <v>3800</v>
      </c>
      <c r="T1667" t="s">
        <v>66</v>
      </c>
      <c r="U1667" t="str">
        <f t="shared" ref="U1667:U1730" si="26">IF(P1667&gt;55,"Pass","Fail")</f>
        <v>Pass</v>
      </c>
    </row>
    <row r="1668" spans="1:21">
      <c r="A1668" t="s">
        <v>2936</v>
      </c>
      <c r="B1668" t="s">
        <v>714</v>
      </c>
      <c r="C1668" t="s">
        <v>37</v>
      </c>
      <c r="D1668">
        <v>11</v>
      </c>
      <c r="E1668" t="s">
        <v>23</v>
      </c>
      <c r="F1668">
        <v>15</v>
      </c>
      <c r="G1668" t="s">
        <v>64</v>
      </c>
      <c r="H1668" t="s">
        <v>2628</v>
      </c>
      <c r="I1668">
        <v>70</v>
      </c>
      <c r="J1668">
        <v>59</v>
      </c>
      <c r="K1668">
        <v>80</v>
      </c>
      <c r="L1668">
        <v>40</v>
      </c>
      <c r="M1668">
        <v>50</v>
      </c>
      <c r="N1668">
        <v>70</v>
      </c>
      <c r="O1668">
        <v>299</v>
      </c>
      <c r="P1668">
        <v>59.8</v>
      </c>
      <c r="Q1668" t="s">
        <v>31</v>
      </c>
      <c r="R1668" t="s">
        <v>41</v>
      </c>
      <c r="S1668">
        <v>4451</v>
      </c>
      <c r="T1668" t="s">
        <v>48</v>
      </c>
      <c r="U1668" t="str">
        <f t="shared" si="26"/>
        <v>Pass</v>
      </c>
    </row>
    <row r="1669" spans="1:21">
      <c r="A1669" t="s">
        <v>2937</v>
      </c>
      <c r="B1669" t="s">
        <v>1644</v>
      </c>
      <c r="C1669" t="s">
        <v>37</v>
      </c>
      <c r="D1669">
        <v>2</v>
      </c>
      <c r="E1669" t="s">
        <v>31</v>
      </c>
      <c r="F1669">
        <v>7</v>
      </c>
      <c r="G1669" t="s">
        <v>64</v>
      </c>
      <c r="H1669" t="s">
        <v>2015</v>
      </c>
      <c r="I1669">
        <v>73</v>
      </c>
      <c r="J1669">
        <v>85</v>
      </c>
      <c r="K1669">
        <v>98</v>
      </c>
      <c r="L1669">
        <v>89</v>
      </c>
      <c r="M1669">
        <v>59</v>
      </c>
      <c r="N1669">
        <v>88</v>
      </c>
      <c r="O1669">
        <v>419</v>
      </c>
      <c r="P1669">
        <v>83.8</v>
      </c>
      <c r="Q1669" t="s">
        <v>47</v>
      </c>
      <c r="R1669" t="s">
        <v>41</v>
      </c>
      <c r="S1669">
        <v>4112</v>
      </c>
      <c r="T1669" t="s">
        <v>70</v>
      </c>
      <c r="U1669" t="str">
        <f t="shared" si="26"/>
        <v>Pass</v>
      </c>
    </row>
    <row r="1670" spans="1:21">
      <c r="A1670" t="s">
        <v>2938</v>
      </c>
      <c r="B1670" t="s">
        <v>137</v>
      </c>
      <c r="C1670" t="s">
        <v>37</v>
      </c>
      <c r="D1670">
        <v>9</v>
      </c>
      <c r="E1670" t="s">
        <v>26</v>
      </c>
      <c r="F1670">
        <v>13</v>
      </c>
      <c r="G1670" t="s">
        <v>32</v>
      </c>
      <c r="H1670" t="s">
        <v>387</v>
      </c>
      <c r="I1670">
        <v>93</v>
      </c>
      <c r="J1670">
        <v>43</v>
      </c>
      <c r="K1670">
        <v>59</v>
      </c>
      <c r="L1670">
        <v>68</v>
      </c>
      <c r="M1670">
        <v>69</v>
      </c>
      <c r="N1670">
        <v>59</v>
      </c>
      <c r="O1670">
        <v>298</v>
      </c>
      <c r="P1670">
        <v>59.6</v>
      </c>
      <c r="Q1670" t="s">
        <v>31</v>
      </c>
      <c r="R1670" t="s">
        <v>41</v>
      </c>
      <c r="S1670">
        <v>4851</v>
      </c>
      <c r="T1670" t="s">
        <v>70</v>
      </c>
      <c r="U1670" t="str">
        <f t="shared" si="26"/>
        <v>Pass</v>
      </c>
    </row>
    <row r="1671" spans="1:21">
      <c r="A1671" t="s">
        <v>2939</v>
      </c>
      <c r="B1671" t="s">
        <v>280</v>
      </c>
      <c r="C1671" t="s">
        <v>22</v>
      </c>
      <c r="D1671">
        <v>9</v>
      </c>
      <c r="E1671" t="s">
        <v>31</v>
      </c>
      <c r="F1671">
        <v>15</v>
      </c>
      <c r="G1671" t="s">
        <v>24</v>
      </c>
      <c r="H1671" t="s">
        <v>1384</v>
      </c>
      <c r="I1671">
        <v>67</v>
      </c>
      <c r="J1671">
        <v>77</v>
      </c>
      <c r="K1671">
        <v>50</v>
      </c>
      <c r="L1671">
        <v>58</v>
      </c>
      <c r="M1671">
        <v>45</v>
      </c>
      <c r="N1671">
        <v>37</v>
      </c>
      <c r="O1671">
        <v>267</v>
      </c>
      <c r="P1671">
        <v>53.4</v>
      </c>
      <c r="Q1671" t="s">
        <v>31</v>
      </c>
      <c r="R1671" t="s">
        <v>41</v>
      </c>
      <c r="S1671">
        <v>1546</v>
      </c>
      <c r="T1671" t="s">
        <v>66</v>
      </c>
      <c r="U1671" t="str">
        <f t="shared" si="26"/>
        <v>Fail</v>
      </c>
    </row>
    <row r="1672" spans="1:21">
      <c r="A1672" t="s">
        <v>2940</v>
      </c>
      <c r="B1672" t="s">
        <v>582</v>
      </c>
      <c r="C1672" t="s">
        <v>37</v>
      </c>
      <c r="D1672">
        <v>8</v>
      </c>
      <c r="E1672" t="s">
        <v>26</v>
      </c>
      <c r="F1672">
        <v>13</v>
      </c>
      <c r="G1672" t="s">
        <v>54</v>
      </c>
      <c r="H1672" t="s">
        <v>1050</v>
      </c>
      <c r="I1672">
        <v>81</v>
      </c>
      <c r="J1672">
        <v>83</v>
      </c>
      <c r="K1672">
        <v>80</v>
      </c>
      <c r="L1672">
        <v>72</v>
      </c>
      <c r="M1672">
        <v>93</v>
      </c>
      <c r="N1672">
        <v>44</v>
      </c>
      <c r="O1672">
        <v>372</v>
      </c>
      <c r="P1672">
        <v>74.400000000000006</v>
      </c>
      <c r="Q1672" t="s">
        <v>40</v>
      </c>
      <c r="R1672" t="s">
        <v>41</v>
      </c>
      <c r="S1672">
        <v>4347</v>
      </c>
      <c r="T1672" t="s">
        <v>42</v>
      </c>
      <c r="U1672" t="str">
        <f t="shared" si="26"/>
        <v>Pass</v>
      </c>
    </row>
    <row r="1673" spans="1:21">
      <c r="A1673" t="s">
        <v>2941</v>
      </c>
      <c r="B1673" t="s">
        <v>274</v>
      </c>
      <c r="C1673" t="s">
        <v>37</v>
      </c>
      <c r="D1673">
        <v>11</v>
      </c>
      <c r="E1673" t="s">
        <v>23</v>
      </c>
      <c r="F1673">
        <v>15</v>
      </c>
      <c r="G1673" t="s">
        <v>45</v>
      </c>
      <c r="H1673" t="s">
        <v>2335</v>
      </c>
      <c r="I1673">
        <v>98</v>
      </c>
      <c r="J1673">
        <v>92</v>
      </c>
      <c r="K1673">
        <v>38</v>
      </c>
      <c r="L1673">
        <v>75</v>
      </c>
      <c r="M1673">
        <v>92</v>
      </c>
      <c r="N1673">
        <v>95</v>
      </c>
      <c r="O1673">
        <v>392</v>
      </c>
      <c r="P1673">
        <v>78.400000000000006</v>
      </c>
      <c r="Q1673" t="s">
        <v>40</v>
      </c>
      <c r="R1673" t="s">
        <v>27</v>
      </c>
      <c r="S1673">
        <v>4322</v>
      </c>
      <c r="T1673" t="s">
        <v>48</v>
      </c>
      <c r="U1673" t="str">
        <f t="shared" si="26"/>
        <v>Pass</v>
      </c>
    </row>
    <row r="1674" spans="1:21">
      <c r="A1674" t="s">
        <v>2942</v>
      </c>
      <c r="B1674" t="s">
        <v>562</v>
      </c>
      <c r="C1674" t="s">
        <v>22</v>
      </c>
      <c r="D1674">
        <v>8</v>
      </c>
      <c r="E1674" t="s">
        <v>23</v>
      </c>
      <c r="F1674">
        <v>13</v>
      </c>
      <c r="G1674" t="s">
        <v>24</v>
      </c>
      <c r="H1674" t="s">
        <v>1872</v>
      </c>
      <c r="I1674">
        <v>67</v>
      </c>
      <c r="J1674">
        <v>62</v>
      </c>
      <c r="K1674">
        <v>100</v>
      </c>
      <c r="L1674">
        <v>55</v>
      </c>
      <c r="M1674">
        <v>76</v>
      </c>
      <c r="N1674">
        <v>48</v>
      </c>
      <c r="O1674">
        <v>341</v>
      </c>
      <c r="P1674">
        <v>68.2</v>
      </c>
      <c r="Q1674" t="s">
        <v>26</v>
      </c>
      <c r="R1674" t="s">
        <v>41</v>
      </c>
      <c r="S1674">
        <v>1987</v>
      </c>
      <c r="T1674" t="s">
        <v>70</v>
      </c>
      <c r="U1674" t="str">
        <f t="shared" si="26"/>
        <v>Pass</v>
      </c>
    </row>
    <row r="1675" spans="1:21">
      <c r="A1675" t="s">
        <v>2943</v>
      </c>
      <c r="B1675" t="s">
        <v>832</v>
      </c>
      <c r="C1675" t="s">
        <v>37</v>
      </c>
      <c r="D1675">
        <v>12</v>
      </c>
      <c r="E1675" t="s">
        <v>23</v>
      </c>
      <c r="F1675">
        <v>17</v>
      </c>
      <c r="G1675" t="s">
        <v>64</v>
      </c>
      <c r="H1675" t="s">
        <v>968</v>
      </c>
      <c r="I1675">
        <v>65</v>
      </c>
      <c r="J1675">
        <v>49</v>
      </c>
      <c r="K1675">
        <v>59</v>
      </c>
      <c r="L1675">
        <v>49</v>
      </c>
      <c r="M1675">
        <v>38</v>
      </c>
      <c r="N1675">
        <v>55</v>
      </c>
      <c r="O1675">
        <v>250</v>
      </c>
      <c r="P1675">
        <v>50</v>
      </c>
      <c r="Q1675" t="s">
        <v>31</v>
      </c>
      <c r="R1675" t="s">
        <v>27</v>
      </c>
      <c r="S1675">
        <v>1778</v>
      </c>
      <c r="T1675" t="s">
        <v>42</v>
      </c>
      <c r="U1675" t="str">
        <f t="shared" si="26"/>
        <v>Fail</v>
      </c>
    </row>
    <row r="1676" spans="1:21">
      <c r="A1676" t="s">
        <v>2944</v>
      </c>
      <c r="B1676" t="s">
        <v>370</v>
      </c>
      <c r="C1676" t="s">
        <v>37</v>
      </c>
      <c r="D1676">
        <v>11</v>
      </c>
      <c r="E1676" t="s">
        <v>23</v>
      </c>
      <c r="F1676">
        <v>17</v>
      </c>
      <c r="G1676" t="s">
        <v>24</v>
      </c>
      <c r="H1676" t="s">
        <v>1496</v>
      </c>
      <c r="I1676">
        <v>83</v>
      </c>
      <c r="J1676">
        <v>60</v>
      </c>
      <c r="K1676">
        <v>68</v>
      </c>
      <c r="L1676">
        <v>46</v>
      </c>
      <c r="M1676">
        <v>78</v>
      </c>
      <c r="N1676">
        <v>91</v>
      </c>
      <c r="O1676">
        <v>343</v>
      </c>
      <c r="P1676">
        <v>68.599999999999994</v>
      </c>
      <c r="Q1676" t="s">
        <v>26</v>
      </c>
      <c r="R1676" t="s">
        <v>27</v>
      </c>
      <c r="S1676">
        <v>2592</v>
      </c>
      <c r="T1676" t="s">
        <v>48</v>
      </c>
      <c r="U1676" t="str">
        <f t="shared" si="26"/>
        <v>Pass</v>
      </c>
    </row>
    <row r="1677" spans="1:21">
      <c r="A1677" t="s">
        <v>2945</v>
      </c>
      <c r="B1677" t="s">
        <v>835</v>
      </c>
      <c r="C1677" t="s">
        <v>22</v>
      </c>
      <c r="D1677">
        <v>1</v>
      </c>
      <c r="E1677" t="s">
        <v>31</v>
      </c>
      <c r="F1677">
        <v>7</v>
      </c>
      <c r="G1677" t="s">
        <v>54</v>
      </c>
      <c r="H1677" t="s">
        <v>320</v>
      </c>
      <c r="I1677">
        <v>61</v>
      </c>
      <c r="J1677">
        <v>38</v>
      </c>
      <c r="K1677">
        <v>82</v>
      </c>
      <c r="L1677">
        <v>73</v>
      </c>
      <c r="M1677">
        <v>64</v>
      </c>
      <c r="N1677">
        <v>42</v>
      </c>
      <c r="O1677">
        <v>299</v>
      </c>
      <c r="P1677">
        <v>59.8</v>
      </c>
      <c r="Q1677" t="s">
        <v>31</v>
      </c>
      <c r="R1677" t="s">
        <v>27</v>
      </c>
      <c r="S1677">
        <v>3922</v>
      </c>
      <c r="T1677" t="s">
        <v>66</v>
      </c>
      <c r="U1677" t="str">
        <f t="shared" si="26"/>
        <v>Pass</v>
      </c>
    </row>
    <row r="1678" spans="1:21">
      <c r="A1678" t="s">
        <v>2946</v>
      </c>
      <c r="B1678" t="s">
        <v>205</v>
      </c>
      <c r="C1678" t="s">
        <v>22</v>
      </c>
      <c r="D1678">
        <v>1</v>
      </c>
      <c r="E1678" t="s">
        <v>47</v>
      </c>
      <c r="F1678">
        <v>6</v>
      </c>
      <c r="G1678" t="s">
        <v>54</v>
      </c>
      <c r="H1678" t="s">
        <v>2947</v>
      </c>
      <c r="I1678">
        <v>68</v>
      </c>
      <c r="J1678">
        <v>54</v>
      </c>
      <c r="K1678">
        <v>99</v>
      </c>
      <c r="L1678">
        <v>95</v>
      </c>
      <c r="M1678">
        <v>73</v>
      </c>
      <c r="N1678">
        <v>100</v>
      </c>
      <c r="O1678">
        <v>421</v>
      </c>
      <c r="P1678">
        <v>84.2</v>
      </c>
      <c r="Q1678" t="s">
        <v>47</v>
      </c>
      <c r="R1678" t="s">
        <v>27</v>
      </c>
      <c r="S1678">
        <v>3083</v>
      </c>
      <c r="T1678" t="s">
        <v>42</v>
      </c>
      <c r="U1678" t="str">
        <f t="shared" si="26"/>
        <v>Pass</v>
      </c>
    </row>
    <row r="1679" spans="1:21">
      <c r="A1679" t="s">
        <v>2948</v>
      </c>
      <c r="B1679" t="s">
        <v>1142</v>
      </c>
      <c r="C1679" t="s">
        <v>22</v>
      </c>
      <c r="D1679">
        <v>9</v>
      </c>
      <c r="E1679" t="s">
        <v>23</v>
      </c>
      <c r="F1679">
        <v>15</v>
      </c>
      <c r="G1679" t="s">
        <v>38</v>
      </c>
      <c r="H1679" t="s">
        <v>2949</v>
      </c>
      <c r="I1679">
        <v>79</v>
      </c>
      <c r="J1679">
        <v>41</v>
      </c>
      <c r="K1679">
        <v>54</v>
      </c>
      <c r="L1679">
        <v>50</v>
      </c>
      <c r="M1679">
        <v>85</v>
      </c>
      <c r="N1679">
        <v>49</v>
      </c>
      <c r="O1679">
        <v>279</v>
      </c>
      <c r="P1679">
        <v>55.8</v>
      </c>
      <c r="Q1679" t="s">
        <v>31</v>
      </c>
      <c r="R1679" t="s">
        <v>27</v>
      </c>
      <c r="S1679">
        <v>2955</v>
      </c>
      <c r="T1679" t="s">
        <v>28</v>
      </c>
      <c r="U1679" t="str">
        <f t="shared" si="26"/>
        <v>Pass</v>
      </c>
    </row>
    <row r="1680" spans="1:21">
      <c r="A1680" t="s">
        <v>2950</v>
      </c>
      <c r="B1680" t="s">
        <v>140</v>
      </c>
      <c r="C1680" t="s">
        <v>22</v>
      </c>
      <c r="D1680">
        <v>3</v>
      </c>
      <c r="E1680" t="s">
        <v>23</v>
      </c>
      <c r="F1680">
        <v>7</v>
      </c>
      <c r="G1680" t="s">
        <v>45</v>
      </c>
      <c r="H1680" t="s">
        <v>366</v>
      </c>
      <c r="I1680">
        <v>94</v>
      </c>
      <c r="J1680">
        <v>48</v>
      </c>
      <c r="K1680">
        <v>65</v>
      </c>
      <c r="L1680">
        <v>51</v>
      </c>
      <c r="M1680">
        <v>66</v>
      </c>
      <c r="N1680">
        <v>78</v>
      </c>
      <c r="O1680">
        <v>308</v>
      </c>
      <c r="P1680">
        <v>61.6</v>
      </c>
      <c r="Q1680" t="s">
        <v>26</v>
      </c>
      <c r="R1680" t="s">
        <v>27</v>
      </c>
      <c r="S1680">
        <v>3127</v>
      </c>
      <c r="T1680" t="s">
        <v>28</v>
      </c>
      <c r="U1680" t="str">
        <f t="shared" si="26"/>
        <v>Pass</v>
      </c>
    </row>
    <row r="1681" spans="1:21">
      <c r="A1681" t="s">
        <v>2951</v>
      </c>
      <c r="B1681" t="s">
        <v>594</v>
      </c>
      <c r="C1681" t="s">
        <v>37</v>
      </c>
      <c r="D1681">
        <v>5</v>
      </c>
      <c r="E1681" t="s">
        <v>31</v>
      </c>
      <c r="F1681">
        <v>10</v>
      </c>
      <c r="G1681" t="s">
        <v>54</v>
      </c>
      <c r="H1681" t="s">
        <v>1618</v>
      </c>
      <c r="I1681">
        <v>75</v>
      </c>
      <c r="J1681">
        <v>62</v>
      </c>
      <c r="K1681">
        <v>65</v>
      </c>
      <c r="L1681">
        <v>93</v>
      </c>
      <c r="M1681">
        <v>53</v>
      </c>
      <c r="N1681">
        <v>47</v>
      </c>
      <c r="O1681">
        <v>320</v>
      </c>
      <c r="P1681">
        <v>64</v>
      </c>
      <c r="Q1681" t="s">
        <v>26</v>
      </c>
      <c r="R1681" t="s">
        <v>41</v>
      </c>
      <c r="S1681">
        <v>1897</v>
      </c>
      <c r="T1681" t="s">
        <v>28</v>
      </c>
      <c r="U1681" t="str">
        <f t="shared" si="26"/>
        <v>Pass</v>
      </c>
    </row>
    <row r="1682" spans="1:21">
      <c r="A1682" t="s">
        <v>2952</v>
      </c>
      <c r="B1682" t="s">
        <v>378</v>
      </c>
      <c r="C1682" t="s">
        <v>22</v>
      </c>
      <c r="D1682">
        <v>8</v>
      </c>
      <c r="E1682" t="s">
        <v>23</v>
      </c>
      <c r="F1682">
        <v>13</v>
      </c>
      <c r="G1682" t="s">
        <v>32</v>
      </c>
      <c r="H1682" t="s">
        <v>2787</v>
      </c>
      <c r="I1682">
        <v>81</v>
      </c>
      <c r="J1682">
        <v>93</v>
      </c>
      <c r="K1682">
        <v>84</v>
      </c>
      <c r="L1682">
        <v>75</v>
      </c>
      <c r="M1682">
        <v>98</v>
      </c>
      <c r="N1682">
        <v>67</v>
      </c>
      <c r="O1682">
        <v>417</v>
      </c>
      <c r="P1682">
        <v>83.4</v>
      </c>
      <c r="Q1682" t="s">
        <v>47</v>
      </c>
      <c r="R1682" t="s">
        <v>27</v>
      </c>
      <c r="S1682">
        <v>4123</v>
      </c>
      <c r="T1682" t="s">
        <v>48</v>
      </c>
      <c r="U1682" t="str">
        <f t="shared" si="26"/>
        <v>Pass</v>
      </c>
    </row>
    <row r="1683" spans="1:21">
      <c r="A1683" t="s">
        <v>2953</v>
      </c>
      <c r="B1683" t="s">
        <v>490</v>
      </c>
      <c r="C1683" t="s">
        <v>22</v>
      </c>
      <c r="D1683">
        <v>1</v>
      </c>
      <c r="E1683" t="s">
        <v>23</v>
      </c>
      <c r="F1683">
        <v>7</v>
      </c>
      <c r="G1683" t="s">
        <v>45</v>
      </c>
      <c r="H1683" t="s">
        <v>2954</v>
      </c>
      <c r="I1683">
        <v>65</v>
      </c>
      <c r="J1683">
        <v>46</v>
      </c>
      <c r="K1683">
        <v>56</v>
      </c>
      <c r="L1683">
        <v>58</v>
      </c>
      <c r="M1683">
        <v>54</v>
      </c>
      <c r="N1683">
        <v>65</v>
      </c>
      <c r="O1683">
        <v>279</v>
      </c>
      <c r="P1683">
        <v>55.8</v>
      </c>
      <c r="Q1683" t="s">
        <v>31</v>
      </c>
      <c r="R1683" t="s">
        <v>41</v>
      </c>
      <c r="S1683">
        <v>3461</v>
      </c>
      <c r="T1683" t="s">
        <v>70</v>
      </c>
      <c r="U1683" t="str">
        <f t="shared" si="26"/>
        <v>Pass</v>
      </c>
    </row>
    <row r="1684" spans="1:21">
      <c r="A1684" t="s">
        <v>2955</v>
      </c>
      <c r="B1684" t="s">
        <v>61</v>
      </c>
      <c r="C1684" t="s">
        <v>37</v>
      </c>
      <c r="D1684">
        <v>7</v>
      </c>
      <c r="E1684" t="s">
        <v>23</v>
      </c>
      <c r="F1684">
        <v>11</v>
      </c>
      <c r="G1684" t="s">
        <v>64</v>
      </c>
      <c r="H1684" t="s">
        <v>2735</v>
      </c>
      <c r="I1684">
        <v>100</v>
      </c>
      <c r="J1684">
        <v>50</v>
      </c>
      <c r="K1684">
        <v>52</v>
      </c>
      <c r="L1684">
        <v>67</v>
      </c>
      <c r="M1684">
        <v>57</v>
      </c>
      <c r="N1684">
        <v>66</v>
      </c>
      <c r="O1684">
        <v>292</v>
      </c>
      <c r="P1684">
        <v>58.4</v>
      </c>
      <c r="Q1684" t="s">
        <v>31</v>
      </c>
      <c r="R1684" t="s">
        <v>27</v>
      </c>
      <c r="S1684">
        <v>3350</v>
      </c>
      <c r="T1684" t="s">
        <v>42</v>
      </c>
      <c r="U1684" t="str">
        <f t="shared" si="26"/>
        <v>Pass</v>
      </c>
    </row>
    <row r="1685" spans="1:21">
      <c r="A1685" t="s">
        <v>2956</v>
      </c>
      <c r="B1685" t="s">
        <v>614</v>
      </c>
      <c r="C1685" t="s">
        <v>37</v>
      </c>
      <c r="D1685">
        <v>5</v>
      </c>
      <c r="E1685" t="s">
        <v>23</v>
      </c>
      <c r="F1685">
        <v>9</v>
      </c>
      <c r="G1685" t="s">
        <v>58</v>
      </c>
      <c r="H1685" t="s">
        <v>600</v>
      </c>
      <c r="I1685">
        <v>89</v>
      </c>
      <c r="J1685">
        <v>35</v>
      </c>
      <c r="K1685">
        <v>41</v>
      </c>
      <c r="L1685">
        <v>53</v>
      </c>
      <c r="M1685">
        <v>78</v>
      </c>
      <c r="N1685">
        <v>92</v>
      </c>
      <c r="O1685">
        <v>299</v>
      </c>
      <c r="P1685">
        <v>59.8</v>
      </c>
      <c r="Q1685" t="s">
        <v>31</v>
      </c>
      <c r="R1685" t="s">
        <v>27</v>
      </c>
      <c r="S1685">
        <v>4899</v>
      </c>
      <c r="T1685" t="s">
        <v>34</v>
      </c>
      <c r="U1685" t="str">
        <f t="shared" si="26"/>
        <v>Pass</v>
      </c>
    </row>
    <row r="1686" spans="1:21">
      <c r="A1686" t="s">
        <v>2957</v>
      </c>
      <c r="B1686" t="s">
        <v>154</v>
      </c>
      <c r="C1686" t="s">
        <v>22</v>
      </c>
      <c r="D1686">
        <v>12</v>
      </c>
      <c r="E1686" t="s">
        <v>23</v>
      </c>
      <c r="F1686">
        <v>18</v>
      </c>
      <c r="G1686" t="s">
        <v>64</v>
      </c>
      <c r="H1686" t="s">
        <v>2958</v>
      </c>
      <c r="I1686">
        <v>86</v>
      </c>
      <c r="J1686">
        <v>49</v>
      </c>
      <c r="K1686">
        <v>99</v>
      </c>
      <c r="L1686">
        <v>64</v>
      </c>
      <c r="M1686">
        <v>85</v>
      </c>
      <c r="N1686">
        <v>55</v>
      </c>
      <c r="O1686">
        <v>352</v>
      </c>
      <c r="P1686">
        <v>70.400000000000006</v>
      </c>
      <c r="Q1686" t="s">
        <v>40</v>
      </c>
      <c r="R1686" t="s">
        <v>27</v>
      </c>
      <c r="S1686">
        <v>1841</v>
      </c>
      <c r="T1686" t="s">
        <v>28</v>
      </c>
      <c r="U1686" t="str">
        <f t="shared" si="26"/>
        <v>Pass</v>
      </c>
    </row>
    <row r="1687" spans="1:21">
      <c r="A1687" t="s">
        <v>2959</v>
      </c>
      <c r="B1687" t="s">
        <v>226</v>
      </c>
      <c r="C1687" t="s">
        <v>22</v>
      </c>
      <c r="D1687">
        <v>3</v>
      </c>
      <c r="E1687" t="s">
        <v>31</v>
      </c>
      <c r="F1687">
        <v>8</v>
      </c>
      <c r="G1687" t="s">
        <v>45</v>
      </c>
      <c r="H1687" t="s">
        <v>2960</v>
      </c>
      <c r="I1687">
        <v>79</v>
      </c>
      <c r="J1687">
        <v>78</v>
      </c>
      <c r="K1687">
        <v>36</v>
      </c>
      <c r="L1687">
        <v>70</v>
      </c>
      <c r="M1687">
        <v>52</v>
      </c>
      <c r="N1687">
        <v>71</v>
      </c>
      <c r="O1687">
        <v>307</v>
      </c>
      <c r="P1687">
        <v>61.4</v>
      </c>
      <c r="Q1687" t="s">
        <v>26</v>
      </c>
      <c r="R1687" t="s">
        <v>27</v>
      </c>
      <c r="S1687">
        <v>2138</v>
      </c>
      <c r="T1687" t="s">
        <v>70</v>
      </c>
      <c r="U1687" t="str">
        <f t="shared" si="26"/>
        <v>Pass</v>
      </c>
    </row>
    <row r="1688" spans="1:21">
      <c r="A1688" t="s">
        <v>2961</v>
      </c>
      <c r="B1688" t="s">
        <v>319</v>
      </c>
      <c r="C1688" t="s">
        <v>22</v>
      </c>
      <c r="D1688">
        <v>8</v>
      </c>
      <c r="E1688" t="s">
        <v>23</v>
      </c>
      <c r="F1688">
        <v>13</v>
      </c>
      <c r="G1688" t="s">
        <v>45</v>
      </c>
      <c r="H1688" t="s">
        <v>1007</v>
      </c>
      <c r="I1688">
        <v>67</v>
      </c>
      <c r="J1688">
        <v>47</v>
      </c>
      <c r="K1688">
        <v>42</v>
      </c>
      <c r="L1688">
        <v>74</v>
      </c>
      <c r="M1688">
        <v>46</v>
      </c>
      <c r="N1688">
        <v>90</v>
      </c>
      <c r="O1688">
        <v>299</v>
      </c>
      <c r="P1688">
        <v>59.8</v>
      </c>
      <c r="Q1688" t="s">
        <v>31</v>
      </c>
      <c r="R1688" t="s">
        <v>27</v>
      </c>
      <c r="S1688">
        <v>3786</v>
      </c>
      <c r="T1688" t="s">
        <v>66</v>
      </c>
      <c r="U1688" t="str">
        <f t="shared" si="26"/>
        <v>Pass</v>
      </c>
    </row>
    <row r="1689" spans="1:21">
      <c r="A1689" t="s">
        <v>2962</v>
      </c>
      <c r="B1689" t="s">
        <v>678</v>
      </c>
      <c r="C1689" t="s">
        <v>22</v>
      </c>
      <c r="D1689">
        <v>1</v>
      </c>
      <c r="E1689" t="s">
        <v>26</v>
      </c>
      <c r="F1689">
        <v>6</v>
      </c>
      <c r="G1689" t="s">
        <v>24</v>
      </c>
      <c r="H1689" t="s">
        <v>390</v>
      </c>
      <c r="I1689">
        <v>70</v>
      </c>
      <c r="J1689">
        <v>66</v>
      </c>
      <c r="K1689">
        <v>78</v>
      </c>
      <c r="L1689">
        <v>72</v>
      </c>
      <c r="M1689">
        <v>88</v>
      </c>
      <c r="N1689">
        <v>50</v>
      </c>
      <c r="O1689">
        <v>354</v>
      </c>
      <c r="P1689">
        <v>70.8</v>
      </c>
      <c r="Q1689" t="s">
        <v>40</v>
      </c>
      <c r="R1689" t="s">
        <v>27</v>
      </c>
      <c r="S1689">
        <v>3030</v>
      </c>
      <c r="T1689" t="s">
        <v>42</v>
      </c>
      <c r="U1689" t="str">
        <f t="shared" si="26"/>
        <v>Pass</v>
      </c>
    </row>
    <row r="1690" spans="1:21">
      <c r="A1690" t="s">
        <v>2963</v>
      </c>
      <c r="B1690" t="s">
        <v>508</v>
      </c>
      <c r="C1690" t="s">
        <v>22</v>
      </c>
      <c r="D1690">
        <v>10</v>
      </c>
      <c r="E1690" t="s">
        <v>31</v>
      </c>
      <c r="F1690">
        <v>16</v>
      </c>
      <c r="G1690" t="s">
        <v>38</v>
      </c>
      <c r="H1690" t="s">
        <v>2964</v>
      </c>
      <c r="I1690">
        <v>73</v>
      </c>
      <c r="J1690">
        <v>40</v>
      </c>
      <c r="K1690">
        <v>83</v>
      </c>
      <c r="L1690">
        <v>35</v>
      </c>
      <c r="M1690">
        <v>88</v>
      </c>
      <c r="N1690">
        <v>49</v>
      </c>
      <c r="O1690">
        <v>295</v>
      </c>
      <c r="P1690">
        <v>59</v>
      </c>
      <c r="Q1690" t="s">
        <v>31</v>
      </c>
      <c r="R1690" t="s">
        <v>41</v>
      </c>
      <c r="S1690">
        <v>1780</v>
      </c>
      <c r="T1690" t="s">
        <v>34</v>
      </c>
      <c r="U1690" t="str">
        <f t="shared" si="26"/>
        <v>Pass</v>
      </c>
    </row>
    <row r="1691" spans="1:21">
      <c r="A1691" t="s">
        <v>2965</v>
      </c>
      <c r="B1691" t="s">
        <v>107</v>
      </c>
      <c r="C1691" t="s">
        <v>22</v>
      </c>
      <c r="D1691">
        <v>2</v>
      </c>
      <c r="E1691" t="s">
        <v>47</v>
      </c>
      <c r="F1691">
        <v>8</v>
      </c>
      <c r="G1691" t="s">
        <v>45</v>
      </c>
      <c r="H1691" t="s">
        <v>715</v>
      </c>
      <c r="I1691">
        <v>100</v>
      </c>
      <c r="J1691">
        <v>100</v>
      </c>
      <c r="K1691">
        <v>63</v>
      </c>
      <c r="L1691">
        <v>57</v>
      </c>
      <c r="M1691">
        <v>53</v>
      </c>
      <c r="N1691">
        <v>55</v>
      </c>
      <c r="O1691">
        <v>328</v>
      </c>
      <c r="P1691">
        <v>65.599999999999994</v>
      </c>
      <c r="Q1691" t="s">
        <v>26</v>
      </c>
      <c r="R1691" t="s">
        <v>41</v>
      </c>
      <c r="S1691">
        <v>2762</v>
      </c>
      <c r="T1691" t="s">
        <v>34</v>
      </c>
      <c r="U1691" t="str">
        <f t="shared" si="26"/>
        <v>Pass</v>
      </c>
    </row>
    <row r="1692" spans="1:21">
      <c r="A1692" t="s">
        <v>2966</v>
      </c>
      <c r="B1692" t="s">
        <v>607</v>
      </c>
      <c r="C1692" t="s">
        <v>22</v>
      </c>
      <c r="D1692">
        <v>2</v>
      </c>
      <c r="E1692" t="s">
        <v>23</v>
      </c>
      <c r="F1692">
        <v>7</v>
      </c>
      <c r="G1692" t="s">
        <v>32</v>
      </c>
      <c r="H1692" t="s">
        <v>2496</v>
      </c>
      <c r="I1692">
        <v>74</v>
      </c>
      <c r="J1692">
        <v>70</v>
      </c>
      <c r="K1692">
        <v>85</v>
      </c>
      <c r="L1692">
        <v>75</v>
      </c>
      <c r="M1692">
        <v>41</v>
      </c>
      <c r="N1692">
        <v>68</v>
      </c>
      <c r="O1692">
        <v>339</v>
      </c>
      <c r="P1692">
        <v>67.8</v>
      </c>
      <c r="Q1692" t="s">
        <v>26</v>
      </c>
      <c r="R1692" t="s">
        <v>41</v>
      </c>
      <c r="S1692">
        <v>2902</v>
      </c>
      <c r="T1692" t="s">
        <v>34</v>
      </c>
      <c r="U1692" t="str">
        <f t="shared" si="26"/>
        <v>Pass</v>
      </c>
    </row>
    <row r="1693" spans="1:21">
      <c r="A1693" t="s">
        <v>2967</v>
      </c>
      <c r="B1693" t="s">
        <v>378</v>
      </c>
      <c r="C1693" t="s">
        <v>22</v>
      </c>
      <c r="D1693">
        <v>9</v>
      </c>
      <c r="E1693" t="s">
        <v>47</v>
      </c>
      <c r="F1693">
        <v>15</v>
      </c>
      <c r="G1693" t="s">
        <v>64</v>
      </c>
      <c r="H1693" t="s">
        <v>2968</v>
      </c>
      <c r="I1693">
        <v>73</v>
      </c>
      <c r="J1693">
        <v>41</v>
      </c>
      <c r="K1693">
        <v>36</v>
      </c>
      <c r="L1693">
        <v>48</v>
      </c>
      <c r="M1693">
        <v>73</v>
      </c>
      <c r="N1693">
        <v>42</v>
      </c>
      <c r="O1693">
        <v>240</v>
      </c>
      <c r="P1693">
        <v>48</v>
      </c>
      <c r="Q1693" t="s">
        <v>23</v>
      </c>
      <c r="R1693" t="s">
        <v>41</v>
      </c>
      <c r="S1693">
        <v>3671</v>
      </c>
      <c r="T1693" t="s">
        <v>28</v>
      </c>
      <c r="U1693" t="str">
        <f t="shared" si="26"/>
        <v>Fail</v>
      </c>
    </row>
    <row r="1694" spans="1:21">
      <c r="A1694" t="s">
        <v>2969</v>
      </c>
      <c r="B1694" t="s">
        <v>555</v>
      </c>
      <c r="C1694" t="s">
        <v>37</v>
      </c>
      <c r="D1694">
        <v>3</v>
      </c>
      <c r="E1694" t="s">
        <v>47</v>
      </c>
      <c r="F1694">
        <v>7</v>
      </c>
      <c r="G1694" t="s">
        <v>32</v>
      </c>
      <c r="H1694" t="s">
        <v>1216</v>
      </c>
      <c r="I1694">
        <v>75</v>
      </c>
      <c r="J1694">
        <v>86</v>
      </c>
      <c r="K1694">
        <v>76</v>
      </c>
      <c r="L1694">
        <v>57</v>
      </c>
      <c r="M1694">
        <v>97</v>
      </c>
      <c r="N1694">
        <v>60</v>
      </c>
      <c r="O1694">
        <v>376</v>
      </c>
      <c r="P1694">
        <v>75.2</v>
      </c>
      <c r="Q1694" t="s">
        <v>40</v>
      </c>
      <c r="R1694" t="s">
        <v>41</v>
      </c>
      <c r="S1694">
        <v>4495</v>
      </c>
      <c r="T1694" t="s">
        <v>28</v>
      </c>
      <c r="U1694" t="str">
        <f t="shared" si="26"/>
        <v>Pass</v>
      </c>
    </row>
    <row r="1695" spans="1:21">
      <c r="A1695" t="s">
        <v>2970</v>
      </c>
      <c r="B1695" t="s">
        <v>21</v>
      </c>
      <c r="C1695" t="s">
        <v>37</v>
      </c>
      <c r="D1695">
        <v>11</v>
      </c>
      <c r="E1695" t="s">
        <v>26</v>
      </c>
      <c r="F1695">
        <v>15</v>
      </c>
      <c r="G1695" t="s">
        <v>32</v>
      </c>
      <c r="H1695" t="s">
        <v>1162</v>
      </c>
      <c r="I1695">
        <v>81</v>
      </c>
      <c r="J1695">
        <v>48</v>
      </c>
      <c r="K1695">
        <v>61</v>
      </c>
      <c r="L1695">
        <v>60</v>
      </c>
      <c r="M1695">
        <v>47</v>
      </c>
      <c r="N1695">
        <v>40</v>
      </c>
      <c r="O1695">
        <v>256</v>
      </c>
      <c r="P1695">
        <v>51.2</v>
      </c>
      <c r="Q1695" t="s">
        <v>31</v>
      </c>
      <c r="R1695" t="s">
        <v>27</v>
      </c>
      <c r="S1695">
        <v>2889</v>
      </c>
      <c r="T1695" t="s">
        <v>28</v>
      </c>
      <c r="U1695" t="str">
        <f t="shared" si="26"/>
        <v>Fail</v>
      </c>
    </row>
    <row r="1696" spans="1:21">
      <c r="A1696" t="s">
        <v>2971</v>
      </c>
      <c r="B1696" t="s">
        <v>145</v>
      </c>
      <c r="C1696" t="s">
        <v>37</v>
      </c>
      <c r="D1696">
        <v>6</v>
      </c>
      <c r="E1696" t="s">
        <v>23</v>
      </c>
      <c r="F1696">
        <v>12</v>
      </c>
      <c r="G1696" t="s">
        <v>64</v>
      </c>
      <c r="H1696" t="s">
        <v>2972</v>
      </c>
      <c r="I1696">
        <v>78</v>
      </c>
      <c r="J1696">
        <v>54</v>
      </c>
      <c r="K1696">
        <v>89</v>
      </c>
      <c r="L1696">
        <v>83</v>
      </c>
      <c r="M1696">
        <v>47</v>
      </c>
      <c r="N1696">
        <v>69</v>
      </c>
      <c r="O1696">
        <v>342</v>
      </c>
      <c r="P1696">
        <v>68.400000000000006</v>
      </c>
      <c r="Q1696" t="s">
        <v>26</v>
      </c>
      <c r="R1696" t="s">
        <v>27</v>
      </c>
      <c r="S1696">
        <v>3383</v>
      </c>
      <c r="T1696" t="s">
        <v>70</v>
      </c>
      <c r="U1696" t="str">
        <f t="shared" si="26"/>
        <v>Pass</v>
      </c>
    </row>
    <row r="1697" spans="1:21">
      <c r="A1697" t="s">
        <v>2973</v>
      </c>
      <c r="B1697" t="s">
        <v>219</v>
      </c>
      <c r="C1697" t="s">
        <v>22</v>
      </c>
      <c r="D1697">
        <v>2</v>
      </c>
      <c r="E1697" t="s">
        <v>26</v>
      </c>
      <c r="F1697">
        <v>7</v>
      </c>
      <c r="G1697" t="s">
        <v>38</v>
      </c>
      <c r="H1697" t="s">
        <v>2974</v>
      </c>
      <c r="I1697">
        <v>100</v>
      </c>
      <c r="J1697">
        <v>56</v>
      </c>
      <c r="K1697">
        <v>59</v>
      </c>
      <c r="L1697">
        <v>59</v>
      </c>
      <c r="M1697">
        <v>65</v>
      </c>
      <c r="N1697">
        <v>48</v>
      </c>
      <c r="O1697">
        <v>287</v>
      </c>
      <c r="P1697">
        <v>57.4</v>
      </c>
      <c r="Q1697" t="s">
        <v>31</v>
      </c>
      <c r="R1697" t="s">
        <v>41</v>
      </c>
      <c r="S1697">
        <v>1882</v>
      </c>
      <c r="T1697" t="s">
        <v>34</v>
      </c>
      <c r="U1697" t="str">
        <f t="shared" si="26"/>
        <v>Pass</v>
      </c>
    </row>
    <row r="1698" spans="1:21">
      <c r="A1698" t="s">
        <v>2975</v>
      </c>
      <c r="B1698" t="s">
        <v>651</v>
      </c>
      <c r="C1698" t="s">
        <v>37</v>
      </c>
      <c r="D1698">
        <v>1</v>
      </c>
      <c r="E1698" t="s">
        <v>23</v>
      </c>
      <c r="F1698">
        <v>6</v>
      </c>
      <c r="G1698" t="s">
        <v>38</v>
      </c>
      <c r="H1698" t="s">
        <v>1897</v>
      </c>
      <c r="I1698">
        <v>99</v>
      </c>
      <c r="J1698">
        <v>49</v>
      </c>
      <c r="K1698">
        <v>43</v>
      </c>
      <c r="L1698">
        <v>96</v>
      </c>
      <c r="M1698">
        <v>85</v>
      </c>
      <c r="N1698">
        <v>41</v>
      </c>
      <c r="O1698">
        <v>314</v>
      </c>
      <c r="P1698">
        <v>62.8</v>
      </c>
      <c r="Q1698" t="s">
        <v>26</v>
      </c>
      <c r="R1698" t="s">
        <v>41</v>
      </c>
      <c r="S1698">
        <v>4576</v>
      </c>
      <c r="T1698" t="s">
        <v>42</v>
      </c>
      <c r="U1698" t="str">
        <f t="shared" si="26"/>
        <v>Pass</v>
      </c>
    </row>
    <row r="1699" spans="1:21">
      <c r="A1699" t="s">
        <v>2976</v>
      </c>
      <c r="B1699" t="s">
        <v>350</v>
      </c>
      <c r="C1699" t="s">
        <v>37</v>
      </c>
      <c r="D1699">
        <v>7</v>
      </c>
      <c r="E1699" t="s">
        <v>26</v>
      </c>
      <c r="F1699">
        <v>12</v>
      </c>
      <c r="G1699" t="s">
        <v>64</v>
      </c>
      <c r="H1699" t="s">
        <v>1368</v>
      </c>
      <c r="I1699">
        <v>73</v>
      </c>
      <c r="J1699">
        <v>85</v>
      </c>
      <c r="K1699">
        <v>76</v>
      </c>
      <c r="L1699">
        <v>77</v>
      </c>
      <c r="M1699">
        <v>83</v>
      </c>
      <c r="N1699">
        <v>98</v>
      </c>
      <c r="O1699">
        <v>419</v>
      </c>
      <c r="P1699">
        <v>83.8</v>
      </c>
      <c r="Q1699" t="s">
        <v>47</v>
      </c>
      <c r="R1699" t="s">
        <v>41</v>
      </c>
      <c r="S1699">
        <v>4472</v>
      </c>
      <c r="T1699" t="s">
        <v>28</v>
      </c>
      <c r="U1699" t="str">
        <f t="shared" si="26"/>
        <v>Pass</v>
      </c>
    </row>
    <row r="1700" spans="1:21">
      <c r="A1700" t="s">
        <v>2977</v>
      </c>
      <c r="B1700" t="s">
        <v>68</v>
      </c>
      <c r="C1700" t="s">
        <v>37</v>
      </c>
      <c r="D1700">
        <v>6</v>
      </c>
      <c r="E1700" t="s">
        <v>23</v>
      </c>
      <c r="F1700">
        <v>10</v>
      </c>
      <c r="G1700" t="s">
        <v>54</v>
      </c>
      <c r="H1700" t="s">
        <v>2978</v>
      </c>
      <c r="I1700">
        <v>73</v>
      </c>
      <c r="J1700">
        <v>41</v>
      </c>
      <c r="K1700">
        <v>99</v>
      </c>
      <c r="L1700">
        <v>45</v>
      </c>
      <c r="M1700">
        <v>37</v>
      </c>
      <c r="N1700">
        <v>84</v>
      </c>
      <c r="O1700">
        <v>306</v>
      </c>
      <c r="P1700">
        <v>61.2</v>
      </c>
      <c r="Q1700" t="s">
        <v>26</v>
      </c>
      <c r="R1700" t="s">
        <v>41</v>
      </c>
      <c r="S1700">
        <v>4408</v>
      </c>
      <c r="T1700" t="s">
        <v>66</v>
      </c>
      <c r="U1700" t="str">
        <f t="shared" si="26"/>
        <v>Pass</v>
      </c>
    </row>
    <row r="1701" spans="1:21">
      <c r="A1701" t="s">
        <v>2979</v>
      </c>
      <c r="B1701" t="s">
        <v>982</v>
      </c>
      <c r="C1701" t="s">
        <v>37</v>
      </c>
      <c r="D1701">
        <v>3</v>
      </c>
      <c r="E1701" t="s">
        <v>26</v>
      </c>
      <c r="F1701">
        <v>7</v>
      </c>
      <c r="G1701" t="s">
        <v>24</v>
      </c>
      <c r="H1701" t="s">
        <v>2980</v>
      </c>
      <c r="I1701">
        <v>99</v>
      </c>
      <c r="J1701">
        <v>49</v>
      </c>
      <c r="K1701">
        <v>35</v>
      </c>
      <c r="L1701">
        <v>73</v>
      </c>
      <c r="M1701">
        <v>80</v>
      </c>
      <c r="N1701">
        <v>44</v>
      </c>
      <c r="O1701">
        <v>281</v>
      </c>
      <c r="P1701">
        <v>56.2</v>
      </c>
      <c r="Q1701" t="s">
        <v>31</v>
      </c>
      <c r="R1701" t="s">
        <v>41</v>
      </c>
      <c r="S1701">
        <v>1897</v>
      </c>
      <c r="T1701" t="s">
        <v>28</v>
      </c>
      <c r="U1701" t="str">
        <f t="shared" si="26"/>
        <v>Pass</v>
      </c>
    </row>
    <row r="1702" spans="1:21">
      <c r="A1702" t="s">
        <v>2981</v>
      </c>
      <c r="B1702" t="s">
        <v>798</v>
      </c>
      <c r="C1702" t="s">
        <v>22</v>
      </c>
      <c r="D1702">
        <v>1</v>
      </c>
      <c r="E1702" t="s">
        <v>23</v>
      </c>
      <c r="F1702">
        <v>7</v>
      </c>
      <c r="G1702" t="s">
        <v>45</v>
      </c>
      <c r="H1702" t="s">
        <v>2982</v>
      </c>
      <c r="I1702">
        <v>96</v>
      </c>
      <c r="J1702">
        <v>67</v>
      </c>
      <c r="K1702">
        <v>41</v>
      </c>
      <c r="L1702">
        <v>55</v>
      </c>
      <c r="M1702">
        <v>46</v>
      </c>
      <c r="N1702">
        <v>68</v>
      </c>
      <c r="O1702">
        <v>277</v>
      </c>
      <c r="P1702">
        <v>55.4</v>
      </c>
      <c r="Q1702" t="s">
        <v>31</v>
      </c>
      <c r="R1702" t="s">
        <v>41</v>
      </c>
      <c r="S1702">
        <v>4004</v>
      </c>
      <c r="T1702" t="s">
        <v>70</v>
      </c>
      <c r="U1702" t="str">
        <f t="shared" si="26"/>
        <v>Pass</v>
      </c>
    </row>
    <row r="1703" spans="1:21">
      <c r="A1703" t="s">
        <v>2983</v>
      </c>
      <c r="B1703" t="s">
        <v>594</v>
      </c>
      <c r="C1703" t="s">
        <v>37</v>
      </c>
      <c r="D1703">
        <v>7</v>
      </c>
      <c r="E1703" t="s">
        <v>26</v>
      </c>
      <c r="F1703">
        <v>12</v>
      </c>
      <c r="G1703" t="s">
        <v>58</v>
      </c>
      <c r="H1703" t="s">
        <v>2440</v>
      </c>
      <c r="I1703">
        <v>62</v>
      </c>
      <c r="J1703">
        <v>90</v>
      </c>
      <c r="K1703">
        <v>90</v>
      </c>
      <c r="L1703">
        <v>55</v>
      </c>
      <c r="M1703">
        <v>80</v>
      </c>
      <c r="N1703">
        <v>80</v>
      </c>
      <c r="O1703">
        <v>395</v>
      </c>
      <c r="P1703">
        <v>79</v>
      </c>
      <c r="Q1703" t="s">
        <v>40</v>
      </c>
      <c r="R1703" t="s">
        <v>27</v>
      </c>
      <c r="S1703">
        <v>2062</v>
      </c>
      <c r="T1703" t="s">
        <v>70</v>
      </c>
      <c r="U1703" t="str">
        <f t="shared" si="26"/>
        <v>Pass</v>
      </c>
    </row>
    <row r="1704" spans="1:21">
      <c r="A1704" t="s">
        <v>2984</v>
      </c>
      <c r="B1704" t="s">
        <v>256</v>
      </c>
      <c r="C1704" t="s">
        <v>22</v>
      </c>
      <c r="D1704">
        <v>1</v>
      </c>
      <c r="E1704" t="s">
        <v>23</v>
      </c>
      <c r="F1704">
        <v>7</v>
      </c>
      <c r="G1704" t="s">
        <v>58</v>
      </c>
      <c r="H1704" t="s">
        <v>1138</v>
      </c>
      <c r="I1704">
        <v>100</v>
      </c>
      <c r="J1704">
        <v>88</v>
      </c>
      <c r="K1704">
        <v>100</v>
      </c>
      <c r="L1704">
        <v>90</v>
      </c>
      <c r="M1704">
        <v>50</v>
      </c>
      <c r="N1704">
        <v>87</v>
      </c>
      <c r="O1704">
        <v>415</v>
      </c>
      <c r="P1704">
        <v>83</v>
      </c>
      <c r="Q1704" t="s">
        <v>47</v>
      </c>
      <c r="R1704" t="s">
        <v>41</v>
      </c>
      <c r="S1704">
        <v>4950</v>
      </c>
      <c r="T1704" t="s">
        <v>70</v>
      </c>
      <c r="U1704" t="str">
        <f t="shared" si="26"/>
        <v>Pass</v>
      </c>
    </row>
    <row r="1705" spans="1:21">
      <c r="A1705" t="s">
        <v>2985</v>
      </c>
      <c r="B1705" t="s">
        <v>708</v>
      </c>
      <c r="C1705" t="s">
        <v>22</v>
      </c>
      <c r="D1705">
        <v>8</v>
      </c>
      <c r="E1705" t="s">
        <v>23</v>
      </c>
      <c r="F1705">
        <v>13</v>
      </c>
      <c r="G1705" t="s">
        <v>38</v>
      </c>
      <c r="H1705" t="s">
        <v>1858</v>
      </c>
      <c r="I1705">
        <v>81</v>
      </c>
      <c r="J1705">
        <v>95</v>
      </c>
      <c r="K1705">
        <v>68</v>
      </c>
      <c r="L1705">
        <v>48</v>
      </c>
      <c r="M1705">
        <v>45</v>
      </c>
      <c r="N1705">
        <v>38</v>
      </c>
      <c r="O1705">
        <v>294</v>
      </c>
      <c r="P1705">
        <v>58.8</v>
      </c>
      <c r="Q1705" t="s">
        <v>31</v>
      </c>
      <c r="R1705" t="s">
        <v>27</v>
      </c>
      <c r="S1705">
        <v>4068</v>
      </c>
      <c r="T1705" t="s">
        <v>66</v>
      </c>
      <c r="U1705" t="str">
        <f t="shared" si="26"/>
        <v>Pass</v>
      </c>
    </row>
    <row r="1706" spans="1:21">
      <c r="A1706" t="s">
        <v>2986</v>
      </c>
      <c r="B1706" t="s">
        <v>175</v>
      </c>
      <c r="C1706" t="s">
        <v>22</v>
      </c>
      <c r="D1706">
        <v>4</v>
      </c>
      <c r="E1706" t="s">
        <v>31</v>
      </c>
      <c r="F1706">
        <v>9</v>
      </c>
      <c r="G1706" t="s">
        <v>64</v>
      </c>
      <c r="H1706" t="s">
        <v>2046</v>
      </c>
      <c r="I1706">
        <v>66</v>
      </c>
      <c r="J1706">
        <v>67</v>
      </c>
      <c r="K1706">
        <v>76</v>
      </c>
      <c r="L1706">
        <v>35</v>
      </c>
      <c r="M1706">
        <v>77</v>
      </c>
      <c r="N1706">
        <v>88</v>
      </c>
      <c r="O1706">
        <v>343</v>
      </c>
      <c r="P1706">
        <v>68.599999999999994</v>
      </c>
      <c r="Q1706" t="s">
        <v>26</v>
      </c>
      <c r="R1706" t="s">
        <v>27</v>
      </c>
      <c r="S1706">
        <v>2026</v>
      </c>
      <c r="T1706" t="s">
        <v>42</v>
      </c>
      <c r="U1706" t="str">
        <f t="shared" si="26"/>
        <v>Pass</v>
      </c>
    </row>
    <row r="1707" spans="1:21">
      <c r="A1707" t="s">
        <v>2987</v>
      </c>
      <c r="B1707" t="s">
        <v>419</v>
      </c>
      <c r="C1707" t="s">
        <v>37</v>
      </c>
      <c r="D1707">
        <v>6</v>
      </c>
      <c r="E1707" t="s">
        <v>47</v>
      </c>
      <c r="F1707">
        <v>12</v>
      </c>
      <c r="G1707" t="s">
        <v>24</v>
      </c>
      <c r="H1707" t="s">
        <v>2360</v>
      </c>
      <c r="I1707">
        <v>84</v>
      </c>
      <c r="J1707">
        <v>47</v>
      </c>
      <c r="K1707">
        <v>50</v>
      </c>
      <c r="L1707">
        <v>94</v>
      </c>
      <c r="M1707">
        <v>77</v>
      </c>
      <c r="N1707">
        <v>70</v>
      </c>
      <c r="O1707">
        <v>338</v>
      </c>
      <c r="P1707">
        <v>67.599999999999994</v>
      </c>
      <c r="Q1707" t="s">
        <v>26</v>
      </c>
      <c r="R1707" t="s">
        <v>27</v>
      </c>
      <c r="S1707">
        <v>3363</v>
      </c>
      <c r="T1707" t="s">
        <v>34</v>
      </c>
      <c r="U1707" t="str">
        <f t="shared" si="26"/>
        <v>Pass</v>
      </c>
    </row>
    <row r="1708" spans="1:21">
      <c r="A1708" t="s">
        <v>2988</v>
      </c>
      <c r="B1708" t="s">
        <v>375</v>
      </c>
      <c r="C1708" t="s">
        <v>37</v>
      </c>
      <c r="D1708">
        <v>5</v>
      </c>
      <c r="E1708" t="s">
        <v>26</v>
      </c>
      <c r="F1708">
        <v>11</v>
      </c>
      <c r="G1708" t="s">
        <v>54</v>
      </c>
      <c r="H1708" t="s">
        <v>2424</v>
      </c>
      <c r="I1708">
        <v>71</v>
      </c>
      <c r="J1708">
        <v>60</v>
      </c>
      <c r="K1708">
        <v>76</v>
      </c>
      <c r="L1708">
        <v>85</v>
      </c>
      <c r="M1708">
        <v>96</v>
      </c>
      <c r="N1708">
        <v>74</v>
      </c>
      <c r="O1708">
        <v>391</v>
      </c>
      <c r="P1708">
        <v>78.2</v>
      </c>
      <c r="Q1708" t="s">
        <v>40</v>
      </c>
      <c r="R1708" t="s">
        <v>41</v>
      </c>
      <c r="S1708">
        <v>2561</v>
      </c>
      <c r="T1708" t="s">
        <v>48</v>
      </c>
      <c r="U1708" t="str">
        <f t="shared" si="26"/>
        <v>Pass</v>
      </c>
    </row>
    <row r="1709" spans="1:21">
      <c r="A1709" t="s">
        <v>2989</v>
      </c>
      <c r="B1709" t="s">
        <v>131</v>
      </c>
      <c r="C1709" t="s">
        <v>37</v>
      </c>
      <c r="D1709">
        <v>8</v>
      </c>
      <c r="E1709" t="s">
        <v>31</v>
      </c>
      <c r="F1709">
        <v>12</v>
      </c>
      <c r="G1709" t="s">
        <v>24</v>
      </c>
      <c r="H1709" t="s">
        <v>1176</v>
      </c>
      <c r="I1709">
        <v>95</v>
      </c>
      <c r="J1709">
        <v>96</v>
      </c>
      <c r="K1709">
        <v>35</v>
      </c>
      <c r="L1709">
        <v>88</v>
      </c>
      <c r="M1709">
        <v>70</v>
      </c>
      <c r="N1709">
        <v>60</v>
      </c>
      <c r="O1709">
        <v>349</v>
      </c>
      <c r="P1709">
        <v>69.8</v>
      </c>
      <c r="Q1709" t="s">
        <v>26</v>
      </c>
      <c r="R1709" t="s">
        <v>27</v>
      </c>
      <c r="S1709">
        <v>4758</v>
      </c>
      <c r="T1709" t="s">
        <v>28</v>
      </c>
      <c r="U1709" t="str">
        <f t="shared" si="26"/>
        <v>Pass</v>
      </c>
    </row>
    <row r="1710" spans="1:21">
      <c r="A1710" t="s">
        <v>2990</v>
      </c>
      <c r="B1710" t="s">
        <v>978</v>
      </c>
      <c r="C1710" t="s">
        <v>37</v>
      </c>
      <c r="D1710">
        <v>11</v>
      </c>
      <c r="E1710" t="s">
        <v>23</v>
      </c>
      <c r="F1710">
        <v>16</v>
      </c>
      <c r="G1710" t="s">
        <v>58</v>
      </c>
      <c r="H1710" t="s">
        <v>2991</v>
      </c>
      <c r="I1710">
        <v>90</v>
      </c>
      <c r="J1710">
        <v>87</v>
      </c>
      <c r="K1710">
        <v>37</v>
      </c>
      <c r="L1710">
        <v>90</v>
      </c>
      <c r="M1710">
        <v>56</v>
      </c>
      <c r="N1710">
        <v>95</v>
      </c>
      <c r="O1710">
        <v>365</v>
      </c>
      <c r="P1710">
        <v>73</v>
      </c>
      <c r="Q1710" t="s">
        <v>40</v>
      </c>
      <c r="R1710" t="s">
        <v>41</v>
      </c>
      <c r="S1710">
        <v>1848</v>
      </c>
      <c r="T1710" t="s">
        <v>28</v>
      </c>
      <c r="U1710" t="str">
        <f t="shared" si="26"/>
        <v>Pass</v>
      </c>
    </row>
    <row r="1711" spans="1:21">
      <c r="A1711" t="s">
        <v>2992</v>
      </c>
      <c r="B1711" t="s">
        <v>75</v>
      </c>
      <c r="C1711" t="s">
        <v>37</v>
      </c>
      <c r="D1711">
        <v>7</v>
      </c>
      <c r="E1711" t="s">
        <v>31</v>
      </c>
      <c r="F1711">
        <v>12</v>
      </c>
      <c r="G1711" t="s">
        <v>32</v>
      </c>
      <c r="H1711" t="s">
        <v>69</v>
      </c>
      <c r="I1711">
        <v>88</v>
      </c>
      <c r="J1711">
        <v>65</v>
      </c>
      <c r="K1711">
        <v>100</v>
      </c>
      <c r="L1711">
        <v>67</v>
      </c>
      <c r="M1711">
        <v>64</v>
      </c>
      <c r="N1711">
        <v>88</v>
      </c>
      <c r="O1711">
        <v>384</v>
      </c>
      <c r="P1711">
        <v>76.8</v>
      </c>
      <c r="Q1711" t="s">
        <v>40</v>
      </c>
      <c r="R1711" t="s">
        <v>27</v>
      </c>
      <c r="S1711">
        <v>1693</v>
      </c>
      <c r="T1711" t="s">
        <v>70</v>
      </c>
      <c r="U1711" t="str">
        <f t="shared" si="26"/>
        <v>Pass</v>
      </c>
    </row>
    <row r="1712" spans="1:21">
      <c r="A1712" t="s">
        <v>2993</v>
      </c>
      <c r="B1712" t="s">
        <v>884</v>
      </c>
      <c r="C1712" t="s">
        <v>37</v>
      </c>
      <c r="D1712">
        <v>9</v>
      </c>
      <c r="E1712" t="s">
        <v>31</v>
      </c>
      <c r="F1712">
        <v>14</v>
      </c>
      <c r="G1712" t="s">
        <v>45</v>
      </c>
      <c r="H1712" t="s">
        <v>2259</v>
      </c>
      <c r="I1712">
        <v>99</v>
      </c>
      <c r="J1712">
        <v>65</v>
      </c>
      <c r="K1712">
        <v>77</v>
      </c>
      <c r="L1712">
        <v>79</v>
      </c>
      <c r="M1712">
        <v>78</v>
      </c>
      <c r="N1712">
        <v>75</v>
      </c>
      <c r="O1712">
        <v>374</v>
      </c>
      <c r="P1712">
        <v>74.8</v>
      </c>
      <c r="Q1712" t="s">
        <v>40</v>
      </c>
      <c r="R1712" t="s">
        <v>27</v>
      </c>
      <c r="S1712">
        <v>1562</v>
      </c>
      <c r="T1712" t="s">
        <v>42</v>
      </c>
      <c r="U1712" t="str">
        <f t="shared" si="26"/>
        <v>Pass</v>
      </c>
    </row>
    <row r="1713" spans="1:21">
      <c r="A1713" t="s">
        <v>2994</v>
      </c>
      <c r="B1713" t="s">
        <v>160</v>
      </c>
      <c r="C1713" t="s">
        <v>22</v>
      </c>
      <c r="D1713">
        <v>4</v>
      </c>
      <c r="E1713" t="s">
        <v>31</v>
      </c>
      <c r="F1713">
        <v>10</v>
      </c>
      <c r="G1713" t="s">
        <v>58</v>
      </c>
      <c r="H1713" t="s">
        <v>1656</v>
      </c>
      <c r="I1713">
        <v>76</v>
      </c>
      <c r="J1713">
        <v>79</v>
      </c>
      <c r="K1713">
        <v>90</v>
      </c>
      <c r="L1713">
        <v>48</v>
      </c>
      <c r="M1713">
        <v>49</v>
      </c>
      <c r="N1713">
        <v>86</v>
      </c>
      <c r="O1713">
        <v>352</v>
      </c>
      <c r="P1713">
        <v>70.400000000000006</v>
      </c>
      <c r="Q1713" t="s">
        <v>40</v>
      </c>
      <c r="R1713" t="s">
        <v>41</v>
      </c>
      <c r="S1713">
        <v>3796</v>
      </c>
      <c r="T1713" t="s">
        <v>66</v>
      </c>
      <c r="U1713" t="str">
        <f t="shared" si="26"/>
        <v>Pass</v>
      </c>
    </row>
    <row r="1714" spans="1:21">
      <c r="A1714" t="s">
        <v>2995</v>
      </c>
      <c r="B1714" t="s">
        <v>370</v>
      </c>
      <c r="C1714" t="s">
        <v>22</v>
      </c>
      <c r="D1714">
        <v>7</v>
      </c>
      <c r="E1714" t="s">
        <v>23</v>
      </c>
      <c r="F1714">
        <v>12</v>
      </c>
      <c r="G1714" t="s">
        <v>45</v>
      </c>
      <c r="H1714" t="s">
        <v>2996</v>
      </c>
      <c r="I1714">
        <v>97</v>
      </c>
      <c r="J1714">
        <v>48</v>
      </c>
      <c r="K1714">
        <v>48</v>
      </c>
      <c r="L1714">
        <v>85</v>
      </c>
      <c r="M1714">
        <v>69</v>
      </c>
      <c r="N1714">
        <v>54</v>
      </c>
      <c r="O1714">
        <v>304</v>
      </c>
      <c r="P1714">
        <v>60.8</v>
      </c>
      <c r="Q1714" t="s">
        <v>26</v>
      </c>
      <c r="R1714" t="s">
        <v>41</v>
      </c>
      <c r="S1714">
        <v>3529</v>
      </c>
      <c r="T1714" t="s">
        <v>28</v>
      </c>
      <c r="U1714" t="str">
        <f t="shared" si="26"/>
        <v>Pass</v>
      </c>
    </row>
    <row r="1715" spans="1:21">
      <c r="A1715" t="s">
        <v>2997</v>
      </c>
      <c r="B1715" t="s">
        <v>211</v>
      </c>
      <c r="C1715" t="s">
        <v>22</v>
      </c>
      <c r="D1715">
        <v>2</v>
      </c>
      <c r="E1715" t="s">
        <v>47</v>
      </c>
      <c r="F1715">
        <v>8</v>
      </c>
      <c r="G1715" t="s">
        <v>24</v>
      </c>
      <c r="H1715" t="s">
        <v>2998</v>
      </c>
      <c r="I1715">
        <v>86</v>
      </c>
      <c r="J1715">
        <v>53</v>
      </c>
      <c r="K1715">
        <v>60</v>
      </c>
      <c r="L1715">
        <v>70</v>
      </c>
      <c r="M1715">
        <v>70</v>
      </c>
      <c r="N1715">
        <v>65</v>
      </c>
      <c r="O1715">
        <v>318</v>
      </c>
      <c r="P1715">
        <v>63.6</v>
      </c>
      <c r="Q1715" t="s">
        <v>26</v>
      </c>
      <c r="R1715" t="s">
        <v>27</v>
      </c>
      <c r="S1715">
        <v>4929</v>
      </c>
      <c r="T1715" t="s">
        <v>48</v>
      </c>
      <c r="U1715" t="str">
        <f t="shared" si="26"/>
        <v>Pass</v>
      </c>
    </row>
    <row r="1716" spans="1:21">
      <c r="A1716" t="s">
        <v>2999</v>
      </c>
      <c r="B1716" t="s">
        <v>295</v>
      </c>
      <c r="C1716" t="s">
        <v>37</v>
      </c>
      <c r="D1716">
        <v>2</v>
      </c>
      <c r="E1716" t="s">
        <v>23</v>
      </c>
      <c r="F1716">
        <v>7</v>
      </c>
      <c r="G1716" t="s">
        <v>64</v>
      </c>
      <c r="H1716" t="s">
        <v>1612</v>
      </c>
      <c r="I1716">
        <v>85</v>
      </c>
      <c r="J1716">
        <v>36</v>
      </c>
      <c r="K1716">
        <v>85</v>
      </c>
      <c r="L1716">
        <v>36</v>
      </c>
      <c r="M1716">
        <v>45</v>
      </c>
      <c r="N1716">
        <v>41</v>
      </c>
      <c r="O1716">
        <v>243</v>
      </c>
      <c r="P1716">
        <v>48.6</v>
      </c>
      <c r="Q1716" t="s">
        <v>23</v>
      </c>
      <c r="R1716" t="s">
        <v>27</v>
      </c>
      <c r="S1716">
        <v>2009</v>
      </c>
      <c r="T1716" t="s">
        <v>42</v>
      </c>
      <c r="U1716" t="str">
        <f t="shared" si="26"/>
        <v>Fail</v>
      </c>
    </row>
    <row r="1717" spans="1:21">
      <c r="A1717" t="s">
        <v>3000</v>
      </c>
      <c r="B1717" t="s">
        <v>896</v>
      </c>
      <c r="C1717" t="s">
        <v>37</v>
      </c>
      <c r="D1717">
        <v>3</v>
      </c>
      <c r="E1717" t="s">
        <v>23</v>
      </c>
      <c r="F1717">
        <v>8</v>
      </c>
      <c r="G1717" t="s">
        <v>58</v>
      </c>
      <c r="H1717" t="s">
        <v>3001</v>
      </c>
      <c r="I1717">
        <v>98</v>
      </c>
      <c r="J1717">
        <v>92</v>
      </c>
      <c r="K1717">
        <v>81</v>
      </c>
      <c r="L1717">
        <v>96</v>
      </c>
      <c r="M1717">
        <v>99</v>
      </c>
      <c r="N1717">
        <v>52</v>
      </c>
      <c r="O1717">
        <v>420</v>
      </c>
      <c r="P1717">
        <v>84</v>
      </c>
      <c r="Q1717" t="s">
        <v>47</v>
      </c>
      <c r="R1717" t="s">
        <v>27</v>
      </c>
      <c r="S1717">
        <v>1714</v>
      </c>
      <c r="T1717" t="s">
        <v>34</v>
      </c>
      <c r="U1717" t="str">
        <f t="shared" si="26"/>
        <v>Pass</v>
      </c>
    </row>
    <row r="1718" spans="1:21">
      <c r="A1718" t="s">
        <v>3002</v>
      </c>
      <c r="B1718" t="s">
        <v>678</v>
      </c>
      <c r="C1718" t="s">
        <v>37</v>
      </c>
      <c r="D1718">
        <v>4</v>
      </c>
      <c r="E1718" t="s">
        <v>31</v>
      </c>
      <c r="F1718">
        <v>9</v>
      </c>
      <c r="G1718" t="s">
        <v>45</v>
      </c>
      <c r="H1718" t="s">
        <v>1323</v>
      </c>
      <c r="I1718">
        <v>88</v>
      </c>
      <c r="J1718">
        <v>89</v>
      </c>
      <c r="K1718">
        <v>89</v>
      </c>
      <c r="L1718">
        <v>71</v>
      </c>
      <c r="M1718">
        <v>78</v>
      </c>
      <c r="N1718">
        <v>36</v>
      </c>
      <c r="O1718">
        <v>363</v>
      </c>
      <c r="P1718">
        <v>72.599999999999994</v>
      </c>
      <c r="Q1718" t="s">
        <v>40</v>
      </c>
      <c r="R1718" t="s">
        <v>27</v>
      </c>
      <c r="S1718">
        <v>2004</v>
      </c>
      <c r="T1718" t="s">
        <v>34</v>
      </c>
      <c r="U1718" t="str">
        <f t="shared" si="26"/>
        <v>Pass</v>
      </c>
    </row>
    <row r="1719" spans="1:21">
      <c r="A1719" t="s">
        <v>3003</v>
      </c>
      <c r="B1719" t="s">
        <v>1281</v>
      </c>
      <c r="C1719" t="s">
        <v>37</v>
      </c>
      <c r="D1719">
        <v>7</v>
      </c>
      <c r="E1719" t="s">
        <v>47</v>
      </c>
      <c r="F1719">
        <v>12</v>
      </c>
      <c r="G1719" t="s">
        <v>24</v>
      </c>
      <c r="H1719" t="s">
        <v>1638</v>
      </c>
      <c r="I1719">
        <v>73</v>
      </c>
      <c r="J1719">
        <v>93</v>
      </c>
      <c r="K1719">
        <v>56</v>
      </c>
      <c r="L1719">
        <v>62</v>
      </c>
      <c r="M1719">
        <v>92</v>
      </c>
      <c r="N1719">
        <v>69</v>
      </c>
      <c r="O1719">
        <v>372</v>
      </c>
      <c r="P1719">
        <v>74.400000000000006</v>
      </c>
      <c r="Q1719" t="s">
        <v>40</v>
      </c>
      <c r="R1719" t="s">
        <v>41</v>
      </c>
      <c r="S1719">
        <v>3586</v>
      </c>
      <c r="T1719" t="s">
        <v>70</v>
      </c>
      <c r="U1719" t="str">
        <f t="shared" si="26"/>
        <v>Pass</v>
      </c>
    </row>
    <row r="1720" spans="1:21">
      <c r="A1720" t="s">
        <v>3004</v>
      </c>
      <c r="B1720" t="s">
        <v>326</v>
      </c>
      <c r="C1720" t="s">
        <v>22</v>
      </c>
      <c r="D1720">
        <v>3</v>
      </c>
      <c r="E1720" t="s">
        <v>23</v>
      </c>
      <c r="F1720">
        <v>8</v>
      </c>
      <c r="G1720" t="s">
        <v>24</v>
      </c>
      <c r="H1720" t="s">
        <v>3005</v>
      </c>
      <c r="I1720">
        <v>64</v>
      </c>
      <c r="J1720">
        <v>55</v>
      </c>
      <c r="K1720">
        <v>87</v>
      </c>
      <c r="L1720">
        <v>60</v>
      </c>
      <c r="M1720">
        <v>98</v>
      </c>
      <c r="N1720">
        <v>56</v>
      </c>
      <c r="O1720">
        <v>356</v>
      </c>
      <c r="P1720">
        <v>71.2</v>
      </c>
      <c r="Q1720" t="s">
        <v>40</v>
      </c>
      <c r="R1720" t="s">
        <v>41</v>
      </c>
      <c r="S1720">
        <v>4535</v>
      </c>
      <c r="T1720" t="s">
        <v>34</v>
      </c>
      <c r="U1720" t="str">
        <f t="shared" si="26"/>
        <v>Pass</v>
      </c>
    </row>
    <row r="1721" spans="1:21">
      <c r="A1721" t="s">
        <v>3006</v>
      </c>
      <c r="B1721" t="s">
        <v>714</v>
      </c>
      <c r="C1721" t="s">
        <v>22</v>
      </c>
      <c r="D1721">
        <v>7</v>
      </c>
      <c r="E1721" t="s">
        <v>26</v>
      </c>
      <c r="F1721">
        <v>12</v>
      </c>
      <c r="G1721" t="s">
        <v>24</v>
      </c>
      <c r="H1721" t="s">
        <v>3007</v>
      </c>
      <c r="I1721">
        <v>84</v>
      </c>
      <c r="J1721">
        <v>49</v>
      </c>
      <c r="K1721">
        <v>82</v>
      </c>
      <c r="L1721">
        <v>96</v>
      </c>
      <c r="M1721">
        <v>59</v>
      </c>
      <c r="N1721">
        <v>60</v>
      </c>
      <c r="O1721">
        <v>346</v>
      </c>
      <c r="P1721">
        <v>69.2</v>
      </c>
      <c r="Q1721" t="s">
        <v>26</v>
      </c>
      <c r="R1721" t="s">
        <v>27</v>
      </c>
      <c r="S1721">
        <v>4141</v>
      </c>
      <c r="T1721" t="s">
        <v>48</v>
      </c>
      <c r="U1721" t="str">
        <f t="shared" si="26"/>
        <v>Pass</v>
      </c>
    </row>
    <row r="1722" spans="1:21">
      <c r="A1722" t="s">
        <v>3008</v>
      </c>
      <c r="B1722" t="s">
        <v>343</v>
      </c>
      <c r="C1722" t="s">
        <v>37</v>
      </c>
      <c r="D1722">
        <v>12</v>
      </c>
      <c r="E1722" t="s">
        <v>47</v>
      </c>
      <c r="F1722">
        <v>16</v>
      </c>
      <c r="G1722" t="s">
        <v>54</v>
      </c>
      <c r="H1722" t="s">
        <v>1549</v>
      </c>
      <c r="I1722">
        <v>65</v>
      </c>
      <c r="J1722">
        <v>90</v>
      </c>
      <c r="K1722">
        <v>39</v>
      </c>
      <c r="L1722">
        <v>48</v>
      </c>
      <c r="M1722">
        <v>39</v>
      </c>
      <c r="N1722">
        <v>83</v>
      </c>
      <c r="O1722">
        <v>299</v>
      </c>
      <c r="P1722">
        <v>59.8</v>
      </c>
      <c r="Q1722" t="s">
        <v>31</v>
      </c>
      <c r="R1722" t="s">
        <v>41</v>
      </c>
      <c r="S1722">
        <v>3310</v>
      </c>
      <c r="T1722" t="s">
        <v>66</v>
      </c>
      <c r="U1722" t="str">
        <f t="shared" si="26"/>
        <v>Pass</v>
      </c>
    </row>
    <row r="1723" spans="1:21">
      <c r="A1723" t="s">
        <v>3009</v>
      </c>
      <c r="B1723" t="s">
        <v>247</v>
      </c>
      <c r="C1723" t="s">
        <v>22</v>
      </c>
      <c r="D1723">
        <v>5</v>
      </c>
      <c r="E1723" t="s">
        <v>23</v>
      </c>
      <c r="F1723">
        <v>11</v>
      </c>
      <c r="G1723" t="s">
        <v>32</v>
      </c>
      <c r="H1723" t="s">
        <v>3010</v>
      </c>
      <c r="I1723">
        <v>98</v>
      </c>
      <c r="J1723">
        <v>72</v>
      </c>
      <c r="K1723">
        <v>70</v>
      </c>
      <c r="L1723">
        <v>72</v>
      </c>
      <c r="M1723">
        <v>92</v>
      </c>
      <c r="N1723">
        <v>56</v>
      </c>
      <c r="O1723">
        <v>362</v>
      </c>
      <c r="P1723">
        <v>72.400000000000006</v>
      </c>
      <c r="Q1723" t="s">
        <v>40</v>
      </c>
      <c r="R1723" t="s">
        <v>27</v>
      </c>
      <c r="S1723">
        <v>2607</v>
      </c>
      <c r="T1723" t="s">
        <v>70</v>
      </c>
      <c r="U1723" t="str">
        <f t="shared" si="26"/>
        <v>Pass</v>
      </c>
    </row>
    <row r="1724" spans="1:21">
      <c r="A1724" t="s">
        <v>3011</v>
      </c>
      <c r="B1724" t="s">
        <v>137</v>
      </c>
      <c r="C1724" t="s">
        <v>37</v>
      </c>
      <c r="D1724">
        <v>5</v>
      </c>
      <c r="E1724" t="s">
        <v>26</v>
      </c>
      <c r="F1724">
        <v>11</v>
      </c>
      <c r="G1724" t="s">
        <v>32</v>
      </c>
      <c r="H1724" t="s">
        <v>387</v>
      </c>
      <c r="I1724">
        <v>94</v>
      </c>
      <c r="J1724">
        <v>60</v>
      </c>
      <c r="K1724">
        <v>92</v>
      </c>
      <c r="L1724">
        <v>87</v>
      </c>
      <c r="M1724">
        <v>97</v>
      </c>
      <c r="N1724">
        <v>75</v>
      </c>
      <c r="O1724">
        <v>411</v>
      </c>
      <c r="P1724">
        <v>82.2</v>
      </c>
      <c r="Q1724" t="s">
        <v>47</v>
      </c>
      <c r="R1724" t="s">
        <v>41</v>
      </c>
      <c r="S1724">
        <v>3472</v>
      </c>
      <c r="T1724" t="s">
        <v>66</v>
      </c>
      <c r="U1724" t="str">
        <f t="shared" si="26"/>
        <v>Pass</v>
      </c>
    </row>
    <row r="1725" spans="1:21">
      <c r="A1725" t="s">
        <v>3012</v>
      </c>
      <c r="B1725" t="s">
        <v>419</v>
      </c>
      <c r="C1725" t="s">
        <v>22</v>
      </c>
      <c r="D1725">
        <v>3</v>
      </c>
      <c r="E1725" t="s">
        <v>47</v>
      </c>
      <c r="F1725">
        <v>9</v>
      </c>
      <c r="G1725" t="s">
        <v>54</v>
      </c>
      <c r="H1725" t="s">
        <v>2884</v>
      </c>
      <c r="I1725">
        <v>97</v>
      </c>
      <c r="J1725">
        <v>64</v>
      </c>
      <c r="K1725">
        <v>92</v>
      </c>
      <c r="L1725">
        <v>76</v>
      </c>
      <c r="M1725">
        <v>39</v>
      </c>
      <c r="N1725">
        <v>70</v>
      </c>
      <c r="O1725">
        <v>341</v>
      </c>
      <c r="P1725">
        <v>68.2</v>
      </c>
      <c r="Q1725" t="s">
        <v>26</v>
      </c>
      <c r="R1725" t="s">
        <v>27</v>
      </c>
      <c r="S1725">
        <v>2010</v>
      </c>
      <c r="T1725" t="s">
        <v>42</v>
      </c>
      <c r="U1725" t="str">
        <f t="shared" si="26"/>
        <v>Pass</v>
      </c>
    </row>
    <row r="1726" spans="1:21">
      <c r="A1726" t="s">
        <v>3013</v>
      </c>
      <c r="B1726" t="s">
        <v>277</v>
      </c>
      <c r="C1726" t="s">
        <v>22</v>
      </c>
      <c r="D1726">
        <v>8</v>
      </c>
      <c r="E1726" t="s">
        <v>26</v>
      </c>
      <c r="F1726">
        <v>13</v>
      </c>
      <c r="G1726" t="s">
        <v>54</v>
      </c>
      <c r="H1726" t="s">
        <v>1356</v>
      </c>
      <c r="I1726">
        <v>60</v>
      </c>
      <c r="J1726">
        <v>98</v>
      </c>
      <c r="K1726">
        <v>38</v>
      </c>
      <c r="L1726">
        <v>48</v>
      </c>
      <c r="M1726">
        <v>58</v>
      </c>
      <c r="N1726">
        <v>66</v>
      </c>
      <c r="O1726">
        <v>308</v>
      </c>
      <c r="P1726">
        <v>61.6</v>
      </c>
      <c r="Q1726" t="s">
        <v>26</v>
      </c>
      <c r="R1726" t="s">
        <v>41</v>
      </c>
      <c r="S1726">
        <v>3593</v>
      </c>
      <c r="T1726" t="s">
        <v>48</v>
      </c>
      <c r="U1726" t="str">
        <f t="shared" si="26"/>
        <v>Pass</v>
      </c>
    </row>
    <row r="1727" spans="1:21">
      <c r="A1727" t="s">
        <v>3014</v>
      </c>
      <c r="B1727" t="s">
        <v>36</v>
      </c>
      <c r="C1727" t="s">
        <v>37</v>
      </c>
      <c r="D1727">
        <v>9</v>
      </c>
      <c r="E1727" t="s">
        <v>23</v>
      </c>
      <c r="F1727">
        <v>15</v>
      </c>
      <c r="G1727" t="s">
        <v>32</v>
      </c>
      <c r="H1727" t="s">
        <v>2772</v>
      </c>
      <c r="I1727">
        <v>85</v>
      </c>
      <c r="J1727">
        <v>50</v>
      </c>
      <c r="K1727">
        <v>59</v>
      </c>
      <c r="L1727">
        <v>49</v>
      </c>
      <c r="M1727">
        <v>62</v>
      </c>
      <c r="N1727">
        <v>44</v>
      </c>
      <c r="O1727">
        <v>264</v>
      </c>
      <c r="P1727">
        <v>52.8</v>
      </c>
      <c r="Q1727" t="s">
        <v>31</v>
      </c>
      <c r="R1727" t="s">
        <v>41</v>
      </c>
      <c r="S1727">
        <v>4927</v>
      </c>
      <c r="T1727" t="s">
        <v>34</v>
      </c>
      <c r="U1727" t="str">
        <f t="shared" si="26"/>
        <v>Fail</v>
      </c>
    </row>
    <row r="1728" spans="1:21">
      <c r="A1728" t="s">
        <v>3015</v>
      </c>
      <c r="B1728" t="s">
        <v>591</v>
      </c>
      <c r="C1728" t="s">
        <v>37</v>
      </c>
      <c r="D1728">
        <v>3</v>
      </c>
      <c r="E1728" t="s">
        <v>23</v>
      </c>
      <c r="F1728">
        <v>8</v>
      </c>
      <c r="G1728" t="s">
        <v>54</v>
      </c>
      <c r="H1728" t="s">
        <v>2015</v>
      </c>
      <c r="I1728">
        <v>96</v>
      </c>
      <c r="J1728">
        <v>60</v>
      </c>
      <c r="K1728">
        <v>36</v>
      </c>
      <c r="L1728">
        <v>39</v>
      </c>
      <c r="M1728">
        <v>68</v>
      </c>
      <c r="N1728">
        <v>83</v>
      </c>
      <c r="O1728">
        <v>286</v>
      </c>
      <c r="P1728">
        <v>57.2</v>
      </c>
      <c r="Q1728" t="s">
        <v>31</v>
      </c>
      <c r="R1728" t="s">
        <v>41</v>
      </c>
      <c r="S1728">
        <v>3861</v>
      </c>
      <c r="T1728" t="s">
        <v>70</v>
      </c>
      <c r="U1728" t="str">
        <f t="shared" si="26"/>
        <v>Pass</v>
      </c>
    </row>
    <row r="1729" spans="1:21">
      <c r="A1729" t="s">
        <v>3016</v>
      </c>
      <c r="B1729" t="s">
        <v>493</v>
      </c>
      <c r="C1729" t="s">
        <v>22</v>
      </c>
      <c r="D1729">
        <v>4</v>
      </c>
      <c r="E1729" t="s">
        <v>26</v>
      </c>
      <c r="F1729">
        <v>10</v>
      </c>
      <c r="G1729" t="s">
        <v>54</v>
      </c>
      <c r="H1729" t="s">
        <v>3017</v>
      </c>
      <c r="I1729">
        <v>63</v>
      </c>
      <c r="J1729">
        <v>94</v>
      </c>
      <c r="K1729">
        <v>88</v>
      </c>
      <c r="L1729">
        <v>74</v>
      </c>
      <c r="M1729">
        <v>79</v>
      </c>
      <c r="N1729">
        <v>60</v>
      </c>
      <c r="O1729">
        <v>395</v>
      </c>
      <c r="P1729">
        <v>79</v>
      </c>
      <c r="Q1729" t="s">
        <v>40</v>
      </c>
      <c r="R1729" t="s">
        <v>41</v>
      </c>
      <c r="S1729">
        <v>1700</v>
      </c>
      <c r="T1729" t="s">
        <v>34</v>
      </c>
      <c r="U1729" t="str">
        <f t="shared" si="26"/>
        <v>Pass</v>
      </c>
    </row>
    <row r="1730" spans="1:21">
      <c r="A1730" t="s">
        <v>3018</v>
      </c>
      <c r="B1730" t="s">
        <v>126</v>
      </c>
      <c r="C1730" t="s">
        <v>22</v>
      </c>
      <c r="D1730">
        <v>7</v>
      </c>
      <c r="E1730" t="s">
        <v>47</v>
      </c>
      <c r="F1730">
        <v>13</v>
      </c>
      <c r="G1730" t="s">
        <v>24</v>
      </c>
      <c r="H1730" t="s">
        <v>1633</v>
      </c>
      <c r="I1730">
        <v>69</v>
      </c>
      <c r="J1730">
        <v>85</v>
      </c>
      <c r="K1730">
        <v>52</v>
      </c>
      <c r="L1730">
        <v>41</v>
      </c>
      <c r="M1730">
        <v>35</v>
      </c>
      <c r="N1730">
        <v>40</v>
      </c>
      <c r="O1730">
        <v>253</v>
      </c>
      <c r="P1730">
        <v>50.6</v>
      </c>
      <c r="Q1730" t="s">
        <v>31</v>
      </c>
      <c r="R1730" t="s">
        <v>41</v>
      </c>
      <c r="S1730">
        <v>2979</v>
      </c>
      <c r="T1730" t="s">
        <v>48</v>
      </c>
      <c r="U1730" t="str">
        <f t="shared" si="26"/>
        <v>Fail</v>
      </c>
    </row>
    <row r="1731" spans="1:21">
      <c r="A1731" t="s">
        <v>3019</v>
      </c>
      <c r="B1731" t="s">
        <v>126</v>
      </c>
      <c r="C1731" t="s">
        <v>37</v>
      </c>
      <c r="D1731">
        <v>3</v>
      </c>
      <c r="E1731" t="s">
        <v>23</v>
      </c>
      <c r="F1731">
        <v>9</v>
      </c>
      <c r="G1731" t="s">
        <v>58</v>
      </c>
      <c r="H1731" t="s">
        <v>3020</v>
      </c>
      <c r="I1731">
        <v>77</v>
      </c>
      <c r="J1731">
        <v>46</v>
      </c>
      <c r="K1731">
        <v>89</v>
      </c>
      <c r="L1731">
        <v>39</v>
      </c>
      <c r="M1731">
        <v>54</v>
      </c>
      <c r="N1731">
        <v>96</v>
      </c>
      <c r="O1731">
        <v>324</v>
      </c>
      <c r="P1731">
        <v>64.8</v>
      </c>
      <c r="Q1731" t="s">
        <v>26</v>
      </c>
      <c r="R1731" t="s">
        <v>27</v>
      </c>
      <c r="S1731">
        <v>2508</v>
      </c>
      <c r="T1731" t="s">
        <v>66</v>
      </c>
      <c r="U1731" t="str">
        <f t="shared" ref="U1731:U1794" si="27">IF(P1731&gt;55,"Pass","Fail")</f>
        <v>Pass</v>
      </c>
    </row>
    <row r="1732" spans="1:21">
      <c r="A1732" t="s">
        <v>3021</v>
      </c>
      <c r="B1732" t="s">
        <v>819</v>
      </c>
      <c r="C1732" t="s">
        <v>22</v>
      </c>
      <c r="D1732">
        <v>2</v>
      </c>
      <c r="E1732" t="s">
        <v>47</v>
      </c>
      <c r="F1732">
        <v>6</v>
      </c>
      <c r="G1732" t="s">
        <v>58</v>
      </c>
      <c r="H1732" t="s">
        <v>3022</v>
      </c>
      <c r="I1732">
        <v>78</v>
      </c>
      <c r="J1732">
        <v>56</v>
      </c>
      <c r="K1732">
        <v>56</v>
      </c>
      <c r="L1732">
        <v>66</v>
      </c>
      <c r="M1732">
        <v>43</v>
      </c>
      <c r="N1732">
        <v>94</v>
      </c>
      <c r="O1732">
        <v>315</v>
      </c>
      <c r="P1732">
        <v>63</v>
      </c>
      <c r="Q1732" t="s">
        <v>26</v>
      </c>
      <c r="R1732" t="s">
        <v>41</v>
      </c>
      <c r="S1732">
        <v>4804</v>
      </c>
      <c r="T1732" t="s">
        <v>28</v>
      </c>
      <c r="U1732" t="str">
        <f t="shared" si="27"/>
        <v>Pass</v>
      </c>
    </row>
    <row r="1733" spans="1:21">
      <c r="A1733" t="s">
        <v>3023</v>
      </c>
      <c r="B1733" t="s">
        <v>178</v>
      </c>
      <c r="C1733" t="s">
        <v>37</v>
      </c>
      <c r="D1733">
        <v>10</v>
      </c>
      <c r="E1733" t="s">
        <v>47</v>
      </c>
      <c r="F1733">
        <v>14</v>
      </c>
      <c r="G1733" t="s">
        <v>24</v>
      </c>
      <c r="H1733" t="s">
        <v>1031</v>
      </c>
      <c r="I1733">
        <v>95</v>
      </c>
      <c r="J1733">
        <v>61</v>
      </c>
      <c r="K1733">
        <v>47</v>
      </c>
      <c r="L1733">
        <v>38</v>
      </c>
      <c r="M1733">
        <v>59</v>
      </c>
      <c r="N1733">
        <v>96</v>
      </c>
      <c r="O1733">
        <v>301</v>
      </c>
      <c r="P1733">
        <v>60.2</v>
      </c>
      <c r="Q1733" t="s">
        <v>26</v>
      </c>
      <c r="R1733" t="s">
        <v>27</v>
      </c>
      <c r="S1733">
        <v>3337</v>
      </c>
      <c r="T1733" t="s">
        <v>66</v>
      </c>
      <c r="U1733" t="str">
        <f t="shared" si="27"/>
        <v>Pass</v>
      </c>
    </row>
    <row r="1734" spans="1:21">
      <c r="A1734" t="s">
        <v>3024</v>
      </c>
      <c r="B1734" t="s">
        <v>408</v>
      </c>
      <c r="C1734" t="s">
        <v>37</v>
      </c>
      <c r="D1734">
        <v>4</v>
      </c>
      <c r="E1734" t="s">
        <v>47</v>
      </c>
      <c r="F1734">
        <v>9</v>
      </c>
      <c r="G1734" t="s">
        <v>45</v>
      </c>
      <c r="H1734" t="s">
        <v>2932</v>
      </c>
      <c r="I1734">
        <v>71</v>
      </c>
      <c r="J1734">
        <v>58</v>
      </c>
      <c r="K1734">
        <v>50</v>
      </c>
      <c r="L1734">
        <v>50</v>
      </c>
      <c r="M1734">
        <v>81</v>
      </c>
      <c r="N1734">
        <v>48</v>
      </c>
      <c r="O1734">
        <v>287</v>
      </c>
      <c r="P1734">
        <v>57.4</v>
      </c>
      <c r="Q1734" t="s">
        <v>31</v>
      </c>
      <c r="R1734" t="s">
        <v>41</v>
      </c>
      <c r="S1734">
        <v>2221</v>
      </c>
      <c r="T1734" t="s">
        <v>48</v>
      </c>
      <c r="U1734" t="str">
        <f t="shared" si="27"/>
        <v>Pass</v>
      </c>
    </row>
    <row r="1735" spans="1:21">
      <c r="A1735" t="s">
        <v>3025</v>
      </c>
      <c r="B1735" t="s">
        <v>250</v>
      </c>
      <c r="C1735" t="s">
        <v>37</v>
      </c>
      <c r="D1735">
        <v>12</v>
      </c>
      <c r="E1735" t="s">
        <v>23</v>
      </c>
      <c r="F1735">
        <v>17</v>
      </c>
      <c r="G1735" t="s">
        <v>64</v>
      </c>
      <c r="H1735" t="s">
        <v>1888</v>
      </c>
      <c r="I1735">
        <v>100</v>
      </c>
      <c r="J1735">
        <v>68</v>
      </c>
      <c r="K1735">
        <v>62</v>
      </c>
      <c r="L1735">
        <v>39</v>
      </c>
      <c r="M1735">
        <v>82</v>
      </c>
      <c r="N1735">
        <v>69</v>
      </c>
      <c r="O1735">
        <v>320</v>
      </c>
      <c r="P1735">
        <v>64</v>
      </c>
      <c r="Q1735" t="s">
        <v>26</v>
      </c>
      <c r="R1735" t="s">
        <v>41</v>
      </c>
      <c r="S1735">
        <v>3141</v>
      </c>
      <c r="T1735" t="s">
        <v>28</v>
      </c>
      <c r="U1735" t="str">
        <f t="shared" si="27"/>
        <v>Pass</v>
      </c>
    </row>
    <row r="1736" spans="1:21">
      <c r="A1736" t="s">
        <v>3026</v>
      </c>
      <c r="B1736" t="s">
        <v>305</v>
      </c>
      <c r="C1736" t="s">
        <v>37</v>
      </c>
      <c r="D1736">
        <v>12</v>
      </c>
      <c r="E1736" t="s">
        <v>26</v>
      </c>
      <c r="F1736">
        <v>17</v>
      </c>
      <c r="G1736" t="s">
        <v>64</v>
      </c>
      <c r="H1736" t="s">
        <v>1327</v>
      </c>
      <c r="I1736">
        <v>65</v>
      </c>
      <c r="J1736">
        <v>46</v>
      </c>
      <c r="K1736">
        <v>60</v>
      </c>
      <c r="L1736">
        <v>56</v>
      </c>
      <c r="M1736">
        <v>74</v>
      </c>
      <c r="N1736">
        <v>78</v>
      </c>
      <c r="O1736">
        <v>314</v>
      </c>
      <c r="P1736">
        <v>62.8</v>
      </c>
      <c r="Q1736" t="s">
        <v>26</v>
      </c>
      <c r="R1736" t="s">
        <v>41</v>
      </c>
      <c r="S1736">
        <v>4749</v>
      </c>
      <c r="T1736" t="s">
        <v>48</v>
      </c>
      <c r="U1736" t="str">
        <f t="shared" si="27"/>
        <v>Pass</v>
      </c>
    </row>
    <row r="1737" spans="1:21">
      <c r="A1737" t="s">
        <v>3027</v>
      </c>
      <c r="B1737" t="s">
        <v>844</v>
      </c>
      <c r="C1737" t="s">
        <v>22</v>
      </c>
      <c r="D1737">
        <v>4</v>
      </c>
      <c r="E1737" t="s">
        <v>23</v>
      </c>
      <c r="F1737">
        <v>10</v>
      </c>
      <c r="G1737" t="s">
        <v>54</v>
      </c>
      <c r="H1737" t="s">
        <v>3028</v>
      </c>
      <c r="I1737">
        <v>78</v>
      </c>
      <c r="J1737">
        <v>69</v>
      </c>
      <c r="K1737">
        <v>36</v>
      </c>
      <c r="L1737">
        <v>78</v>
      </c>
      <c r="M1737">
        <v>88</v>
      </c>
      <c r="N1737">
        <v>88</v>
      </c>
      <c r="O1737">
        <v>359</v>
      </c>
      <c r="P1737">
        <v>71.8</v>
      </c>
      <c r="Q1737" t="s">
        <v>40</v>
      </c>
      <c r="R1737" t="s">
        <v>27</v>
      </c>
      <c r="S1737">
        <v>4793</v>
      </c>
      <c r="T1737" t="s">
        <v>66</v>
      </c>
      <c r="U1737" t="str">
        <f t="shared" si="27"/>
        <v>Pass</v>
      </c>
    </row>
    <row r="1738" spans="1:21">
      <c r="A1738" t="s">
        <v>3029</v>
      </c>
      <c r="B1738" t="s">
        <v>978</v>
      </c>
      <c r="C1738" t="s">
        <v>37</v>
      </c>
      <c r="D1738">
        <v>5</v>
      </c>
      <c r="E1738" t="s">
        <v>31</v>
      </c>
      <c r="F1738">
        <v>11</v>
      </c>
      <c r="G1738" t="s">
        <v>32</v>
      </c>
      <c r="H1738" t="s">
        <v>3030</v>
      </c>
      <c r="I1738">
        <v>77</v>
      </c>
      <c r="J1738">
        <v>81</v>
      </c>
      <c r="K1738">
        <v>81</v>
      </c>
      <c r="L1738">
        <v>66</v>
      </c>
      <c r="M1738">
        <v>100</v>
      </c>
      <c r="N1738">
        <v>77</v>
      </c>
      <c r="O1738">
        <v>405</v>
      </c>
      <c r="P1738">
        <v>81</v>
      </c>
      <c r="Q1738" t="s">
        <v>47</v>
      </c>
      <c r="R1738" t="s">
        <v>41</v>
      </c>
      <c r="S1738">
        <v>1900</v>
      </c>
      <c r="T1738" t="s">
        <v>70</v>
      </c>
      <c r="U1738" t="str">
        <f t="shared" si="27"/>
        <v>Pass</v>
      </c>
    </row>
    <row r="1739" spans="1:21">
      <c r="A1739" t="s">
        <v>3031</v>
      </c>
      <c r="B1739" t="s">
        <v>1234</v>
      </c>
      <c r="C1739" t="s">
        <v>22</v>
      </c>
      <c r="D1739">
        <v>4</v>
      </c>
      <c r="E1739" t="s">
        <v>23</v>
      </c>
      <c r="F1739">
        <v>9</v>
      </c>
      <c r="G1739" t="s">
        <v>58</v>
      </c>
      <c r="H1739" t="s">
        <v>2456</v>
      </c>
      <c r="I1739">
        <v>78</v>
      </c>
      <c r="J1739">
        <v>39</v>
      </c>
      <c r="K1739">
        <v>74</v>
      </c>
      <c r="L1739">
        <v>53</v>
      </c>
      <c r="M1739">
        <v>62</v>
      </c>
      <c r="N1739">
        <v>43</v>
      </c>
      <c r="O1739">
        <v>271</v>
      </c>
      <c r="P1739">
        <v>54.2</v>
      </c>
      <c r="Q1739" t="s">
        <v>31</v>
      </c>
      <c r="R1739" t="s">
        <v>27</v>
      </c>
      <c r="S1739">
        <v>2271</v>
      </c>
      <c r="T1739" t="s">
        <v>66</v>
      </c>
      <c r="U1739" t="str">
        <f t="shared" si="27"/>
        <v>Fail</v>
      </c>
    </row>
    <row r="1740" spans="1:21">
      <c r="A1740" t="s">
        <v>3032</v>
      </c>
      <c r="B1740" t="s">
        <v>305</v>
      </c>
      <c r="C1740" t="s">
        <v>22</v>
      </c>
      <c r="D1740">
        <v>7</v>
      </c>
      <c r="E1740" t="s">
        <v>23</v>
      </c>
      <c r="F1740">
        <v>13</v>
      </c>
      <c r="G1740" t="s">
        <v>32</v>
      </c>
      <c r="H1740" t="s">
        <v>3033</v>
      </c>
      <c r="I1740">
        <v>91</v>
      </c>
      <c r="J1740">
        <v>63</v>
      </c>
      <c r="K1740">
        <v>52</v>
      </c>
      <c r="L1740">
        <v>55</v>
      </c>
      <c r="M1740">
        <v>57</v>
      </c>
      <c r="N1740">
        <v>49</v>
      </c>
      <c r="O1740">
        <v>276</v>
      </c>
      <c r="P1740">
        <v>55.2</v>
      </c>
      <c r="Q1740" t="s">
        <v>31</v>
      </c>
      <c r="R1740" t="s">
        <v>27</v>
      </c>
      <c r="S1740">
        <v>2659</v>
      </c>
      <c r="T1740" t="s">
        <v>28</v>
      </c>
      <c r="U1740" t="str">
        <f t="shared" si="27"/>
        <v>Pass</v>
      </c>
    </row>
    <row r="1741" spans="1:21">
      <c r="A1741" t="s">
        <v>3034</v>
      </c>
      <c r="B1741" t="s">
        <v>178</v>
      </c>
      <c r="C1741" t="s">
        <v>22</v>
      </c>
      <c r="D1741">
        <v>4</v>
      </c>
      <c r="E1741" t="s">
        <v>47</v>
      </c>
      <c r="F1741">
        <v>9</v>
      </c>
      <c r="G1741" t="s">
        <v>38</v>
      </c>
      <c r="H1741" t="s">
        <v>3035</v>
      </c>
      <c r="I1741">
        <v>95</v>
      </c>
      <c r="J1741">
        <v>53</v>
      </c>
      <c r="K1741">
        <v>49</v>
      </c>
      <c r="L1741">
        <v>54</v>
      </c>
      <c r="M1741">
        <v>40</v>
      </c>
      <c r="N1741">
        <v>56</v>
      </c>
      <c r="O1741">
        <v>252</v>
      </c>
      <c r="P1741">
        <v>50.4</v>
      </c>
      <c r="Q1741" t="s">
        <v>31</v>
      </c>
      <c r="R1741" t="s">
        <v>27</v>
      </c>
      <c r="S1741">
        <v>3764</v>
      </c>
      <c r="T1741" t="s">
        <v>28</v>
      </c>
      <c r="U1741" t="str">
        <f t="shared" si="27"/>
        <v>Fail</v>
      </c>
    </row>
    <row r="1742" spans="1:21">
      <c r="A1742" t="s">
        <v>3036</v>
      </c>
      <c r="B1742" t="s">
        <v>148</v>
      </c>
      <c r="C1742" t="s">
        <v>37</v>
      </c>
      <c r="D1742">
        <v>6</v>
      </c>
      <c r="E1742" t="s">
        <v>23</v>
      </c>
      <c r="F1742">
        <v>11</v>
      </c>
      <c r="G1742" t="s">
        <v>64</v>
      </c>
      <c r="H1742" t="s">
        <v>1321</v>
      </c>
      <c r="I1742">
        <v>64</v>
      </c>
      <c r="J1742">
        <v>59</v>
      </c>
      <c r="K1742">
        <v>56</v>
      </c>
      <c r="L1742">
        <v>72</v>
      </c>
      <c r="M1742">
        <v>35</v>
      </c>
      <c r="N1742">
        <v>73</v>
      </c>
      <c r="O1742">
        <v>295</v>
      </c>
      <c r="P1742">
        <v>59</v>
      </c>
      <c r="Q1742" t="s">
        <v>31</v>
      </c>
      <c r="R1742" t="s">
        <v>27</v>
      </c>
      <c r="S1742">
        <v>2727</v>
      </c>
      <c r="T1742" t="s">
        <v>28</v>
      </c>
      <c r="U1742" t="str">
        <f t="shared" si="27"/>
        <v>Pass</v>
      </c>
    </row>
    <row r="1743" spans="1:21">
      <c r="A1743" t="s">
        <v>3037</v>
      </c>
      <c r="B1743" t="s">
        <v>622</v>
      </c>
      <c r="C1743" t="s">
        <v>22</v>
      </c>
      <c r="D1743">
        <v>6</v>
      </c>
      <c r="E1743" t="s">
        <v>23</v>
      </c>
      <c r="F1743">
        <v>11</v>
      </c>
      <c r="G1743" t="s">
        <v>45</v>
      </c>
      <c r="H1743" t="s">
        <v>59</v>
      </c>
      <c r="I1743">
        <v>95</v>
      </c>
      <c r="J1743">
        <v>52</v>
      </c>
      <c r="K1743">
        <v>35</v>
      </c>
      <c r="L1743">
        <v>51</v>
      </c>
      <c r="M1743">
        <v>35</v>
      </c>
      <c r="N1743">
        <v>74</v>
      </c>
      <c r="O1743">
        <v>247</v>
      </c>
      <c r="P1743">
        <v>49.4</v>
      </c>
      <c r="Q1743" t="s">
        <v>23</v>
      </c>
      <c r="R1743" t="s">
        <v>41</v>
      </c>
      <c r="S1743">
        <v>1524</v>
      </c>
      <c r="T1743" t="s">
        <v>66</v>
      </c>
      <c r="U1743" t="str">
        <f t="shared" si="27"/>
        <v>Fail</v>
      </c>
    </row>
    <row r="1744" spans="1:21">
      <c r="A1744" t="s">
        <v>3038</v>
      </c>
      <c r="B1744" t="s">
        <v>628</v>
      </c>
      <c r="C1744" t="s">
        <v>37</v>
      </c>
      <c r="D1744">
        <v>8</v>
      </c>
      <c r="E1744" t="s">
        <v>26</v>
      </c>
      <c r="F1744">
        <v>12</v>
      </c>
      <c r="G1744" t="s">
        <v>64</v>
      </c>
      <c r="H1744" t="s">
        <v>3039</v>
      </c>
      <c r="I1744">
        <v>90</v>
      </c>
      <c r="J1744">
        <v>57</v>
      </c>
      <c r="K1744">
        <v>54</v>
      </c>
      <c r="L1744">
        <v>72</v>
      </c>
      <c r="M1744">
        <v>66</v>
      </c>
      <c r="N1744">
        <v>42</v>
      </c>
      <c r="O1744">
        <v>291</v>
      </c>
      <c r="P1744">
        <v>58.2</v>
      </c>
      <c r="Q1744" t="s">
        <v>31</v>
      </c>
      <c r="R1744" t="s">
        <v>27</v>
      </c>
      <c r="S1744">
        <v>4289</v>
      </c>
      <c r="T1744" t="s">
        <v>66</v>
      </c>
      <c r="U1744" t="str">
        <f t="shared" si="27"/>
        <v>Pass</v>
      </c>
    </row>
    <row r="1745" spans="1:21">
      <c r="A1745" t="s">
        <v>3040</v>
      </c>
      <c r="B1745" t="s">
        <v>416</v>
      </c>
      <c r="C1745" t="s">
        <v>37</v>
      </c>
      <c r="D1745">
        <v>5</v>
      </c>
      <c r="E1745" t="s">
        <v>31</v>
      </c>
      <c r="F1745">
        <v>10</v>
      </c>
      <c r="G1745" t="s">
        <v>24</v>
      </c>
      <c r="H1745" t="s">
        <v>3041</v>
      </c>
      <c r="I1745">
        <v>64</v>
      </c>
      <c r="J1745">
        <v>35</v>
      </c>
      <c r="K1745">
        <v>95</v>
      </c>
      <c r="L1745">
        <v>40</v>
      </c>
      <c r="M1745">
        <v>61</v>
      </c>
      <c r="N1745">
        <v>93</v>
      </c>
      <c r="O1745">
        <v>324</v>
      </c>
      <c r="P1745">
        <v>64.8</v>
      </c>
      <c r="Q1745" t="s">
        <v>26</v>
      </c>
      <c r="R1745" t="s">
        <v>41</v>
      </c>
      <c r="S1745">
        <v>3446</v>
      </c>
      <c r="T1745" t="s">
        <v>34</v>
      </c>
      <c r="U1745" t="str">
        <f t="shared" si="27"/>
        <v>Pass</v>
      </c>
    </row>
    <row r="1746" spans="1:21">
      <c r="A1746" t="s">
        <v>3042</v>
      </c>
      <c r="B1746" t="s">
        <v>748</v>
      </c>
      <c r="C1746" t="s">
        <v>37</v>
      </c>
      <c r="D1746">
        <v>8</v>
      </c>
      <c r="E1746" t="s">
        <v>31</v>
      </c>
      <c r="F1746">
        <v>14</v>
      </c>
      <c r="G1746" t="s">
        <v>54</v>
      </c>
      <c r="H1746" t="s">
        <v>553</v>
      </c>
      <c r="I1746">
        <v>83</v>
      </c>
      <c r="J1746">
        <v>74</v>
      </c>
      <c r="K1746">
        <v>95</v>
      </c>
      <c r="L1746">
        <v>41</v>
      </c>
      <c r="M1746">
        <v>68</v>
      </c>
      <c r="N1746">
        <v>76</v>
      </c>
      <c r="O1746">
        <v>354</v>
      </c>
      <c r="P1746">
        <v>70.8</v>
      </c>
      <c r="Q1746" t="s">
        <v>40</v>
      </c>
      <c r="R1746" t="s">
        <v>27</v>
      </c>
      <c r="S1746">
        <v>4359</v>
      </c>
      <c r="T1746" t="s">
        <v>28</v>
      </c>
      <c r="U1746" t="str">
        <f t="shared" si="27"/>
        <v>Pass</v>
      </c>
    </row>
    <row r="1747" spans="1:21">
      <c r="A1747" t="s">
        <v>3043</v>
      </c>
      <c r="B1747" t="s">
        <v>416</v>
      </c>
      <c r="C1747" t="s">
        <v>22</v>
      </c>
      <c r="D1747">
        <v>2</v>
      </c>
      <c r="E1747" t="s">
        <v>23</v>
      </c>
      <c r="F1747">
        <v>8</v>
      </c>
      <c r="G1747" t="s">
        <v>54</v>
      </c>
      <c r="H1747" t="s">
        <v>3044</v>
      </c>
      <c r="I1747">
        <v>81</v>
      </c>
      <c r="J1747">
        <v>90</v>
      </c>
      <c r="K1747">
        <v>88</v>
      </c>
      <c r="L1747">
        <v>96</v>
      </c>
      <c r="M1747">
        <v>40</v>
      </c>
      <c r="N1747">
        <v>50</v>
      </c>
      <c r="O1747">
        <v>364</v>
      </c>
      <c r="P1747">
        <v>72.8</v>
      </c>
      <c r="Q1747" t="s">
        <v>40</v>
      </c>
      <c r="R1747" t="s">
        <v>41</v>
      </c>
      <c r="S1747">
        <v>1720</v>
      </c>
      <c r="T1747" t="s">
        <v>28</v>
      </c>
      <c r="U1747" t="str">
        <f t="shared" si="27"/>
        <v>Pass</v>
      </c>
    </row>
    <row r="1748" spans="1:21">
      <c r="A1748" t="s">
        <v>3045</v>
      </c>
      <c r="B1748" t="s">
        <v>30</v>
      </c>
      <c r="C1748" t="s">
        <v>22</v>
      </c>
      <c r="D1748">
        <v>3</v>
      </c>
      <c r="E1748" t="s">
        <v>31</v>
      </c>
      <c r="F1748">
        <v>8</v>
      </c>
      <c r="G1748" t="s">
        <v>24</v>
      </c>
      <c r="H1748" t="s">
        <v>1230</v>
      </c>
      <c r="I1748">
        <v>98</v>
      </c>
      <c r="J1748">
        <v>46</v>
      </c>
      <c r="K1748">
        <v>89</v>
      </c>
      <c r="L1748">
        <v>46</v>
      </c>
      <c r="M1748">
        <v>76</v>
      </c>
      <c r="N1748">
        <v>58</v>
      </c>
      <c r="O1748">
        <v>315</v>
      </c>
      <c r="P1748">
        <v>63</v>
      </c>
      <c r="Q1748" t="s">
        <v>26</v>
      </c>
      <c r="R1748" t="s">
        <v>27</v>
      </c>
      <c r="S1748">
        <v>1667</v>
      </c>
      <c r="T1748" t="s">
        <v>70</v>
      </c>
      <c r="U1748" t="str">
        <f t="shared" si="27"/>
        <v>Pass</v>
      </c>
    </row>
    <row r="1749" spans="1:21">
      <c r="A1749" t="s">
        <v>3046</v>
      </c>
      <c r="B1749" t="s">
        <v>544</v>
      </c>
      <c r="C1749" t="s">
        <v>37</v>
      </c>
      <c r="D1749">
        <v>4</v>
      </c>
      <c r="E1749" t="s">
        <v>47</v>
      </c>
      <c r="F1749">
        <v>8</v>
      </c>
      <c r="G1749" t="s">
        <v>32</v>
      </c>
      <c r="H1749" t="s">
        <v>3047</v>
      </c>
      <c r="I1749">
        <v>74</v>
      </c>
      <c r="J1749">
        <v>35</v>
      </c>
      <c r="K1749">
        <v>87</v>
      </c>
      <c r="L1749">
        <v>43</v>
      </c>
      <c r="M1749">
        <v>99</v>
      </c>
      <c r="N1749">
        <v>64</v>
      </c>
      <c r="O1749">
        <v>328</v>
      </c>
      <c r="P1749">
        <v>65.599999999999994</v>
      </c>
      <c r="Q1749" t="s">
        <v>26</v>
      </c>
      <c r="R1749" t="s">
        <v>27</v>
      </c>
      <c r="S1749">
        <v>3916</v>
      </c>
      <c r="T1749" t="s">
        <v>28</v>
      </c>
      <c r="U1749" t="str">
        <f t="shared" si="27"/>
        <v>Pass</v>
      </c>
    </row>
    <row r="1750" spans="1:21">
      <c r="A1750" t="s">
        <v>3048</v>
      </c>
      <c r="B1750" t="s">
        <v>157</v>
      </c>
      <c r="C1750" t="s">
        <v>22</v>
      </c>
      <c r="D1750">
        <v>8</v>
      </c>
      <c r="E1750" t="s">
        <v>31</v>
      </c>
      <c r="F1750">
        <v>14</v>
      </c>
      <c r="G1750" t="s">
        <v>38</v>
      </c>
      <c r="H1750" t="s">
        <v>1969</v>
      </c>
      <c r="I1750">
        <v>78</v>
      </c>
      <c r="J1750">
        <v>72</v>
      </c>
      <c r="K1750">
        <v>57</v>
      </c>
      <c r="L1750">
        <v>59</v>
      </c>
      <c r="M1750">
        <v>62</v>
      </c>
      <c r="N1750">
        <v>74</v>
      </c>
      <c r="O1750">
        <v>324</v>
      </c>
      <c r="P1750">
        <v>64.8</v>
      </c>
      <c r="Q1750" t="s">
        <v>26</v>
      </c>
      <c r="R1750" t="s">
        <v>41</v>
      </c>
      <c r="S1750">
        <v>2282</v>
      </c>
      <c r="T1750" t="s">
        <v>70</v>
      </c>
      <c r="U1750" t="str">
        <f t="shared" si="27"/>
        <v>Pass</v>
      </c>
    </row>
    <row r="1751" spans="1:21">
      <c r="A1751" t="s">
        <v>3049</v>
      </c>
      <c r="B1751" t="s">
        <v>628</v>
      </c>
      <c r="C1751" t="s">
        <v>37</v>
      </c>
      <c r="D1751">
        <v>8</v>
      </c>
      <c r="E1751" t="s">
        <v>31</v>
      </c>
      <c r="F1751">
        <v>12</v>
      </c>
      <c r="G1751" t="s">
        <v>64</v>
      </c>
      <c r="H1751" t="s">
        <v>3050</v>
      </c>
      <c r="I1751">
        <v>96</v>
      </c>
      <c r="J1751">
        <v>95</v>
      </c>
      <c r="K1751">
        <v>53</v>
      </c>
      <c r="L1751">
        <v>82</v>
      </c>
      <c r="M1751">
        <v>62</v>
      </c>
      <c r="N1751">
        <v>92</v>
      </c>
      <c r="O1751">
        <v>384</v>
      </c>
      <c r="P1751">
        <v>76.8</v>
      </c>
      <c r="Q1751" t="s">
        <v>40</v>
      </c>
      <c r="R1751" t="s">
        <v>41</v>
      </c>
      <c r="S1751">
        <v>3341</v>
      </c>
      <c r="T1751" t="s">
        <v>48</v>
      </c>
      <c r="U1751" t="str">
        <f t="shared" si="27"/>
        <v>Pass</v>
      </c>
    </row>
    <row r="1752" spans="1:21">
      <c r="A1752" t="s">
        <v>3051</v>
      </c>
      <c r="B1752" t="s">
        <v>157</v>
      </c>
      <c r="C1752" t="s">
        <v>22</v>
      </c>
      <c r="D1752">
        <v>8</v>
      </c>
      <c r="E1752" t="s">
        <v>26</v>
      </c>
      <c r="F1752">
        <v>13</v>
      </c>
      <c r="G1752" t="s">
        <v>38</v>
      </c>
      <c r="H1752" t="s">
        <v>3052</v>
      </c>
      <c r="I1752">
        <v>83</v>
      </c>
      <c r="J1752">
        <v>70</v>
      </c>
      <c r="K1752">
        <v>57</v>
      </c>
      <c r="L1752">
        <v>66</v>
      </c>
      <c r="M1752">
        <v>98</v>
      </c>
      <c r="N1752">
        <v>39</v>
      </c>
      <c r="O1752">
        <v>330</v>
      </c>
      <c r="P1752">
        <v>66</v>
      </c>
      <c r="Q1752" t="s">
        <v>26</v>
      </c>
      <c r="R1752" t="s">
        <v>41</v>
      </c>
      <c r="S1752">
        <v>2625</v>
      </c>
      <c r="T1752" t="s">
        <v>48</v>
      </c>
      <c r="U1752" t="str">
        <f t="shared" si="27"/>
        <v>Pass</v>
      </c>
    </row>
    <row r="1753" spans="1:21">
      <c r="A1753" t="s">
        <v>3053</v>
      </c>
      <c r="B1753" t="s">
        <v>586</v>
      </c>
      <c r="C1753" t="s">
        <v>22</v>
      </c>
      <c r="D1753">
        <v>2</v>
      </c>
      <c r="E1753" t="s">
        <v>31</v>
      </c>
      <c r="F1753">
        <v>6</v>
      </c>
      <c r="G1753" t="s">
        <v>45</v>
      </c>
      <c r="H1753" t="s">
        <v>3054</v>
      </c>
      <c r="I1753">
        <v>66</v>
      </c>
      <c r="J1753">
        <v>93</v>
      </c>
      <c r="K1753">
        <v>98</v>
      </c>
      <c r="L1753">
        <v>55</v>
      </c>
      <c r="M1753">
        <v>90</v>
      </c>
      <c r="N1753">
        <v>84</v>
      </c>
      <c r="O1753">
        <v>420</v>
      </c>
      <c r="P1753">
        <v>84</v>
      </c>
      <c r="Q1753" t="s">
        <v>47</v>
      </c>
      <c r="R1753" t="s">
        <v>41</v>
      </c>
      <c r="S1753">
        <v>2637</v>
      </c>
      <c r="T1753" t="s">
        <v>34</v>
      </c>
      <c r="U1753" t="str">
        <f t="shared" si="27"/>
        <v>Pass</v>
      </c>
    </row>
    <row r="1754" spans="1:21">
      <c r="A1754" t="s">
        <v>3055</v>
      </c>
      <c r="B1754" t="s">
        <v>226</v>
      </c>
      <c r="C1754" t="s">
        <v>37</v>
      </c>
      <c r="D1754">
        <v>5</v>
      </c>
      <c r="E1754" t="s">
        <v>23</v>
      </c>
      <c r="F1754">
        <v>11</v>
      </c>
      <c r="G1754" t="s">
        <v>24</v>
      </c>
      <c r="H1754" t="s">
        <v>643</v>
      </c>
      <c r="I1754">
        <v>96</v>
      </c>
      <c r="J1754">
        <v>45</v>
      </c>
      <c r="K1754">
        <v>38</v>
      </c>
      <c r="L1754">
        <v>59</v>
      </c>
      <c r="M1754">
        <v>76</v>
      </c>
      <c r="N1754">
        <v>71</v>
      </c>
      <c r="O1754">
        <v>289</v>
      </c>
      <c r="P1754">
        <v>57.8</v>
      </c>
      <c r="Q1754" t="s">
        <v>31</v>
      </c>
      <c r="R1754" t="s">
        <v>41</v>
      </c>
      <c r="S1754">
        <v>4752</v>
      </c>
      <c r="T1754" t="s">
        <v>66</v>
      </c>
      <c r="U1754" t="str">
        <f t="shared" si="27"/>
        <v>Pass</v>
      </c>
    </row>
    <row r="1755" spans="1:21">
      <c r="A1755" t="s">
        <v>3056</v>
      </c>
      <c r="B1755" t="s">
        <v>145</v>
      </c>
      <c r="C1755" t="s">
        <v>22</v>
      </c>
      <c r="D1755">
        <v>9</v>
      </c>
      <c r="E1755" t="s">
        <v>26</v>
      </c>
      <c r="F1755">
        <v>13</v>
      </c>
      <c r="G1755" t="s">
        <v>32</v>
      </c>
      <c r="H1755" t="s">
        <v>764</v>
      </c>
      <c r="I1755">
        <v>68</v>
      </c>
      <c r="J1755">
        <v>69</v>
      </c>
      <c r="K1755">
        <v>90</v>
      </c>
      <c r="L1755">
        <v>97</v>
      </c>
      <c r="M1755">
        <v>89</v>
      </c>
      <c r="N1755">
        <v>95</v>
      </c>
      <c r="O1755">
        <v>440</v>
      </c>
      <c r="P1755">
        <v>88</v>
      </c>
      <c r="Q1755" t="s">
        <v>47</v>
      </c>
      <c r="R1755" t="s">
        <v>41</v>
      </c>
      <c r="S1755">
        <v>4152</v>
      </c>
      <c r="T1755" t="s">
        <v>70</v>
      </c>
      <c r="U1755" t="str">
        <f t="shared" si="27"/>
        <v>Pass</v>
      </c>
    </row>
    <row r="1756" spans="1:21">
      <c r="A1756" t="s">
        <v>3057</v>
      </c>
      <c r="B1756" t="s">
        <v>187</v>
      </c>
      <c r="C1756" t="s">
        <v>37</v>
      </c>
      <c r="D1756">
        <v>6</v>
      </c>
      <c r="E1756" t="s">
        <v>31</v>
      </c>
      <c r="F1756">
        <v>10</v>
      </c>
      <c r="G1756" t="s">
        <v>64</v>
      </c>
      <c r="H1756" t="s">
        <v>3058</v>
      </c>
      <c r="I1756">
        <v>100</v>
      </c>
      <c r="J1756">
        <v>36</v>
      </c>
      <c r="K1756">
        <v>94</v>
      </c>
      <c r="L1756">
        <v>40</v>
      </c>
      <c r="M1756">
        <v>93</v>
      </c>
      <c r="N1756">
        <v>37</v>
      </c>
      <c r="O1756">
        <v>300</v>
      </c>
      <c r="P1756">
        <v>60</v>
      </c>
      <c r="Q1756" t="s">
        <v>26</v>
      </c>
      <c r="R1756" t="s">
        <v>41</v>
      </c>
      <c r="S1756">
        <v>2501</v>
      </c>
      <c r="T1756" t="s">
        <v>48</v>
      </c>
      <c r="U1756" t="str">
        <f t="shared" si="27"/>
        <v>Pass</v>
      </c>
    </row>
    <row r="1757" spans="1:21">
      <c r="A1757" t="s">
        <v>3059</v>
      </c>
      <c r="B1757" t="s">
        <v>579</v>
      </c>
      <c r="C1757" t="s">
        <v>22</v>
      </c>
      <c r="D1757">
        <v>7</v>
      </c>
      <c r="E1757" t="s">
        <v>23</v>
      </c>
      <c r="F1757">
        <v>13</v>
      </c>
      <c r="G1757" t="s">
        <v>58</v>
      </c>
      <c r="H1757" t="s">
        <v>2877</v>
      </c>
      <c r="I1757">
        <v>80</v>
      </c>
      <c r="J1757">
        <v>50</v>
      </c>
      <c r="K1757">
        <v>82</v>
      </c>
      <c r="L1757">
        <v>73</v>
      </c>
      <c r="M1757">
        <v>72</v>
      </c>
      <c r="N1757">
        <v>64</v>
      </c>
      <c r="O1757">
        <v>341</v>
      </c>
      <c r="P1757">
        <v>68.2</v>
      </c>
      <c r="Q1757" t="s">
        <v>26</v>
      </c>
      <c r="R1757" t="s">
        <v>41</v>
      </c>
      <c r="S1757">
        <v>3601</v>
      </c>
      <c r="T1757" t="s">
        <v>70</v>
      </c>
      <c r="U1757" t="str">
        <f t="shared" si="27"/>
        <v>Pass</v>
      </c>
    </row>
    <row r="1758" spans="1:21">
      <c r="A1758" t="s">
        <v>3060</v>
      </c>
      <c r="B1758" t="s">
        <v>151</v>
      </c>
      <c r="C1758" t="s">
        <v>37</v>
      </c>
      <c r="D1758">
        <v>10</v>
      </c>
      <c r="E1758" t="s">
        <v>31</v>
      </c>
      <c r="F1758">
        <v>15</v>
      </c>
      <c r="G1758" t="s">
        <v>32</v>
      </c>
      <c r="H1758" t="s">
        <v>3061</v>
      </c>
      <c r="I1758">
        <v>95</v>
      </c>
      <c r="J1758">
        <v>81</v>
      </c>
      <c r="K1758">
        <v>71</v>
      </c>
      <c r="L1758">
        <v>42</v>
      </c>
      <c r="M1758">
        <v>71</v>
      </c>
      <c r="N1758">
        <v>60</v>
      </c>
      <c r="O1758">
        <v>325</v>
      </c>
      <c r="P1758">
        <v>65</v>
      </c>
      <c r="Q1758" t="s">
        <v>26</v>
      </c>
      <c r="R1758" t="s">
        <v>41</v>
      </c>
      <c r="S1758">
        <v>3622</v>
      </c>
      <c r="T1758" t="s">
        <v>70</v>
      </c>
      <c r="U1758" t="str">
        <f t="shared" si="27"/>
        <v>Pass</v>
      </c>
    </row>
    <row r="1759" spans="1:21">
      <c r="A1759" t="s">
        <v>3062</v>
      </c>
      <c r="B1759" t="s">
        <v>332</v>
      </c>
      <c r="C1759" t="s">
        <v>37</v>
      </c>
      <c r="D1759">
        <v>8</v>
      </c>
      <c r="E1759" t="s">
        <v>47</v>
      </c>
      <c r="F1759">
        <v>14</v>
      </c>
      <c r="G1759" t="s">
        <v>24</v>
      </c>
      <c r="H1759" t="s">
        <v>457</v>
      </c>
      <c r="I1759">
        <v>66</v>
      </c>
      <c r="J1759">
        <v>46</v>
      </c>
      <c r="K1759">
        <v>51</v>
      </c>
      <c r="L1759">
        <v>79</v>
      </c>
      <c r="M1759">
        <v>47</v>
      </c>
      <c r="N1759">
        <v>41</v>
      </c>
      <c r="O1759">
        <v>264</v>
      </c>
      <c r="P1759">
        <v>52.8</v>
      </c>
      <c r="Q1759" t="s">
        <v>31</v>
      </c>
      <c r="R1759" t="s">
        <v>27</v>
      </c>
      <c r="S1759">
        <v>3704</v>
      </c>
      <c r="T1759" t="s">
        <v>48</v>
      </c>
      <c r="U1759" t="str">
        <f t="shared" si="27"/>
        <v>Fail</v>
      </c>
    </row>
    <row r="1760" spans="1:21">
      <c r="A1760" t="s">
        <v>3063</v>
      </c>
      <c r="B1760" t="s">
        <v>798</v>
      </c>
      <c r="C1760" t="s">
        <v>22</v>
      </c>
      <c r="D1760">
        <v>5</v>
      </c>
      <c r="E1760" t="s">
        <v>26</v>
      </c>
      <c r="F1760">
        <v>9</v>
      </c>
      <c r="G1760" t="s">
        <v>38</v>
      </c>
      <c r="H1760" t="s">
        <v>215</v>
      </c>
      <c r="I1760">
        <v>73</v>
      </c>
      <c r="J1760">
        <v>58</v>
      </c>
      <c r="K1760">
        <v>71</v>
      </c>
      <c r="L1760">
        <v>57</v>
      </c>
      <c r="M1760">
        <v>97</v>
      </c>
      <c r="N1760">
        <v>100</v>
      </c>
      <c r="O1760">
        <v>383</v>
      </c>
      <c r="P1760">
        <v>76.599999999999994</v>
      </c>
      <c r="Q1760" t="s">
        <v>40</v>
      </c>
      <c r="R1760" t="s">
        <v>41</v>
      </c>
      <c r="S1760">
        <v>2840</v>
      </c>
      <c r="T1760" t="s">
        <v>48</v>
      </c>
      <c r="U1760" t="str">
        <f t="shared" si="27"/>
        <v>Pass</v>
      </c>
    </row>
    <row r="1761" spans="1:21">
      <c r="A1761" t="s">
        <v>3064</v>
      </c>
      <c r="B1761" t="s">
        <v>242</v>
      </c>
      <c r="C1761" t="s">
        <v>22</v>
      </c>
      <c r="D1761">
        <v>10</v>
      </c>
      <c r="E1761" t="s">
        <v>26</v>
      </c>
      <c r="F1761">
        <v>14</v>
      </c>
      <c r="G1761" t="s">
        <v>64</v>
      </c>
      <c r="H1761" t="s">
        <v>3065</v>
      </c>
      <c r="I1761">
        <v>67</v>
      </c>
      <c r="J1761">
        <v>73</v>
      </c>
      <c r="K1761">
        <v>75</v>
      </c>
      <c r="L1761">
        <v>49</v>
      </c>
      <c r="M1761">
        <v>37</v>
      </c>
      <c r="N1761">
        <v>81</v>
      </c>
      <c r="O1761">
        <v>315</v>
      </c>
      <c r="P1761">
        <v>63</v>
      </c>
      <c r="Q1761" t="s">
        <v>26</v>
      </c>
      <c r="R1761" t="s">
        <v>41</v>
      </c>
      <c r="S1761">
        <v>3503</v>
      </c>
      <c r="T1761" t="s">
        <v>28</v>
      </c>
      <c r="U1761" t="str">
        <f t="shared" si="27"/>
        <v>Pass</v>
      </c>
    </row>
    <row r="1762" spans="1:21">
      <c r="A1762" t="s">
        <v>3066</v>
      </c>
      <c r="B1762" t="s">
        <v>913</v>
      </c>
      <c r="C1762" t="s">
        <v>37</v>
      </c>
      <c r="D1762">
        <v>1</v>
      </c>
      <c r="E1762" t="s">
        <v>47</v>
      </c>
      <c r="F1762">
        <v>7</v>
      </c>
      <c r="G1762" t="s">
        <v>24</v>
      </c>
      <c r="H1762" t="s">
        <v>3067</v>
      </c>
      <c r="I1762">
        <v>99</v>
      </c>
      <c r="J1762">
        <v>44</v>
      </c>
      <c r="K1762">
        <v>93</v>
      </c>
      <c r="L1762">
        <v>67</v>
      </c>
      <c r="M1762">
        <v>78</v>
      </c>
      <c r="N1762">
        <v>41</v>
      </c>
      <c r="O1762">
        <v>323</v>
      </c>
      <c r="P1762">
        <v>64.599999999999994</v>
      </c>
      <c r="Q1762" t="s">
        <v>26</v>
      </c>
      <c r="R1762" t="s">
        <v>27</v>
      </c>
      <c r="S1762">
        <v>3926</v>
      </c>
      <c r="T1762" t="s">
        <v>42</v>
      </c>
      <c r="U1762" t="str">
        <f t="shared" si="27"/>
        <v>Pass</v>
      </c>
    </row>
    <row r="1763" spans="1:21">
      <c r="A1763" t="s">
        <v>3068</v>
      </c>
      <c r="B1763" t="s">
        <v>375</v>
      </c>
      <c r="C1763" t="s">
        <v>22</v>
      </c>
      <c r="D1763">
        <v>12</v>
      </c>
      <c r="E1763" t="s">
        <v>23</v>
      </c>
      <c r="F1763">
        <v>18</v>
      </c>
      <c r="G1763" t="s">
        <v>38</v>
      </c>
      <c r="H1763" t="s">
        <v>1851</v>
      </c>
      <c r="I1763">
        <v>68</v>
      </c>
      <c r="J1763">
        <v>91</v>
      </c>
      <c r="K1763">
        <v>60</v>
      </c>
      <c r="L1763">
        <v>51</v>
      </c>
      <c r="M1763">
        <v>47</v>
      </c>
      <c r="N1763">
        <v>76</v>
      </c>
      <c r="O1763">
        <v>325</v>
      </c>
      <c r="P1763">
        <v>65</v>
      </c>
      <c r="Q1763" t="s">
        <v>26</v>
      </c>
      <c r="R1763" t="s">
        <v>27</v>
      </c>
      <c r="S1763">
        <v>2642</v>
      </c>
      <c r="T1763" t="s">
        <v>34</v>
      </c>
      <c r="U1763" t="str">
        <f t="shared" si="27"/>
        <v>Pass</v>
      </c>
    </row>
    <row r="1764" spans="1:21">
      <c r="A1764" t="s">
        <v>3069</v>
      </c>
      <c r="B1764" t="s">
        <v>181</v>
      </c>
      <c r="C1764" t="s">
        <v>22</v>
      </c>
      <c r="D1764">
        <v>12</v>
      </c>
      <c r="E1764" t="s">
        <v>26</v>
      </c>
      <c r="F1764">
        <v>17</v>
      </c>
      <c r="G1764" t="s">
        <v>45</v>
      </c>
      <c r="H1764" t="s">
        <v>1237</v>
      </c>
      <c r="I1764">
        <v>65</v>
      </c>
      <c r="J1764">
        <v>87</v>
      </c>
      <c r="K1764">
        <v>64</v>
      </c>
      <c r="L1764">
        <v>59</v>
      </c>
      <c r="M1764">
        <v>71</v>
      </c>
      <c r="N1764">
        <v>58</v>
      </c>
      <c r="O1764">
        <v>339</v>
      </c>
      <c r="P1764">
        <v>67.8</v>
      </c>
      <c r="Q1764" t="s">
        <v>26</v>
      </c>
      <c r="R1764" t="s">
        <v>41</v>
      </c>
      <c r="S1764">
        <v>3636</v>
      </c>
      <c r="T1764" t="s">
        <v>48</v>
      </c>
      <c r="U1764" t="str">
        <f t="shared" si="27"/>
        <v>Pass</v>
      </c>
    </row>
    <row r="1765" spans="1:21">
      <c r="A1765" t="s">
        <v>3070</v>
      </c>
      <c r="B1765" t="s">
        <v>118</v>
      </c>
      <c r="C1765" t="s">
        <v>22</v>
      </c>
      <c r="D1765">
        <v>3</v>
      </c>
      <c r="E1765" t="s">
        <v>23</v>
      </c>
      <c r="F1765">
        <v>8</v>
      </c>
      <c r="G1765" t="s">
        <v>58</v>
      </c>
      <c r="H1765" t="s">
        <v>1899</v>
      </c>
      <c r="I1765">
        <v>100</v>
      </c>
      <c r="J1765">
        <v>81</v>
      </c>
      <c r="K1765">
        <v>54</v>
      </c>
      <c r="L1765">
        <v>79</v>
      </c>
      <c r="M1765">
        <v>69</v>
      </c>
      <c r="N1765">
        <v>50</v>
      </c>
      <c r="O1765">
        <v>333</v>
      </c>
      <c r="P1765">
        <v>66.599999999999994</v>
      </c>
      <c r="Q1765" t="s">
        <v>26</v>
      </c>
      <c r="R1765" t="s">
        <v>41</v>
      </c>
      <c r="S1765">
        <v>4176</v>
      </c>
      <c r="T1765" t="s">
        <v>48</v>
      </c>
      <c r="U1765" t="str">
        <f t="shared" si="27"/>
        <v>Pass</v>
      </c>
    </row>
    <row r="1766" spans="1:21">
      <c r="A1766" t="s">
        <v>3071</v>
      </c>
      <c r="B1766" t="s">
        <v>493</v>
      </c>
      <c r="C1766" t="s">
        <v>22</v>
      </c>
      <c r="D1766">
        <v>7</v>
      </c>
      <c r="E1766" t="s">
        <v>23</v>
      </c>
      <c r="F1766">
        <v>11</v>
      </c>
      <c r="G1766" t="s">
        <v>58</v>
      </c>
      <c r="H1766" t="s">
        <v>3072</v>
      </c>
      <c r="I1766">
        <v>97</v>
      </c>
      <c r="J1766">
        <v>45</v>
      </c>
      <c r="K1766">
        <v>51</v>
      </c>
      <c r="L1766">
        <v>69</v>
      </c>
      <c r="M1766">
        <v>38</v>
      </c>
      <c r="N1766">
        <v>36</v>
      </c>
      <c r="O1766">
        <v>239</v>
      </c>
      <c r="P1766">
        <v>47.8</v>
      </c>
      <c r="Q1766" t="s">
        <v>23</v>
      </c>
      <c r="R1766" t="s">
        <v>41</v>
      </c>
      <c r="S1766">
        <v>3503</v>
      </c>
      <c r="T1766" t="s">
        <v>28</v>
      </c>
      <c r="U1766" t="str">
        <f t="shared" si="27"/>
        <v>Fail</v>
      </c>
    </row>
    <row r="1767" spans="1:21">
      <c r="A1767" t="s">
        <v>3073</v>
      </c>
      <c r="B1767" t="s">
        <v>714</v>
      </c>
      <c r="C1767" t="s">
        <v>22</v>
      </c>
      <c r="D1767">
        <v>5</v>
      </c>
      <c r="E1767" t="s">
        <v>23</v>
      </c>
      <c r="F1767">
        <v>10</v>
      </c>
      <c r="G1767" t="s">
        <v>58</v>
      </c>
      <c r="H1767" t="s">
        <v>3074</v>
      </c>
      <c r="I1767">
        <v>72</v>
      </c>
      <c r="J1767">
        <v>41</v>
      </c>
      <c r="K1767">
        <v>64</v>
      </c>
      <c r="L1767">
        <v>55</v>
      </c>
      <c r="M1767">
        <v>41</v>
      </c>
      <c r="N1767">
        <v>53</v>
      </c>
      <c r="O1767">
        <v>254</v>
      </c>
      <c r="P1767">
        <v>50.8</v>
      </c>
      <c r="Q1767" t="s">
        <v>31</v>
      </c>
      <c r="R1767" t="s">
        <v>27</v>
      </c>
      <c r="S1767">
        <v>2560</v>
      </c>
      <c r="T1767" t="s">
        <v>70</v>
      </c>
      <c r="U1767" t="str">
        <f t="shared" si="27"/>
        <v>Fail</v>
      </c>
    </row>
    <row r="1768" spans="1:21">
      <c r="A1768" t="s">
        <v>3075</v>
      </c>
      <c r="B1768" t="s">
        <v>178</v>
      </c>
      <c r="C1768" t="s">
        <v>22</v>
      </c>
      <c r="D1768">
        <v>5</v>
      </c>
      <c r="E1768" t="s">
        <v>31</v>
      </c>
      <c r="F1768">
        <v>10</v>
      </c>
      <c r="G1768" t="s">
        <v>24</v>
      </c>
      <c r="H1768" t="s">
        <v>1287</v>
      </c>
      <c r="I1768">
        <v>98</v>
      </c>
      <c r="J1768">
        <v>78</v>
      </c>
      <c r="K1768">
        <v>76</v>
      </c>
      <c r="L1768">
        <v>98</v>
      </c>
      <c r="M1768">
        <v>91</v>
      </c>
      <c r="N1768">
        <v>60</v>
      </c>
      <c r="O1768">
        <v>403</v>
      </c>
      <c r="P1768">
        <v>80.599999999999994</v>
      </c>
      <c r="Q1768" t="s">
        <v>47</v>
      </c>
      <c r="R1768" t="s">
        <v>27</v>
      </c>
      <c r="S1768">
        <v>3175</v>
      </c>
      <c r="T1768" t="s">
        <v>42</v>
      </c>
      <c r="U1768" t="str">
        <f t="shared" si="27"/>
        <v>Pass</v>
      </c>
    </row>
    <row r="1769" spans="1:21">
      <c r="A1769" t="s">
        <v>3076</v>
      </c>
      <c r="B1769" t="s">
        <v>777</v>
      </c>
      <c r="C1769" t="s">
        <v>37</v>
      </c>
      <c r="D1769">
        <v>4</v>
      </c>
      <c r="E1769" t="s">
        <v>47</v>
      </c>
      <c r="F1769">
        <v>10</v>
      </c>
      <c r="G1769" t="s">
        <v>54</v>
      </c>
      <c r="H1769" t="s">
        <v>1833</v>
      </c>
      <c r="I1769">
        <v>80</v>
      </c>
      <c r="J1769">
        <v>60</v>
      </c>
      <c r="K1769">
        <v>44</v>
      </c>
      <c r="L1769">
        <v>40</v>
      </c>
      <c r="M1769">
        <v>91</v>
      </c>
      <c r="N1769">
        <v>65</v>
      </c>
      <c r="O1769">
        <v>300</v>
      </c>
      <c r="P1769">
        <v>60</v>
      </c>
      <c r="Q1769" t="s">
        <v>26</v>
      </c>
      <c r="R1769" t="s">
        <v>41</v>
      </c>
      <c r="S1769">
        <v>2191</v>
      </c>
      <c r="T1769" t="s">
        <v>48</v>
      </c>
      <c r="U1769" t="str">
        <f t="shared" si="27"/>
        <v>Pass</v>
      </c>
    </row>
    <row r="1770" spans="1:21">
      <c r="A1770" t="s">
        <v>3077</v>
      </c>
      <c r="B1770" t="s">
        <v>1088</v>
      </c>
      <c r="C1770" t="s">
        <v>22</v>
      </c>
      <c r="D1770">
        <v>12</v>
      </c>
      <c r="E1770" t="s">
        <v>47</v>
      </c>
      <c r="F1770">
        <v>17</v>
      </c>
      <c r="G1770" t="s">
        <v>54</v>
      </c>
      <c r="H1770" t="s">
        <v>3078</v>
      </c>
      <c r="I1770">
        <v>85</v>
      </c>
      <c r="J1770">
        <v>55</v>
      </c>
      <c r="K1770">
        <v>71</v>
      </c>
      <c r="L1770">
        <v>96</v>
      </c>
      <c r="M1770">
        <v>36</v>
      </c>
      <c r="N1770">
        <v>74</v>
      </c>
      <c r="O1770">
        <v>332</v>
      </c>
      <c r="P1770">
        <v>66.400000000000006</v>
      </c>
      <c r="Q1770" t="s">
        <v>26</v>
      </c>
      <c r="R1770" t="s">
        <v>27</v>
      </c>
      <c r="S1770">
        <v>2432</v>
      </c>
      <c r="T1770" t="s">
        <v>66</v>
      </c>
      <c r="U1770" t="str">
        <f t="shared" si="27"/>
        <v>Pass</v>
      </c>
    </row>
    <row r="1771" spans="1:21">
      <c r="A1771" t="s">
        <v>3079</v>
      </c>
      <c r="B1771" t="s">
        <v>289</v>
      </c>
      <c r="C1771" t="s">
        <v>22</v>
      </c>
      <c r="D1771">
        <v>12</v>
      </c>
      <c r="E1771" t="s">
        <v>31</v>
      </c>
      <c r="F1771">
        <v>17</v>
      </c>
      <c r="G1771" t="s">
        <v>64</v>
      </c>
      <c r="H1771" t="s">
        <v>3080</v>
      </c>
      <c r="I1771">
        <v>76</v>
      </c>
      <c r="J1771">
        <v>79</v>
      </c>
      <c r="K1771">
        <v>54</v>
      </c>
      <c r="L1771">
        <v>76</v>
      </c>
      <c r="M1771">
        <v>70</v>
      </c>
      <c r="N1771">
        <v>53</v>
      </c>
      <c r="O1771">
        <v>332</v>
      </c>
      <c r="P1771">
        <v>66.400000000000006</v>
      </c>
      <c r="Q1771" t="s">
        <v>26</v>
      </c>
      <c r="R1771" t="s">
        <v>41</v>
      </c>
      <c r="S1771">
        <v>3635</v>
      </c>
      <c r="T1771" t="s">
        <v>70</v>
      </c>
      <c r="U1771" t="str">
        <f t="shared" si="27"/>
        <v>Pass</v>
      </c>
    </row>
    <row r="1772" spans="1:21">
      <c r="A1772" t="s">
        <v>3081</v>
      </c>
      <c r="B1772" t="s">
        <v>36</v>
      </c>
      <c r="C1772" t="s">
        <v>22</v>
      </c>
      <c r="D1772">
        <v>8</v>
      </c>
      <c r="E1772" t="s">
        <v>23</v>
      </c>
      <c r="F1772">
        <v>13</v>
      </c>
      <c r="G1772" t="s">
        <v>64</v>
      </c>
      <c r="H1772" t="s">
        <v>2772</v>
      </c>
      <c r="I1772">
        <v>87</v>
      </c>
      <c r="J1772">
        <v>36</v>
      </c>
      <c r="K1772">
        <v>44</v>
      </c>
      <c r="L1772">
        <v>84</v>
      </c>
      <c r="M1772">
        <v>75</v>
      </c>
      <c r="N1772">
        <v>41</v>
      </c>
      <c r="O1772">
        <v>280</v>
      </c>
      <c r="P1772">
        <v>56</v>
      </c>
      <c r="Q1772" t="s">
        <v>31</v>
      </c>
      <c r="R1772" t="s">
        <v>41</v>
      </c>
      <c r="S1772">
        <v>3475</v>
      </c>
      <c r="T1772" t="s">
        <v>66</v>
      </c>
      <c r="U1772" t="str">
        <f t="shared" si="27"/>
        <v>Pass</v>
      </c>
    </row>
    <row r="1773" spans="1:21">
      <c r="A1773" t="s">
        <v>3082</v>
      </c>
      <c r="B1773" t="s">
        <v>798</v>
      </c>
      <c r="C1773" t="s">
        <v>22</v>
      </c>
      <c r="D1773">
        <v>8</v>
      </c>
      <c r="E1773" t="s">
        <v>31</v>
      </c>
      <c r="F1773">
        <v>13</v>
      </c>
      <c r="G1773" t="s">
        <v>38</v>
      </c>
      <c r="H1773" t="s">
        <v>1153</v>
      </c>
      <c r="I1773">
        <v>86</v>
      </c>
      <c r="J1773">
        <v>56</v>
      </c>
      <c r="K1773">
        <v>36</v>
      </c>
      <c r="L1773">
        <v>64</v>
      </c>
      <c r="M1773">
        <v>38</v>
      </c>
      <c r="N1773">
        <v>37</v>
      </c>
      <c r="O1773">
        <v>231</v>
      </c>
      <c r="P1773">
        <v>46.2</v>
      </c>
      <c r="Q1773" t="s">
        <v>23</v>
      </c>
      <c r="R1773" t="s">
        <v>41</v>
      </c>
      <c r="S1773">
        <v>3005</v>
      </c>
      <c r="T1773" t="s">
        <v>28</v>
      </c>
      <c r="U1773" t="str">
        <f t="shared" si="27"/>
        <v>Fail</v>
      </c>
    </row>
    <row r="1774" spans="1:21">
      <c r="A1774" t="s">
        <v>3083</v>
      </c>
      <c r="B1774" t="s">
        <v>326</v>
      </c>
      <c r="C1774" t="s">
        <v>37</v>
      </c>
      <c r="D1774">
        <v>9</v>
      </c>
      <c r="E1774" t="s">
        <v>23</v>
      </c>
      <c r="F1774">
        <v>13</v>
      </c>
      <c r="G1774" t="s">
        <v>64</v>
      </c>
      <c r="H1774" t="s">
        <v>1435</v>
      </c>
      <c r="I1774">
        <v>79</v>
      </c>
      <c r="J1774">
        <v>94</v>
      </c>
      <c r="K1774">
        <v>87</v>
      </c>
      <c r="L1774">
        <v>80</v>
      </c>
      <c r="M1774">
        <v>77</v>
      </c>
      <c r="N1774">
        <v>49</v>
      </c>
      <c r="O1774">
        <v>387</v>
      </c>
      <c r="P1774">
        <v>77.400000000000006</v>
      </c>
      <c r="Q1774" t="s">
        <v>40</v>
      </c>
      <c r="R1774" t="s">
        <v>27</v>
      </c>
      <c r="S1774">
        <v>4489</v>
      </c>
      <c r="T1774" t="s">
        <v>66</v>
      </c>
      <c r="U1774" t="str">
        <f t="shared" si="27"/>
        <v>Pass</v>
      </c>
    </row>
    <row r="1775" spans="1:21">
      <c r="A1775" t="s">
        <v>3084</v>
      </c>
      <c r="B1775" t="s">
        <v>714</v>
      </c>
      <c r="C1775" t="s">
        <v>37</v>
      </c>
      <c r="D1775">
        <v>7</v>
      </c>
      <c r="E1775" t="s">
        <v>47</v>
      </c>
      <c r="F1775">
        <v>12</v>
      </c>
      <c r="G1775" t="s">
        <v>38</v>
      </c>
      <c r="H1775" t="s">
        <v>3085</v>
      </c>
      <c r="I1775">
        <v>74</v>
      </c>
      <c r="J1775">
        <v>96</v>
      </c>
      <c r="K1775">
        <v>37</v>
      </c>
      <c r="L1775">
        <v>91</v>
      </c>
      <c r="M1775">
        <v>53</v>
      </c>
      <c r="N1775">
        <v>74</v>
      </c>
      <c r="O1775">
        <v>351</v>
      </c>
      <c r="P1775">
        <v>70.2</v>
      </c>
      <c r="Q1775" t="s">
        <v>40</v>
      </c>
      <c r="R1775" t="s">
        <v>41</v>
      </c>
      <c r="S1775">
        <v>3324</v>
      </c>
      <c r="T1775" t="s">
        <v>34</v>
      </c>
      <c r="U1775" t="str">
        <f t="shared" si="27"/>
        <v>Pass</v>
      </c>
    </row>
    <row r="1776" spans="1:21">
      <c r="A1776" t="s">
        <v>3086</v>
      </c>
      <c r="B1776" t="s">
        <v>1281</v>
      </c>
      <c r="C1776" t="s">
        <v>37</v>
      </c>
      <c r="D1776">
        <v>7</v>
      </c>
      <c r="E1776" t="s">
        <v>23</v>
      </c>
      <c r="F1776">
        <v>11</v>
      </c>
      <c r="G1776" t="s">
        <v>58</v>
      </c>
      <c r="H1776" t="s">
        <v>3087</v>
      </c>
      <c r="I1776">
        <v>72</v>
      </c>
      <c r="J1776">
        <v>75</v>
      </c>
      <c r="K1776">
        <v>46</v>
      </c>
      <c r="L1776">
        <v>84</v>
      </c>
      <c r="M1776">
        <v>42</v>
      </c>
      <c r="N1776">
        <v>46</v>
      </c>
      <c r="O1776">
        <v>293</v>
      </c>
      <c r="P1776">
        <v>58.6</v>
      </c>
      <c r="Q1776" t="s">
        <v>31</v>
      </c>
      <c r="R1776" t="s">
        <v>27</v>
      </c>
      <c r="S1776">
        <v>4038</v>
      </c>
      <c r="T1776" t="s">
        <v>66</v>
      </c>
      <c r="U1776" t="str">
        <f t="shared" si="27"/>
        <v>Pass</v>
      </c>
    </row>
    <row r="1777" spans="1:21">
      <c r="A1777" t="s">
        <v>3088</v>
      </c>
      <c r="B1777" t="s">
        <v>305</v>
      </c>
      <c r="C1777" t="s">
        <v>37</v>
      </c>
      <c r="D1777">
        <v>9</v>
      </c>
      <c r="E1777" t="s">
        <v>26</v>
      </c>
      <c r="F1777">
        <v>14</v>
      </c>
      <c r="G1777" t="s">
        <v>58</v>
      </c>
      <c r="H1777" t="s">
        <v>1134</v>
      </c>
      <c r="I1777">
        <v>88</v>
      </c>
      <c r="J1777">
        <v>97</v>
      </c>
      <c r="K1777">
        <v>65</v>
      </c>
      <c r="L1777">
        <v>87</v>
      </c>
      <c r="M1777">
        <v>92</v>
      </c>
      <c r="N1777">
        <v>57</v>
      </c>
      <c r="O1777">
        <v>398</v>
      </c>
      <c r="P1777">
        <v>79.599999999999994</v>
      </c>
      <c r="Q1777" t="s">
        <v>40</v>
      </c>
      <c r="R1777" t="s">
        <v>27</v>
      </c>
      <c r="S1777">
        <v>3421</v>
      </c>
      <c r="T1777" t="s">
        <v>48</v>
      </c>
      <c r="U1777" t="str">
        <f t="shared" si="27"/>
        <v>Pass</v>
      </c>
    </row>
    <row r="1778" spans="1:21">
      <c r="A1778" t="s">
        <v>3089</v>
      </c>
      <c r="B1778" t="s">
        <v>582</v>
      </c>
      <c r="C1778" t="s">
        <v>22</v>
      </c>
      <c r="D1778">
        <v>10</v>
      </c>
      <c r="E1778" t="s">
        <v>26</v>
      </c>
      <c r="F1778">
        <v>15</v>
      </c>
      <c r="G1778" t="s">
        <v>38</v>
      </c>
      <c r="H1778" t="s">
        <v>3090</v>
      </c>
      <c r="I1778">
        <v>67</v>
      </c>
      <c r="J1778">
        <v>98</v>
      </c>
      <c r="K1778">
        <v>78</v>
      </c>
      <c r="L1778">
        <v>60</v>
      </c>
      <c r="M1778">
        <v>74</v>
      </c>
      <c r="N1778">
        <v>69</v>
      </c>
      <c r="O1778">
        <v>379</v>
      </c>
      <c r="P1778">
        <v>75.8</v>
      </c>
      <c r="Q1778" t="s">
        <v>40</v>
      </c>
      <c r="R1778" t="s">
        <v>27</v>
      </c>
      <c r="S1778">
        <v>2592</v>
      </c>
      <c r="T1778" t="s">
        <v>48</v>
      </c>
      <c r="U1778" t="str">
        <f t="shared" si="27"/>
        <v>Pass</v>
      </c>
    </row>
    <row r="1779" spans="1:21">
      <c r="A1779" t="s">
        <v>3091</v>
      </c>
      <c r="B1779" t="s">
        <v>614</v>
      </c>
      <c r="C1779" t="s">
        <v>37</v>
      </c>
      <c r="D1779">
        <v>6</v>
      </c>
      <c r="E1779" t="s">
        <v>26</v>
      </c>
      <c r="F1779">
        <v>10</v>
      </c>
      <c r="G1779" t="s">
        <v>58</v>
      </c>
      <c r="H1779" t="s">
        <v>3092</v>
      </c>
      <c r="I1779">
        <v>71</v>
      </c>
      <c r="J1779">
        <v>52</v>
      </c>
      <c r="K1779">
        <v>40</v>
      </c>
      <c r="L1779">
        <v>88</v>
      </c>
      <c r="M1779">
        <v>56</v>
      </c>
      <c r="N1779">
        <v>43</v>
      </c>
      <c r="O1779">
        <v>279</v>
      </c>
      <c r="P1779">
        <v>55.8</v>
      </c>
      <c r="Q1779" t="s">
        <v>31</v>
      </c>
      <c r="R1779" t="s">
        <v>27</v>
      </c>
      <c r="S1779">
        <v>3248</v>
      </c>
      <c r="T1779" t="s">
        <v>34</v>
      </c>
      <c r="U1779" t="str">
        <f t="shared" si="27"/>
        <v>Pass</v>
      </c>
    </row>
    <row r="1780" spans="1:21">
      <c r="A1780" t="s">
        <v>3093</v>
      </c>
      <c r="B1780" t="s">
        <v>326</v>
      </c>
      <c r="C1780" t="s">
        <v>37</v>
      </c>
      <c r="D1780">
        <v>2</v>
      </c>
      <c r="E1780" t="s">
        <v>31</v>
      </c>
      <c r="F1780">
        <v>8</v>
      </c>
      <c r="G1780" t="s">
        <v>54</v>
      </c>
      <c r="H1780" t="s">
        <v>278</v>
      </c>
      <c r="I1780">
        <v>69</v>
      </c>
      <c r="J1780">
        <v>90</v>
      </c>
      <c r="K1780">
        <v>68</v>
      </c>
      <c r="L1780">
        <v>89</v>
      </c>
      <c r="M1780">
        <v>41</v>
      </c>
      <c r="N1780">
        <v>87</v>
      </c>
      <c r="O1780">
        <v>375</v>
      </c>
      <c r="P1780">
        <v>75</v>
      </c>
      <c r="Q1780" t="s">
        <v>40</v>
      </c>
      <c r="R1780" t="s">
        <v>27</v>
      </c>
      <c r="S1780">
        <v>4063</v>
      </c>
      <c r="T1780" t="s">
        <v>48</v>
      </c>
      <c r="U1780" t="str">
        <f t="shared" si="27"/>
        <v>Pass</v>
      </c>
    </row>
    <row r="1781" spans="1:21">
      <c r="A1781" t="s">
        <v>3094</v>
      </c>
      <c r="B1781" t="s">
        <v>322</v>
      </c>
      <c r="C1781" t="s">
        <v>37</v>
      </c>
      <c r="D1781">
        <v>6</v>
      </c>
      <c r="E1781" t="s">
        <v>31</v>
      </c>
      <c r="F1781">
        <v>11</v>
      </c>
      <c r="G1781" t="s">
        <v>32</v>
      </c>
      <c r="H1781" t="s">
        <v>3095</v>
      </c>
      <c r="I1781">
        <v>98</v>
      </c>
      <c r="J1781">
        <v>90</v>
      </c>
      <c r="K1781">
        <v>81</v>
      </c>
      <c r="L1781">
        <v>48</v>
      </c>
      <c r="M1781">
        <v>76</v>
      </c>
      <c r="N1781">
        <v>79</v>
      </c>
      <c r="O1781">
        <v>374</v>
      </c>
      <c r="P1781">
        <v>74.8</v>
      </c>
      <c r="Q1781" t="s">
        <v>40</v>
      </c>
      <c r="R1781" t="s">
        <v>27</v>
      </c>
      <c r="S1781">
        <v>4626</v>
      </c>
      <c r="T1781" t="s">
        <v>28</v>
      </c>
      <c r="U1781" t="str">
        <f t="shared" si="27"/>
        <v>Pass</v>
      </c>
    </row>
    <row r="1782" spans="1:21">
      <c r="A1782" t="s">
        <v>3096</v>
      </c>
      <c r="B1782" t="s">
        <v>370</v>
      </c>
      <c r="C1782" t="s">
        <v>22</v>
      </c>
      <c r="D1782">
        <v>1</v>
      </c>
      <c r="E1782" t="s">
        <v>26</v>
      </c>
      <c r="F1782">
        <v>6</v>
      </c>
      <c r="G1782" t="s">
        <v>38</v>
      </c>
      <c r="H1782" t="s">
        <v>1751</v>
      </c>
      <c r="I1782">
        <v>61</v>
      </c>
      <c r="J1782">
        <v>83</v>
      </c>
      <c r="K1782">
        <v>42</v>
      </c>
      <c r="L1782">
        <v>50</v>
      </c>
      <c r="M1782">
        <v>90</v>
      </c>
      <c r="N1782">
        <v>80</v>
      </c>
      <c r="O1782">
        <v>345</v>
      </c>
      <c r="P1782">
        <v>69</v>
      </c>
      <c r="Q1782" t="s">
        <v>26</v>
      </c>
      <c r="R1782" t="s">
        <v>41</v>
      </c>
      <c r="S1782">
        <v>4887</v>
      </c>
      <c r="T1782" t="s">
        <v>28</v>
      </c>
      <c r="U1782" t="str">
        <f t="shared" si="27"/>
        <v>Pass</v>
      </c>
    </row>
    <row r="1783" spans="1:21">
      <c r="A1783" t="s">
        <v>3097</v>
      </c>
      <c r="B1783" t="s">
        <v>175</v>
      </c>
      <c r="C1783" t="s">
        <v>37</v>
      </c>
      <c r="D1783">
        <v>10</v>
      </c>
      <c r="E1783" t="s">
        <v>47</v>
      </c>
      <c r="F1783">
        <v>16</v>
      </c>
      <c r="G1783" t="s">
        <v>58</v>
      </c>
      <c r="H1783" t="s">
        <v>2554</v>
      </c>
      <c r="I1783">
        <v>67</v>
      </c>
      <c r="J1783">
        <v>88</v>
      </c>
      <c r="K1783">
        <v>54</v>
      </c>
      <c r="L1783">
        <v>72</v>
      </c>
      <c r="M1783">
        <v>55</v>
      </c>
      <c r="N1783">
        <v>40</v>
      </c>
      <c r="O1783">
        <v>309</v>
      </c>
      <c r="P1783">
        <v>61.8</v>
      </c>
      <c r="Q1783" t="s">
        <v>26</v>
      </c>
      <c r="R1783" t="s">
        <v>27</v>
      </c>
      <c r="S1783">
        <v>4017</v>
      </c>
      <c r="T1783" t="s">
        <v>70</v>
      </c>
      <c r="U1783" t="str">
        <f t="shared" si="27"/>
        <v>Pass</v>
      </c>
    </row>
    <row r="1784" spans="1:21">
      <c r="A1784" t="s">
        <v>3098</v>
      </c>
      <c r="B1784" t="s">
        <v>1417</v>
      </c>
      <c r="C1784" t="s">
        <v>22</v>
      </c>
      <c r="D1784">
        <v>3</v>
      </c>
      <c r="E1784" t="s">
        <v>31</v>
      </c>
      <c r="F1784">
        <v>7</v>
      </c>
      <c r="G1784" t="s">
        <v>64</v>
      </c>
      <c r="H1784" t="s">
        <v>1784</v>
      </c>
      <c r="I1784">
        <v>72</v>
      </c>
      <c r="J1784">
        <v>60</v>
      </c>
      <c r="K1784">
        <v>85</v>
      </c>
      <c r="L1784">
        <v>67</v>
      </c>
      <c r="M1784">
        <v>96</v>
      </c>
      <c r="N1784">
        <v>90</v>
      </c>
      <c r="O1784">
        <v>398</v>
      </c>
      <c r="P1784">
        <v>79.599999999999994</v>
      </c>
      <c r="Q1784" t="s">
        <v>40</v>
      </c>
      <c r="R1784" t="s">
        <v>41</v>
      </c>
      <c r="S1784">
        <v>1798</v>
      </c>
      <c r="T1784" t="s">
        <v>42</v>
      </c>
      <c r="U1784" t="str">
        <f t="shared" si="27"/>
        <v>Pass</v>
      </c>
    </row>
    <row r="1785" spans="1:21">
      <c r="A1785" t="s">
        <v>3099</v>
      </c>
      <c r="B1785" t="s">
        <v>72</v>
      </c>
      <c r="C1785" t="s">
        <v>22</v>
      </c>
      <c r="D1785">
        <v>4</v>
      </c>
      <c r="E1785" t="s">
        <v>47</v>
      </c>
      <c r="F1785">
        <v>8</v>
      </c>
      <c r="G1785" t="s">
        <v>38</v>
      </c>
      <c r="H1785" t="s">
        <v>3100</v>
      </c>
      <c r="I1785">
        <v>76</v>
      </c>
      <c r="J1785">
        <v>99</v>
      </c>
      <c r="K1785">
        <v>52</v>
      </c>
      <c r="L1785">
        <v>48</v>
      </c>
      <c r="M1785">
        <v>67</v>
      </c>
      <c r="N1785">
        <v>68</v>
      </c>
      <c r="O1785">
        <v>334</v>
      </c>
      <c r="P1785">
        <v>66.8</v>
      </c>
      <c r="Q1785" t="s">
        <v>26</v>
      </c>
      <c r="R1785" t="s">
        <v>41</v>
      </c>
      <c r="S1785">
        <v>2736</v>
      </c>
      <c r="T1785" t="s">
        <v>28</v>
      </c>
      <c r="U1785" t="str">
        <f t="shared" si="27"/>
        <v>Pass</v>
      </c>
    </row>
    <row r="1786" spans="1:21">
      <c r="A1786" t="s">
        <v>3101</v>
      </c>
      <c r="B1786" t="s">
        <v>193</v>
      </c>
      <c r="C1786" t="s">
        <v>22</v>
      </c>
      <c r="D1786">
        <v>10</v>
      </c>
      <c r="E1786" t="s">
        <v>23</v>
      </c>
      <c r="F1786">
        <v>14</v>
      </c>
      <c r="G1786" t="s">
        <v>38</v>
      </c>
      <c r="H1786" t="s">
        <v>890</v>
      </c>
      <c r="I1786">
        <v>100</v>
      </c>
      <c r="J1786">
        <v>53</v>
      </c>
      <c r="K1786">
        <v>55</v>
      </c>
      <c r="L1786">
        <v>40</v>
      </c>
      <c r="M1786">
        <v>46</v>
      </c>
      <c r="N1786">
        <v>65</v>
      </c>
      <c r="O1786">
        <v>259</v>
      </c>
      <c r="P1786">
        <v>51.8</v>
      </c>
      <c r="Q1786" t="s">
        <v>31</v>
      </c>
      <c r="R1786" t="s">
        <v>27</v>
      </c>
      <c r="S1786">
        <v>4683</v>
      </c>
      <c r="T1786" t="s">
        <v>28</v>
      </c>
      <c r="U1786" t="str">
        <f t="shared" si="27"/>
        <v>Fail</v>
      </c>
    </row>
    <row r="1787" spans="1:21">
      <c r="A1787" t="s">
        <v>3102</v>
      </c>
      <c r="B1787" t="s">
        <v>1326</v>
      </c>
      <c r="C1787" t="s">
        <v>37</v>
      </c>
      <c r="D1787">
        <v>4</v>
      </c>
      <c r="E1787" t="s">
        <v>31</v>
      </c>
      <c r="F1787">
        <v>8</v>
      </c>
      <c r="G1787" t="s">
        <v>24</v>
      </c>
      <c r="H1787" t="s">
        <v>710</v>
      </c>
      <c r="I1787">
        <v>90</v>
      </c>
      <c r="J1787">
        <v>72</v>
      </c>
      <c r="K1787">
        <v>81</v>
      </c>
      <c r="L1787">
        <v>99</v>
      </c>
      <c r="M1787">
        <v>55</v>
      </c>
      <c r="N1787">
        <v>97</v>
      </c>
      <c r="O1787">
        <v>404</v>
      </c>
      <c r="P1787">
        <v>80.8</v>
      </c>
      <c r="Q1787" t="s">
        <v>47</v>
      </c>
      <c r="R1787" t="s">
        <v>41</v>
      </c>
      <c r="S1787">
        <v>4532</v>
      </c>
      <c r="T1787" t="s">
        <v>28</v>
      </c>
      <c r="U1787" t="str">
        <f t="shared" si="27"/>
        <v>Pass</v>
      </c>
    </row>
    <row r="1788" spans="1:21">
      <c r="A1788" t="s">
        <v>3103</v>
      </c>
      <c r="B1788" t="s">
        <v>844</v>
      </c>
      <c r="C1788" t="s">
        <v>37</v>
      </c>
      <c r="D1788">
        <v>4</v>
      </c>
      <c r="E1788" t="s">
        <v>47</v>
      </c>
      <c r="F1788">
        <v>9</v>
      </c>
      <c r="G1788" t="s">
        <v>58</v>
      </c>
      <c r="H1788" t="s">
        <v>1500</v>
      </c>
      <c r="I1788">
        <v>76</v>
      </c>
      <c r="J1788">
        <v>96</v>
      </c>
      <c r="K1788">
        <v>74</v>
      </c>
      <c r="L1788">
        <v>69</v>
      </c>
      <c r="M1788">
        <v>62</v>
      </c>
      <c r="N1788">
        <v>100</v>
      </c>
      <c r="O1788">
        <v>401</v>
      </c>
      <c r="P1788">
        <v>80.2</v>
      </c>
      <c r="Q1788" t="s">
        <v>47</v>
      </c>
      <c r="R1788" t="s">
        <v>27</v>
      </c>
      <c r="S1788">
        <v>2106</v>
      </c>
      <c r="T1788" t="s">
        <v>34</v>
      </c>
      <c r="U1788" t="str">
        <f t="shared" si="27"/>
        <v>Pass</v>
      </c>
    </row>
    <row r="1789" spans="1:21">
      <c r="A1789" t="s">
        <v>3104</v>
      </c>
      <c r="B1789" t="s">
        <v>187</v>
      </c>
      <c r="C1789" t="s">
        <v>37</v>
      </c>
      <c r="D1789">
        <v>2</v>
      </c>
      <c r="E1789" t="s">
        <v>47</v>
      </c>
      <c r="F1789">
        <v>6</v>
      </c>
      <c r="G1789" t="s">
        <v>54</v>
      </c>
      <c r="H1789" t="s">
        <v>941</v>
      </c>
      <c r="I1789">
        <v>96</v>
      </c>
      <c r="J1789">
        <v>90</v>
      </c>
      <c r="K1789">
        <v>79</v>
      </c>
      <c r="L1789">
        <v>46</v>
      </c>
      <c r="M1789">
        <v>63</v>
      </c>
      <c r="N1789">
        <v>77</v>
      </c>
      <c r="O1789">
        <v>355</v>
      </c>
      <c r="P1789">
        <v>71</v>
      </c>
      <c r="Q1789" t="s">
        <v>40</v>
      </c>
      <c r="R1789" t="s">
        <v>27</v>
      </c>
      <c r="S1789">
        <v>3911</v>
      </c>
      <c r="T1789" t="s">
        <v>34</v>
      </c>
      <c r="U1789" t="str">
        <f t="shared" si="27"/>
        <v>Pass</v>
      </c>
    </row>
    <row r="1790" spans="1:21">
      <c r="A1790" t="s">
        <v>3105</v>
      </c>
      <c r="B1790" t="s">
        <v>99</v>
      </c>
      <c r="C1790" t="s">
        <v>37</v>
      </c>
      <c r="D1790">
        <v>9</v>
      </c>
      <c r="E1790" t="s">
        <v>31</v>
      </c>
      <c r="F1790">
        <v>13</v>
      </c>
      <c r="G1790" t="s">
        <v>32</v>
      </c>
      <c r="H1790" t="s">
        <v>3106</v>
      </c>
      <c r="I1790">
        <v>79</v>
      </c>
      <c r="J1790">
        <v>35</v>
      </c>
      <c r="K1790">
        <v>43</v>
      </c>
      <c r="L1790">
        <v>84</v>
      </c>
      <c r="M1790">
        <v>59</v>
      </c>
      <c r="N1790">
        <v>83</v>
      </c>
      <c r="O1790">
        <v>304</v>
      </c>
      <c r="P1790">
        <v>60.8</v>
      </c>
      <c r="Q1790" t="s">
        <v>26</v>
      </c>
      <c r="R1790" t="s">
        <v>27</v>
      </c>
      <c r="S1790">
        <v>3022</v>
      </c>
      <c r="T1790" t="s">
        <v>28</v>
      </c>
      <c r="U1790" t="str">
        <f t="shared" si="27"/>
        <v>Pass</v>
      </c>
    </row>
    <row r="1791" spans="1:21">
      <c r="A1791" t="s">
        <v>3107</v>
      </c>
      <c r="B1791" t="s">
        <v>824</v>
      </c>
      <c r="C1791" t="s">
        <v>37</v>
      </c>
      <c r="D1791">
        <v>10</v>
      </c>
      <c r="E1791" t="s">
        <v>47</v>
      </c>
      <c r="F1791">
        <v>16</v>
      </c>
      <c r="G1791" t="s">
        <v>32</v>
      </c>
      <c r="H1791" t="s">
        <v>822</v>
      </c>
      <c r="I1791">
        <v>91</v>
      </c>
      <c r="J1791">
        <v>40</v>
      </c>
      <c r="K1791">
        <v>59</v>
      </c>
      <c r="L1791">
        <v>90</v>
      </c>
      <c r="M1791">
        <v>63</v>
      </c>
      <c r="N1791">
        <v>49</v>
      </c>
      <c r="O1791">
        <v>301</v>
      </c>
      <c r="P1791">
        <v>60.2</v>
      </c>
      <c r="Q1791" t="s">
        <v>26</v>
      </c>
      <c r="R1791" t="s">
        <v>41</v>
      </c>
      <c r="S1791">
        <v>4453</v>
      </c>
      <c r="T1791" t="s">
        <v>66</v>
      </c>
      <c r="U1791" t="str">
        <f t="shared" si="27"/>
        <v>Pass</v>
      </c>
    </row>
    <row r="1792" spans="1:21">
      <c r="A1792" t="s">
        <v>3108</v>
      </c>
      <c r="B1792" t="s">
        <v>518</v>
      </c>
      <c r="C1792" t="s">
        <v>22</v>
      </c>
      <c r="D1792">
        <v>4</v>
      </c>
      <c r="E1792" t="s">
        <v>23</v>
      </c>
      <c r="F1792">
        <v>8</v>
      </c>
      <c r="G1792" t="s">
        <v>45</v>
      </c>
      <c r="H1792" t="s">
        <v>1029</v>
      </c>
      <c r="I1792">
        <v>68</v>
      </c>
      <c r="J1792">
        <v>60</v>
      </c>
      <c r="K1792">
        <v>38</v>
      </c>
      <c r="L1792">
        <v>100</v>
      </c>
      <c r="M1792">
        <v>91</v>
      </c>
      <c r="N1792">
        <v>46</v>
      </c>
      <c r="O1792">
        <v>335</v>
      </c>
      <c r="P1792">
        <v>67</v>
      </c>
      <c r="Q1792" t="s">
        <v>26</v>
      </c>
      <c r="R1792" t="s">
        <v>27</v>
      </c>
      <c r="S1792">
        <v>4189</v>
      </c>
      <c r="T1792" t="s">
        <v>70</v>
      </c>
      <c r="U1792" t="str">
        <f t="shared" si="27"/>
        <v>Pass</v>
      </c>
    </row>
    <row r="1793" spans="1:21">
      <c r="A1793" t="s">
        <v>3109</v>
      </c>
      <c r="B1793" t="s">
        <v>896</v>
      </c>
      <c r="C1793" t="s">
        <v>22</v>
      </c>
      <c r="D1793">
        <v>8</v>
      </c>
      <c r="E1793" t="s">
        <v>23</v>
      </c>
      <c r="F1793">
        <v>14</v>
      </c>
      <c r="G1793" t="s">
        <v>24</v>
      </c>
      <c r="H1793" t="s">
        <v>3110</v>
      </c>
      <c r="I1793">
        <v>86</v>
      </c>
      <c r="J1793">
        <v>67</v>
      </c>
      <c r="K1793">
        <v>94</v>
      </c>
      <c r="L1793">
        <v>90</v>
      </c>
      <c r="M1793">
        <v>95</v>
      </c>
      <c r="N1793">
        <v>36</v>
      </c>
      <c r="O1793">
        <v>382</v>
      </c>
      <c r="P1793">
        <v>76.400000000000006</v>
      </c>
      <c r="Q1793" t="s">
        <v>40</v>
      </c>
      <c r="R1793" t="s">
        <v>41</v>
      </c>
      <c r="S1793">
        <v>4448</v>
      </c>
      <c r="T1793" t="s">
        <v>70</v>
      </c>
      <c r="U1793" t="str">
        <f t="shared" si="27"/>
        <v>Pass</v>
      </c>
    </row>
    <row r="1794" spans="1:21">
      <c r="A1794" t="s">
        <v>3111</v>
      </c>
      <c r="B1794" t="s">
        <v>295</v>
      </c>
      <c r="C1794" t="s">
        <v>37</v>
      </c>
      <c r="D1794">
        <v>5</v>
      </c>
      <c r="E1794" t="s">
        <v>31</v>
      </c>
      <c r="F1794">
        <v>9</v>
      </c>
      <c r="G1794" t="s">
        <v>58</v>
      </c>
      <c r="H1794" t="s">
        <v>3112</v>
      </c>
      <c r="I1794">
        <v>63</v>
      </c>
      <c r="J1794">
        <v>48</v>
      </c>
      <c r="K1794">
        <v>37</v>
      </c>
      <c r="L1794">
        <v>83</v>
      </c>
      <c r="M1794">
        <v>74</v>
      </c>
      <c r="N1794">
        <v>59</v>
      </c>
      <c r="O1794">
        <v>301</v>
      </c>
      <c r="P1794">
        <v>60.2</v>
      </c>
      <c r="Q1794" t="s">
        <v>26</v>
      </c>
      <c r="R1794" t="s">
        <v>41</v>
      </c>
      <c r="S1794">
        <v>4856</v>
      </c>
      <c r="T1794" t="s">
        <v>70</v>
      </c>
      <c r="U1794" t="str">
        <f t="shared" si="27"/>
        <v>Pass</v>
      </c>
    </row>
    <row r="1795" spans="1:21">
      <c r="A1795" t="s">
        <v>3113</v>
      </c>
      <c r="B1795" t="s">
        <v>68</v>
      </c>
      <c r="C1795" t="s">
        <v>37</v>
      </c>
      <c r="D1795">
        <v>9</v>
      </c>
      <c r="E1795" t="s">
        <v>47</v>
      </c>
      <c r="F1795">
        <v>14</v>
      </c>
      <c r="G1795" t="s">
        <v>54</v>
      </c>
      <c r="H1795" t="s">
        <v>3022</v>
      </c>
      <c r="I1795">
        <v>68</v>
      </c>
      <c r="J1795">
        <v>59</v>
      </c>
      <c r="K1795">
        <v>76</v>
      </c>
      <c r="L1795">
        <v>98</v>
      </c>
      <c r="M1795">
        <v>80</v>
      </c>
      <c r="N1795">
        <v>83</v>
      </c>
      <c r="O1795">
        <v>396</v>
      </c>
      <c r="P1795">
        <v>79.2</v>
      </c>
      <c r="Q1795" t="s">
        <v>40</v>
      </c>
      <c r="R1795" t="s">
        <v>41</v>
      </c>
      <c r="S1795">
        <v>4620</v>
      </c>
      <c r="T1795" t="s">
        <v>48</v>
      </c>
      <c r="U1795" t="str">
        <f t="shared" ref="U1795:U1858" si="28">IF(P1795&gt;55,"Pass","Fail")</f>
        <v>Pass</v>
      </c>
    </row>
    <row r="1796" spans="1:21">
      <c r="A1796" t="s">
        <v>3114</v>
      </c>
      <c r="B1796" t="s">
        <v>416</v>
      </c>
      <c r="C1796" t="s">
        <v>22</v>
      </c>
      <c r="D1796">
        <v>5</v>
      </c>
      <c r="E1796" t="s">
        <v>31</v>
      </c>
      <c r="F1796">
        <v>10</v>
      </c>
      <c r="G1796" t="s">
        <v>58</v>
      </c>
      <c r="H1796" t="s">
        <v>2191</v>
      </c>
      <c r="I1796">
        <v>99</v>
      </c>
      <c r="J1796">
        <v>72</v>
      </c>
      <c r="K1796">
        <v>65</v>
      </c>
      <c r="L1796">
        <v>88</v>
      </c>
      <c r="M1796">
        <v>95</v>
      </c>
      <c r="N1796">
        <v>75</v>
      </c>
      <c r="O1796">
        <v>395</v>
      </c>
      <c r="P1796">
        <v>79</v>
      </c>
      <c r="Q1796" t="s">
        <v>40</v>
      </c>
      <c r="R1796" t="s">
        <v>27</v>
      </c>
      <c r="S1796">
        <v>2640</v>
      </c>
      <c r="T1796" t="s">
        <v>42</v>
      </c>
      <c r="U1796" t="str">
        <f t="shared" si="28"/>
        <v>Pass</v>
      </c>
    </row>
    <row r="1797" spans="1:21">
      <c r="A1797" t="s">
        <v>3115</v>
      </c>
      <c r="B1797" t="s">
        <v>256</v>
      </c>
      <c r="C1797" t="s">
        <v>22</v>
      </c>
      <c r="D1797">
        <v>12</v>
      </c>
      <c r="E1797" t="s">
        <v>31</v>
      </c>
      <c r="F1797">
        <v>18</v>
      </c>
      <c r="G1797" t="s">
        <v>54</v>
      </c>
      <c r="H1797" t="s">
        <v>917</v>
      </c>
      <c r="I1797">
        <v>91</v>
      </c>
      <c r="J1797">
        <v>75</v>
      </c>
      <c r="K1797">
        <v>70</v>
      </c>
      <c r="L1797">
        <v>61</v>
      </c>
      <c r="M1797">
        <v>90</v>
      </c>
      <c r="N1797">
        <v>96</v>
      </c>
      <c r="O1797">
        <v>392</v>
      </c>
      <c r="P1797">
        <v>78.400000000000006</v>
      </c>
      <c r="Q1797" t="s">
        <v>40</v>
      </c>
      <c r="R1797" t="s">
        <v>27</v>
      </c>
      <c r="S1797">
        <v>2203</v>
      </c>
      <c r="T1797" t="s">
        <v>34</v>
      </c>
      <c r="U1797" t="str">
        <f t="shared" si="28"/>
        <v>Pass</v>
      </c>
    </row>
    <row r="1798" spans="1:21">
      <c r="A1798" t="s">
        <v>3116</v>
      </c>
      <c r="B1798" t="s">
        <v>226</v>
      </c>
      <c r="C1798" t="s">
        <v>37</v>
      </c>
      <c r="D1798">
        <v>3</v>
      </c>
      <c r="E1798" t="s">
        <v>31</v>
      </c>
      <c r="F1798">
        <v>7</v>
      </c>
      <c r="G1798" t="s">
        <v>32</v>
      </c>
      <c r="H1798" t="s">
        <v>631</v>
      </c>
      <c r="I1798">
        <v>87</v>
      </c>
      <c r="J1798">
        <v>88</v>
      </c>
      <c r="K1798">
        <v>59</v>
      </c>
      <c r="L1798">
        <v>98</v>
      </c>
      <c r="M1798">
        <v>36</v>
      </c>
      <c r="N1798">
        <v>41</v>
      </c>
      <c r="O1798">
        <v>322</v>
      </c>
      <c r="P1798">
        <v>64.400000000000006</v>
      </c>
      <c r="Q1798" t="s">
        <v>26</v>
      </c>
      <c r="R1798" t="s">
        <v>41</v>
      </c>
      <c r="S1798">
        <v>3717</v>
      </c>
      <c r="T1798" t="s">
        <v>66</v>
      </c>
      <c r="U1798" t="str">
        <f t="shared" si="28"/>
        <v>Pass</v>
      </c>
    </row>
    <row r="1799" spans="1:21">
      <c r="A1799" t="s">
        <v>3117</v>
      </c>
      <c r="B1799" t="s">
        <v>389</v>
      </c>
      <c r="C1799" t="s">
        <v>22</v>
      </c>
      <c r="D1799">
        <v>6</v>
      </c>
      <c r="E1799" t="s">
        <v>23</v>
      </c>
      <c r="F1799">
        <v>11</v>
      </c>
      <c r="G1799" t="s">
        <v>45</v>
      </c>
      <c r="H1799" t="s">
        <v>786</v>
      </c>
      <c r="I1799">
        <v>69</v>
      </c>
      <c r="J1799">
        <v>39</v>
      </c>
      <c r="K1799">
        <v>66</v>
      </c>
      <c r="L1799">
        <v>49</v>
      </c>
      <c r="M1799">
        <v>99</v>
      </c>
      <c r="N1799">
        <v>66</v>
      </c>
      <c r="O1799">
        <v>319</v>
      </c>
      <c r="P1799">
        <v>63.8</v>
      </c>
      <c r="Q1799" t="s">
        <v>26</v>
      </c>
      <c r="R1799" t="s">
        <v>41</v>
      </c>
      <c r="S1799">
        <v>2349</v>
      </c>
      <c r="T1799" t="s">
        <v>70</v>
      </c>
      <c r="U1799" t="str">
        <f t="shared" si="28"/>
        <v>Pass</v>
      </c>
    </row>
    <row r="1800" spans="1:21">
      <c r="A1800" t="s">
        <v>3118</v>
      </c>
      <c r="B1800" t="s">
        <v>236</v>
      </c>
      <c r="C1800" t="s">
        <v>37</v>
      </c>
      <c r="D1800">
        <v>3</v>
      </c>
      <c r="E1800" t="s">
        <v>47</v>
      </c>
      <c r="F1800">
        <v>9</v>
      </c>
      <c r="G1800" t="s">
        <v>54</v>
      </c>
      <c r="H1800" t="s">
        <v>3119</v>
      </c>
      <c r="I1800">
        <v>75</v>
      </c>
      <c r="J1800">
        <v>63</v>
      </c>
      <c r="K1800">
        <v>84</v>
      </c>
      <c r="L1800">
        <v>95</v>
      </c>
      <c r="M1800">
        <v>52</v>
      </c>
      <c r="N1800">
        <v>79</v>
      </c>
      <c r="O1800">
        <v>373</v>
      </c>
      <c r="P1800">
        <v>74.599999999999994</v>
      </c>
      <c r="Q1800" t="s">
        <v>40</v>
      </c>
      <c r="R1800" t="s">
        <v>27</v>
      </c>
      <c r="S1800">
        <v>2836</v>
      </c>
      <c r="T1800" t="s">
        <v>28</v>
      </c>
      <c r="U1800" t="str">
        <f t="shared" si="28"/>
        <v>Pass</v>
      </c>
    </row>
    <row r="1801" spans="1:21">
      <c r="A1801" t="s">
        <v>3120</v>
      </c>
      <c r="B1801" t="s">
        <v>1326</v>
      </c>
      <c r="C1801" t="s">
        <v>37</v>
      </c>
      <c r="D1801">
        <v>12</v>
      </c>
      <c r="E1801" t="s">
        <v>23</v>
      </c>
      <c r="F1801">
        <v>16</v>
      </c>
      <c r="G1801" t="s">
        <v>38</v>
      </c>
      <c r="H1801" t="s">
        <v>3121</v>
      </c>
      <c r="I1801">
        <v>72</v>
      </c>
      <c r="J1801">
        <v>89</v>
      </c>
      <c r="K1801">
        <v>56</v>
      </c>
      <c r="L1801">
        <v>79</v>
      </c>
      <c r="M1801">
        <v>53</v>
      </c>
      <c r="N1801">
        <v>75</v>
      </c>
      <c r="O1801">
        <v>352</v>
      </c>
      <c r="P1801">
        <v>70.400000000000006</v>
      </c>
      <c r="Q1801" t="s">
        <v>40</v>
      </c>
      <c r="R1801" t="s">
        <v>41</v>
      </c>
      <c r="S1801">
        <v>2774</v>
      </c>
      <c r="T1801" t="s">
        <v>70</v>
      </c>
      <c r="U1801" t="str">
        <f t="shared" si="28"/>
        <v>Pass</v>
      </c>
    </row>
    <row r="1802" spans="1:21">
      <c r="A1802" t="s">
        <v>3122</v>
      </c>
      <c r="B1802" t="s">
        <v>205</v>
      </c>
      <c r="C1802" t="s">
        <v>37</v>
      </c>
      <c r="D1802">
        <v>9</v>
      </c>
      <c r="E1802" t="s">
        <v>26</v>
      </c>
      <c r="F1802">
        <v>14</v>
      </c>
      <c r="G1802" t="s">
        <v>32</v>
      </c>
      <c r="H1802" t="s">
        <v>3123</v>
      </c>
      <c r="I1802">
        <v>75</v>
      </c>
      <c r="J1802">
        <v>77</v>
      </c>
      <c r="K1802">
        <v>97</v>
      </c>
      <c r="L1802">
        <v>74</v>
      </c>
      <c r="M1802">
        <v>64</v>
      </c>
      <c r="N1802">
        <v>72</v>
      </c>
      <c r="O1802">
        <v>384</v>
      </c>
      <c r="P1802">
        <v>76.8</v>
      </c>
      <c r="Q1802" t="s">
        <v>40</v>
      </c>
      <c r="R1802" t="s">
        <v>27</v>
      </c>
      <c r="S1802">
        <v>2097</v>
      </c>
      <c r="T1802" t="s">
        <v>66</v>
      </c>
      <c r="U1802" t="str">
        <f t="shared" si="28"/>
        <v>Pass</v>
      </c>
    </row>
    <row r="1803" spans="1:21">
      <c r="A1803" t="s">
        <v>3124</v>
      </c>
      <c r="B1803" t="s">
        <v>343</v>
      </c>
      <c r="C1803" t="s">
        <v>22</v>
      </c>
      <c r="D1803">
        <v>10</v>
      </c>
      <c r="E1803" t="s">
        <v>47</v>
      </c>
      <c r="F1803">
        <v>14</v>
      </c>
      <c r="G1803" t="s">
        <v>64</v>
      </c>
      <c r="H1803" t="s">
        <v>1587</v>
      </c>
      <c r="I1803">
        <v>77</v>
      </c>
      <c r="J1803">
        <v>53</v>
      </c>
      <c r="K1803">
        <v>98</v>
      </c>
      <c r="L1803">
        <v>87</v>
      </c>
      <c r="M1803">
        <v>61</v>
      </c>
      <c r="N1803">
        <v>74</v>
      </c>
      <c r="O1803">
        <v>373</v>
      </c>
      <c r="P1803">
        <v>74.599999999999994</v>
      </c>
      <c r="Q1803" t="s">
        <v>40</v>
      </c>
      <c r="R1803" t="s">
        <v>41</v>
      </c>
      <c r="S1803">
        <v>1640</v>
      </c>
      <c r="T1803" t="s">
        <v>48</v>
      </c>
      <c r="U1803" t="str">
        <f t="shared" si="28"/>
        <v>Pass</v>
      </c>
    </row>
    <row r="1804" spans="1:21">
      <c r="A1804" t="s">
        <v>3125</v>
      </c>
      <c r="B1804" t="s">
        <v>302</v>
      </c>
      <c r="C1804" t="s">
        <v>37</v>
      </c>
      <c r="D1804">
        <v>2</v>
      </c>
      <c r="E1804" t="s">
        <v>23</v>
      </c>
      <c r="F1804">
        <v>7</v>
      </c>
      <c r="G1804" t="s">
        <v>38</v>
      </c>
      <c r="H1804" t="s">
        <v>3126</v>
      </c>
      <c r="I1804">
        <v>92</v>
      </c>
      <c r="J1804">
        <v>83</v>
      </c>
      <c r="K1804">
        <v>71</v>
      </c>
      <c r="L1804">
        <v>36</v>
      </c>
      <c r="M1804">
        <v>85</v>
      </c>
      <c r="N1804">
        <v>43</v>
      </c>
      <c r="O1804">
        <v>318</v>
      </c>
      <c r="P1804">
        <v>63.6</v>
      </c>
      <c r="Q1804" t="s">
        <v>26</v>
      </c>
      <c r="R1804" t="s">
        <v>41</v>
      </c>
      <c r="S1804">
        <v>3356</v>
      </c>
      <c r="T1804" t="s">
        <v>42</v>
      </c>
      <c r="U1804" t="str">
        <f t="shared" si="28"/>
        <v>Pass</v>
      </c>
    </row>
    <row r="1805" spans="1:21">
      <c r="A1805" t="s">
        <v>3127</v>
      </c>
      <c r="B1805" t="s">
        <v>798</v>
      </c>
      <c r="C1805" t="s">
        <v>22</v>
      </c>
      <c r="D1805">
        <v>10</v>
      </c>
      <c r="E1805" t="s">
        <v>23</v>
      </c>
      <c r="F1805">
        <v>15</v>
      </c>
      <c r="G1805" t="s">
        <v>38</v>
      </c>
      <c r="H1805" t="s">
        <v>3128</v>
      </c>
      <c r="I1805">
        <v>95</v>
      </c>
      <c r="J1805">
        <v>96</v>
      </c>
      <c r="K1805">
        <v>75</v>
      </c>
      <c r="L1805">
        <v>39</v>
      </c>
      <c r="M1805">
        <v>66</v>
      </c>
      <c r="N1805">
        <v>36</v>
      </c>
      <c r="O1805">
        <v>312</v>
      </c>
      <c r="P1805">
        <v>62.4</v>
      </c>
      <c r="Q1805" t="s">
        <v>26</v>
      </c>
      <c r="R1805" t="s">
        <v>41</v>
      </c>
      <c r="S1805">
        <v>4458</v>
      </c>
      <c r="T1805" t="s">
        <v>42</v>
      </c>
      <c r="U1805" t="str">
        <f t="shared" si="28"/>
        <v>Pass</v>
      </c>
    </row>
    <row r="1806" spans="1:21">
      <c r="A1806" t="s">
        <v>3129</v>
      </c>
      <c r="B1806" t="s">
        <v>113</v>
      </c>
      <c r="C1806" t="s">
        <v>22</v>
      </c>
      <c r="D1806">
        <v>11</v>
      </c>
      <c r="E1806" t="s">
        <v>26</v>
      </c>
      <c r="F1806">
        <v>17</v>
      </c>
      <c r="G1806" t="s">
        <v>38</v>
      </c>
      <c r="H1806" t="s">
        <v>2772</v>
      </c>
      <c r="I1806">
        <v>87</v>
      </c>
      <c r="J1806">
        <v>39</v>
      </c>
      <c r="K1806">
        <v>36</v>
      </c>
      <c r="L1806">
        <v>70</v>
      </c>
      <c r="M1806">
        <v>63</v>
      </c>
      <c r="N1806">
        <v>37</v>
      </c>
      <c r="O1806">
        <v>245</v>
      </c>
      <c r="P1806">
        <v>49</v>
      </c>
      <c r="Q1806" t="s">
        <v>23</v>
      </c>
      <c r="R1806" t="s">
        <v>41</v>
      </c>
      <c r="S1806">
        <v>1814</v>
      </c>
      <c r="T1806" t="s">
        <v>34</v>
      </c>
      <c r="U1806" t="str">
        <f t="shared" si="28"/>
        <v>Fail</v>
      </c>
    </row>
    <row r="1807" spans="1:21">
      <c r="A1807" t="s">
        <v>3130</v>
      </c>
      <c r="B1807" t="s">
        <v>44</v>
      </c>
      <c r="C1807" t="s">
        <v>22</v>
      </c>
      <c r="D1807">
        <v>11</v>
      </c>
      <c r="E1807" t="s">
        <v>23</v>
      </c>
      <c r="F1807">
        <v>16</v>
      </c>
      <c r="G1807" t="s">
        <v>32</v>
      </c>
      <c r="H1807" t="s">
        <v>3131</v>
      </c>
      <c r="I1807">
        <v>83</v>
      </c>
      <c r="J1807">
        <v>60</v>
      </c>
      <c r="K1807">
        <v>48</v>
      </c>
      <c r="L1807">
        <v>55</v>
      </c>
      <c r="M1807">
        <v>45</v>
      </c>
      <c r="N1807">
        <v>41</v>
      </c>
      <c r="O1807">
        <v>249</v>
      </c>
      <c r="P1807">
        <v>49.8</v>
      </c>
      <c r="Q1807" t="s">
        <v>23</v>
      </c>
      <c r="R1807" t="s">
        <v>41</v>
      </c>
      <c r="S1807">
        <v>2910</v>
      </c>
      <c r="T1807" t="s">
        <v>70</v>
      </c>
      <c r="U1807" t="str">
        <f t="shared" si="28"/>
        <v>Fail</v>
      </c>
    </row>
    <row r="1808" spans="1:21">
      <c r="A1808" t="s">
        <v>3132</v>
      </c>
      <c r="B1808" t="s">
        <v>735</v>
      </c>
      <c r="C1808" t="s">
        <v>37</v>
      </c>
      <c r="D1808">
        <v>5</v>
      </c>
      <c r="E1808" t="s">
        <v>23</v>
      </c>
      <c r="F1808">
        <v>11</v>
      </c>
      <c r="G1808" t="s">
        <v>32</v>
      </c>
      <c r="H1808" t="s">
        <v>2250</v>
      </c>
      <c r="I1808">
        <v>68</v>
      </c>
      <c r="J1808">
        <v>54</v>
      </c>
      <c r="K1808">
        <v>69</v>
      </c>
      <c r="L1808">
        <v>97</v>
      </c>
      <c r="M1808">
        <v>54</v>
      </c>
      <c r="N1808">
        <v>98</v>
      </c>
      <c r="O1808">
        <v>372</v>
      </c>
      <c r="P1808">
        <v>74.400000000000006</v>
      </c>
      <c r="Q1808" t="s">
        <v>40</v>
      </c>
      <c r="R1808" t="s">
        <v>27</v>
      </c>
      <c r="S1808">
        <v>4208</v>
      </c>
      <c r="T1808" t="s">
        <v>48</v>
      </c>
      <c r="U1808" t="str">
        <f t="shared" si="28"/>
        <v>Pass</v>
      </c>
    </row>
    <row r="1809" spans="1:21">
      <c r="A1809" t="s">
        <v>3133</v>
      </c>
      <c r="B1809" t="s">
        <v>274</v>
      </c>
      <c r="C1809" t="s">
        <v>22</v>
      </c>
      <c r="D1809">
        <v>2</v>
      </c>
      <c r="E1809" t="s">
        <v>47</v>
      </c>
      <c r="F1809">
        <v>6</v>
      </c>
      <c r="G1809" t="s">
        <v>32</v>
      </c>
      <c r="H1809" t="s">
        <v>468</v>
      </c>
      <c r="I1809">
        <v>91</v>
      </c>
      <c r="J1809">
        <v>61</v>
      </c>
      <c r="K1809">
        <v>41</v>
      </c>
      <c r="L1809">
        <v>89</v>
      </c>
      <c r="M1809">
        <v>80</v>
      </c>
      <c r="N1809">
        <v>90</v>
      </c>
      <c r="O1809">
        <v>361</v>
      </c>
      <c r="P1809">
        <v>72.2</v>
      </c>
      <c r="Q1809" t="s">
        <v>40</v>
      </c>
      <c r="R1809" t="s">
        <v>27</v>
      </c>
      <c r="S1809">
        <v>2705</v>
      </c>
      <c r="T1809" t="s">
        <v>34</v>
      </c>
      <c r="U1809" t="str">
        <f t="shared" si="28"/>
        <v>Pass</v>
      </c>
    </row>
    <row r="1810" spans="1:21">
      <c r="A1810" t="s">
        <v>3134</v>
      </c>
      <c r="B1810" t="s">
        <v>844</v>
      </c>
      <c r="C1810" t="s">
        <v>37</v>
      </c>
      <c r="D1810">
        <v>12</v>
      </c>
      <c r="E1810" t="s">
        <v>47</v>
      </c>
      <c r="F1810">
        <v>16</v>
      </c>
      <c r="G1810" t="s">
        <v>32</v>
      </c>
      <c r="H1810" t="s">
        <v>1650</v>
      </c>
      <c r="I1810">
        <v>82</v>
      </c>
      <c r="J1810">
        <v>39</v>
      </c>
      <c r="K1810">
        <v>41</v>
      </c>
      <c r="L1810">
        <v>55</v>
      </c>
      <c r="M1810">
        <v>62</v>
      </c>
      <c r="N1810">
        <v>92</v>
      </c>
      <c r="O1810">
        <v>289</v>
      </c>
      <c r="P1810">
        <v>57.8</v>
      </c>
      <c r="Q1810" t="s">
        <v>31</v>
      </c>
      <c r="R1810" t="s">
        <v>27</v>
      </c>
      <c r="S1810">
        <v>1918</v>
      </c>
      <c r="T1810" t="s">
        <v>42</v>
      </c>
      <c r="U1810" t="str">
        <f t="shared" si="28"/>
        <v>Pass</v>
      </c>
    </row>
    <row r="1811" spans="1:21">
      <c r="A1811" t="s">
        <v>3135</v>
      </c>
      <c r="B1811" t="s">
        <v>226</v>
      </c>
      <c r="C1811" t="s">
        <v>37</v>
      </c>
      <c r="D1811">
        <v>2</v>
      </c>
      <c r="E1811" t="s">
        <v>26</v>
      </c>
      <c r="F1811">
        <v>7</v>
      </c>
      <c r="G1811" t="s">
        <v>64</v>
      </c>
      <c r="H1811" t="s">
        <v>348</v>
      </c>
      <c r="I1811">
        <v>70</v>
      </c>
      <c r="J1811">
        <v>92</v>
      </c>
      <c r="K1811">
        <v>78</v>
      </c>
      <c r="L1811">
        <v>57</v>
      </c>
      <c r="M1811">
        <v>42</v>
      </c>
      <c r="N1811">
        <v>50</v>
      </c>
      <c r="O1811">
        <v>319</v>
      </c>
      <c r="P1811">
        <v>63.8</v>
      </c>
      <c r="Q1811" t="s">
        <v>26</v>
      </c>
      <c r="R1811" t="s">
        <v>27</v>
      </c>
      <c r="S1811">
        <v>3858</v>
      </c>
      <c r="T1811" t="s">
        <v>48</v>
      </c>
      <c r="U1811" t="str">
        <f t="shared" si="28"/>
        <v>Pass</v>
      </c>
    </row>
    <row r="1812" spans="1:21">
      <c r="A1812" t="s">
        <v>3136</v>
      </c>
      <c r="B1812" t="s">
        <v>199</v>
      </c>
      <c r="C1812" t="s">
        <v>22</v>
      </c>
      <c r="D1812">
        <v>7</v>
      </c>
      <c r="E1812" t="s">
        <v>26</v>
      </c>
      <c r="F1812">
        <v>12</v>
      </c>
      <c r="G1812" t="s">
        <v>54</v>
      </c>
      <c r="H1812" t="s">
        <v>2667</v>
      </c>
      <c r="I1812">
        <v>82</v>
      </c>
      <c r="J1812">
        <v>100</v>
      </c>
      <c r="K1812">
        <v>95</v>
      </c>
      <c r="L1812">
        <v>85</v>
      </c>
      <c r="M1812">
        <v>55</v>
      </c>
      <c r="N1812">
        <v>38</v>
      </c>
      <c r="O1812">
        <v>373</v>
      </c>
      <c r="P1812">
        <v>74.599999999999994</v>
      </c>
      <c r="Q1812" t="s">
        <v>40</v>
      </c>
      <c r="R1812" t="s">
        <v>27</v>
      </c>
      <c r="S1812">
        <v>2767</v>
      </c>
      <c r="T1812" t="s">
        <v>70</v>
      </c>
      <c r="U1812" t="str">
        <f t="shared" si="28"/>
        <v>Pass</v>
      </c>
    </row>
    <row r="1813" spans="1:21">
      <c r="A1813" t="s">
        <v>3137</v>
      </c>
      <c r="B1813" t="s">
        <v>329</v>
      </c>
      <c r="C1813" t="s">
        <v>22</v>
      </c>
      <c r="D1813">
        <v>3</v>
      </c>
      <c r="E1813" t="s">
        <v>23</v>
      </c>
      <c r="F1813">
        <v>9</v>
      </c>
      <c r="G1813" t="s">
        <v>32</v>
      </c>
      <c r="H1813" t="s">
        <v>3138</v>
      </c>
      <c r="I1813">
        <v>85</v>
      </c>
      <c r="J1813">
        <v>94</v>
      </c>
      <c r="K1813">
        <v>89</v>
      </c>
      <c r="L1813">
        <v>83</v>
      </c>
      <c r="M1813">
        <v>35</v>
      </c>
      <c r="N1813">
        <v>56</v>
      </c>
      <c r="O1813">
        <v>357</v>
      </c>
      <c r="P1813">
        <v>71.400000000000006</v>
      </c>
      <c r="Q1813" t="s">
        <v>40</v>
      </c>
      <c r="R1813" t="s">
        <v>41</v>
      </c>
      <c r="S1813">
        <v>1833</v>
      </c>
      <c r="T1813" t="s">
        <v>42</v>
      </c>
      <c r="U1813" t="str">
        <f t="shared" si="28"/>
        <v>Pass</v>
      </c>
    </row>
    <row r="1814" spans="1:21">
      <c r="A1814" t="s">
        <v>3139</v>
      </c>
      <c r="B1814" t="s">
        <v>250</v>
      </c>
      <c r="C1814" t="s">
        <v>37</v>
      </c>
      <c r="D1814">
        <v>4</v>
      </c>
      <c r="E1814" t="s">
        <v>31</v>
      </c>
      <c r="F1814">
        <v>10</v>
      </c>
      <c r="G1814" t="s">
        <v>38</v>
      </c>
      <c r="H1814" t="s">
        <v>1052</v>
      </c>
      <c r="I1814">
        <v>60</v>
      </c>
      <c r="J1814">
        <v>90</v>
      </c>
      <c r="K1814">
        <v>36</v>
      </c>
      <c r="L1814">
        <v>92</v>
      </c>
      <c r="M1814">
        <v>88</v>
      </c>
      <c r="N1814">
        <v>89</v>
      </c>
      <c r="O1814">
        <v>395</v>
      </c>
      <c r="P1814">
        <v>79</v>
      </c>
      <c r="Q1814" t="s">
        <v>40</v>
      </c>
      <c r="R1814" t="s">
        <v>27</v>
      </c>
      <c r="S1814">
        <v>3062</v>
      </c>
      <c r="T1814" t="s">
        <v>42</v>
      </c>
      <c r="U1814" t="str">
        <f t="shared" si="28"/>
        <v>Pass</v>
      </c>
    </row>
    <row r="1815" spans="1:21">
      <c r="A1815" t="s">
        <v>3140</v>
      </c>
      <c r="B1815" t="s">
        <v>126</v>
      </c>
      <c r="C1815" t="s">
        <v>22</v>
      </c>
      <c r="D1815">
        <v>3</v>
      </c>
      <c r="E1815" t="s">
        <v>26</v>
      </c>
      <c r="F1815">
        <v>9</v>
      </c>
      <c r="G1815" t="s">
        <v>24</v>
      </c>
      <c r="H1815" t="s">
        <v>1906</v>
      </c>
      <c r="I1815">
        <v>73</v>
      </c>
      <c r="J1815">
        <v>92</v>
      </c>
      <c r="K1815">
        <v>67</v>
      </c>
      <c r="L1815">
        <v>35</v>
      </c>
      <c r="M1815">
        <v>82</v>
      </c>
      <c r="N1815">
        <v>38</v>
      </c>
      <c r="O1815">
        <v>314</v>
      </c>
      <c r="P1815">
        <v>62.8</v>
      </c>
      <c r="Q1815" t="s">
        <v>26</v>
      </c>
      <c r="R1815" t="s">
        <v>27</v>
      </c>
      <c r="S1815">
        <v>1679</v>
      </c>
      <c r="T1815" t="s">
        <v>42</v>
      </c>
      <c r="U1815" t="str">
        <f t="shared" si="28"/>
        <v>Pass</v>
      </c>
    </row>
    <row r="1816" spans="1:21">
      <c r="A1816" t="s">
        <v>3141</v>
      </c>
      <c r="B1816" t="s">
        <v>896</v>
      </c>
      <c r="C1816" t="s">
        <v>22</v>
      </c>
      <c r="D1816">
        <v>12</v>
      </c>
      <c r="E1816" t="s">
        <v>31</v>
      </c>
      <c r="F1816">
        <v>18</v>
      </c>
      <c r="G1816" t="s">
        <v>32</v>
      </c>
      <c r="H1816" t="s">
        <v>3142</v>
      </c>
      <c r="I1816">
        <v>97</v>
      </c>
      <c r="J1816">
        <v>80</v>
      </c>
      <c r="K1816">
        <v>59</v>
      </c>
      <c r="L1816">
        <v>91</v>
      </c>
      <c r="M1816">
        <v>91</v>
      </c>
      <c r="N1816">
        <v>78</v>
      </c>
      <c r="O1816">
        <v>399</v>
      </c>
      <c r="P1816">
        <v>79.8</v>
      </c>
      <c r="Q1816" t="s">
        <v>40</v>
      </c>
      <c r="R1816" t="s">
        <v>27</v>
      </c>
      <c r="S1816">
        <v>2313</v>
      </c>
      <c r="T1816" t="s">
        <v>34</v>
      </c>
      <c r="U1816" t="str">
        <f t="shared" si="28"/>
        <v>Pass</v>
      </c>
    </row>
    <row r="1817" spans="1:21">
      <c r="A1817" t="s">
        <v>3143</v>
      </c>
      <c r="B1817" t="s">
        <v>21</v>
      </c>
      <c r="C1817" t="s">
        <v>37</v>
      </c>
      <c r="D1817">
        <v>2</v>
      </c>
      <c r="E1817" t="s">
        <v>31</v>
      </c>
      <c r="F1817">
        <v>7</v>
      </c>
      <c r="G1817" t="s">
        <v>24</v>
      </c>
      <c r="H1817" t="s">
        <v>2090</v>
      </c>
      <c r="I1817">
        <v>87</v>
      </c>
      <c r="J1817">
        <v>74</v>
      </c>
      <c r="K1817">
        <v>83</v>
      </c>
      <c r="L1817">
        <v>40</v>
      </c>
      <c r="M1817">
        <v>42</v>
      </c>
      <c r="N1817">
        <v>42</v>
      </c>
      <c r="O1817">
        <v>281</v>
      </c>
      <c r="P1817">
        <v>56.2</v>
      </c>
      <c r="Q1817" t="s">
        <v>31</v>
      </c>
      <c r="R1817" t="s">
        <v>41</v>
      </c>
      <c r="S1817">
        <v>1505</v>
      </c>
      <c r="T1817" t="s">
        <v>34</v>
      </c>
      <c r="U1817" t="str">
        <f t="shared" si="28"/>
        <v>Pass</v>
      </c>
    </row>
    <row r="1818" spans="1:21">
      <c r="A1818" t="s">
        <v>3144</v>
      </c>
      <c r="B1818" t="s">
        <v>214</v>
      </c>
      <c r="C1818" t="s">
        <v>37</v>
      </c>
      <c r="D1818">
        <v>8</v>
      </c>
      <c r="E1818" t="s">
        <v>23</v>
      </c>
      <c r="F1818">
        <v>13</v>
      </c>
      <c r="G1818" t="s">
        <v>24</v>
      </c>
      <c r="H1818" t="s">
        <v>963</v>
      </c>
      <c r="I1818">
        <v>98</v>
      </c>
      <c r="J1818">
        <v>73</v>
      </c>
      <c r="K1818">
        <v>85</v>
      </c>
      <c r="L1818">
        <v>46</v>
      </c>
      <c r="M1818">
        <v>94</v>
      </c>
      <c r="N1818">
        <v>63</v>
      </c>
      <c r="O1818">
        <v>361</v>
      </c>
      <c r="P1818">
        <v>72.2</v>
      </c>
      <c r="Q1818" t="s">
        <v>40</v>
      </c>
      <c r="R1818" t="s">
        <v>27</v>
      </c>
      <c r="S1818">
        <v>1788</v>
      </c>
      <c r="T1818" t="s">
        <v>28</v>
      </c>
      <c r="U1818" t="str">
        <f t="shared" si="28"/>
        <v>Pass</v>
      </c>
    </row>
    <row r="1819" spans="1:21">
      <c r="A1819" t="s">
        <v>3145</v>
      </c>
      <c r="B1819" t="s">
        <v>389</v>
      </c>
      <c r="C1819" t="s">
        <v>22</v>
      </c>
      <c r="D1819">
        <v>6</v>
      </c>
      <c r="E1819" t="s">
        <v>31</v>
      </c>
      <c r="F1819">
        <v>12</v>
      </c>
      <c r="G1819" t="s">
        <v>24</v>
      </c>
      <c r="H1819" t="s">
        <v>3146</v>
      </c>
      <c r="I1819">
        <v>99</v>
      </c>
      <c r="J1819">
        <v>37</v>
      </c>
      <c r="K1819">
        <v>40</v>
      </c>
      <c r="L1819">
        <v>94</v>
      </c>
      <c r="M1819">
        <v>63</v>
      </c>
      <c r="N1819">
        <v>89</v>
      </c>
      <c r="O1819">
        <v>323</v>
      </c>
      <c r="P1819">
        <v>64.599999999999994</v>
      </c>
      <c r="Q1819" t="s">
        <v>26</v>
      </c>
      <c r="R1819" t="s">
        <v>41</v>
      </c>
      <c r="S1819">
        <v>2480</v>
      </c>
      <c r="T1819" t="s">
        <v>42</v>
      </c>
      <c r="U1819" t="str">
        <f t="shared" si="28"/>
        <v>Pass</v>
      </c>
    </row>
    <row r="1820" spans="1:21">
      <c r="A1820" t="s">
        <v>3147</v>
      </c>
      <c r="B1820" t="s">
        <v>1142</v>
      </c>
      <c r="C1820" t="s">
        <v>37</v>
      </c>
      <c r="D1820">
        <v>11</v>
      </c>
      <c r="E1820" t="s">
        <v>23</v>
      </c>
      <c r="F1820">
        <v>15</v>
      </c>
      <c r="G1820" t="s">
        <v>24</v>
      </c>
      <c r="H1820" t="s">
        <v>3148</v>
      </c>
      <c r="I1820">
        <v>72</v>
      </c>
      <c r="J1820">
        <v>62</v>
      </c>
      <c r="K1820">
        <v>63</v>
      </c>
      <c r="L1820">
        <v>96</v>
      </c>
      <c r="M1820">
        <v>95</v>
      </c>
      <c r="N1820">
        <v>71</v>
      </c>
      <c r="O1820">
        <v>387</v>
      </c>
      <c r="P1820">
        <v>77.400000000000006</v>
      </c>
      <c r="Q1820" t="s">
        <v>40</v>
      </c>
      <c r="R1820" t="s">
        <v>41</v>
      </c>
      <c r="S1820">
        <v>4757</v>
      </c>
      <c r="T1820" t="s">
        <v>28</v>
      </c>
      <c r="U1820" t="str">
        <f t="shared" si="28"/>
        <v>Pass</v>
      </c>
    </row>
    <row r="1821" spans="1:21">
      <c r="A1821" t="s">
        <v>3149</v>
      </c>
      <c r="B1821" t="s">
        <v>118</v>
      </c>
      <c r="C1821" t="s">
        <v>37</v>
      </c>
      <c r="D1821">
        <v>9</v>
      </c>
      <c r="E1821" t="s">
        <v>31</v>
      </c>
      <c r="F1821">
        <v>13</v>
      </c>
      <c r="G1821" t="s">
        <v>64</v>
      </c>
      <c r="H1821" t="s">
        <v>3150</v>
      </c>
      <c r="I1821">
        <v>95</v>
      </c>
      <c r="J1821">
        <v>83</v>
      </c>
      <c r="K1821">
        <v>37</v>
      </c>
      <c r="L1821">
        <v>72</v>
      </c>
      <c r="M1821">
        <v>47</v>
      </c>
      <c r="N1821">
        <v>53</v>
      </c>
      <c r="O1821">
        <v>292</v>
      </c>
      <c r="P1821">
        <v>58.4</v>
      </c>
      <c r="Q1821" t="s">
        <v>31</v>
      </c>
      <c r="R1821" t="s">
        <v>27</v>
      </c>
      <c r="S1821">
        <v>4127</v>
      </c>
      <c r="T1821" t="s">
        <v>34</v>
      </c>
      <c r="U1821" t="str">
        <f t="shared" si="28"/>
        <v>Pass</v>
      </c>
    </row>
    <row r="1822" spans="1:21">
      <c r="A1822" t="s">
        <v>3151</v>
      </c>
      <c r="B1822" t="s">
        <v>113</v>
      </c>
      <c r="C1822" t="s">
        <v>37</v>
      </c>
      <c r="D1822">
        <v>11</v>
      </c>
      <c r="E1822" t="s">
        <v>23</v>
      </c>
      <c r="F1822">
        <v>17</v>
      </c>
      <c r="G1822" t="s">
        <v>58</v>
      </c>
      <c r="H1822" t="s">
        <v>3152</v>
      </c>
      <c r="I1822">
        <v>65</v>
      </c>
      <c r="J1822">
        <v>53</v>
      </c>
      <c r="K1822">
        <v>85</v>
      </c>
      <c r="L1822">
        <v>72</v>
      </c>
      <c r="M1822">
        <v>82</v>
      </c>
      <c r="N1822">
        <v>49</v>
      </c>
      <c r="O1822">
        <v>341</v>
      </c>
      <c r="P1822">
        <v>68.2</v>
      </c>
      <c r="Q1822" t="s">
        <v>26</v>
      </c>
      <c r="R1822" t="s">
        <v>41</v>
      </c>
      <c r="S1822">
        <v>3026</v>
      </c>
      <c r="T1822" t="s">
        <v>48</v>
      </c>
      <c r="U1822" t="str">
        <f t="shared" si="28"/>
        <v>Pass</v>
      </c>
    </row>
    <row r="1823" spans="1:21">
      <c r="A1823" t="s">
        <v>3153</v>
      </c>
      <c r="B1823" t="s">
        <v>148</v>
      </c>
      <c r="C1823" t="s">
        <v>22</v>
      </c>
      <c r="D1823">
        <v>11</v>
      </c>
      <c r="E1823" t="s">
        <v>47</v>
      </c>
      <c r="F1823">
        <v>17</v>
      </c>
      <c r="G1823" t="s">
        <v>24</v>
      </c>
      <c r="H1823" t="s">
        <v>3154</v>
      </c>
      <c r="I1823">
        <v>84</v>
      </c>
      <c r="J1823">
        <v>47</v>
      </c>
      <c r="K1823">
        <v>62</v>
      </c>
      <c r="L1823">
        <v>42</v>
      </c>
      <c r="M1823">
        <v>67</v>
      </c>
      <c r="N1823">
        <v>51</v>
      </c>
      <c r="O1823">
        <v>269</v>
      </c>
      <c r="P1823">
        <v>53.8</v>
      </c>
      <c r="Q1823" t="s">
        <v>31</v>
      </c>
      <c r="R1823" t="s">
        <v>27</v>
      </c>
      <c r="S1823">
        <v>2728</v>
      </c>
      <c r="T1823" t="s">
        <v>28</v>
      </c>
      <c r="U1823" t="str">
        <f t="shared" si="28"/>
        <v>Fail</v>
      </c>
    </row>
    <row r="1824" spans="1:21">
      <c r="A1824" t="s">
        <v>3155</v>
      </c>
      <c r="B1824" t="s">
        <v>181</v>
      </c>
      <c r="C1824" t="s">
        <v>37</v>
      </c>
      <c r="D1824">
        <v>10</v>
      </c>
      <c r="E1824" t="s">
        <v>26</v>
      </c>
      <c r="F1824">
        <v>15</v>
      </c>
      <c r="G1824" t="s">
        <v>54</v>
      </c>
      <c r="H1824" t="s">
        <v>2154</v>
      </c>
      <c r="I1824">
        <v>76</v>
      </c>
      <c r="J1824">
        <v>38</v>
      </c>
      <c r="K1824">
        <v>48</v>
      </c>
      <c r="L1824">
        <v>44</v>
      </c>
      <c r="M1824">
        <v>56</v>
      </c>
      <c r="N1824">
        <v>41</v>
      </c>
      <c r="O1824">
        <v>227</v>
      </c>
      <c r="P1824">
        <v>45.4</v>
      </c>
      <c r="Q1824" t="s">
        <v>23</v>
      </c>
      <c r="R1824" t="s">
        <v>41</v>
      </c>
      <c r="S1824">
        <v>2592</v>
      </c>
      <c r="T1824" t="s">
        <v>70</v>
      </c>
      <c r="U1824" t="str">
        <f t="shared" si="28"/>
        <v>Fail</v>
      </c>
    </row>
    <row r="1825" spans="1:21">
      <c r="A1825" t="s">
        <v>3156</v>
      </c>
      <c r="B1825" t="s">
        <v>419</v>
      </c>
      <c r="C1825" t="s">
        <v>37</v>
      </c>
      <c r="D1825">
        <v>6</v>
      </c>
      <c r="E1825" t="s">
        <v>47</v>
      </c>
      <c r="F1825">
        <v>11</v>
      </c>
      <c r="G1825" t="s">
        <v>24</v>
      </c>
      <c r="H1825" t="s">
        <v>2438</v>
      </c>
      <c r="I1825">
        <v>95</v>
      </c>
      <c r="J1825">
        <v>71</v>
      </c>
      <c r="K1825">
        <v>97</v>
      </c>
      <c r="L1825">
        <v>69</v>
      </c>
      <c r="M1825">
        <v>98</v>
      </c>
      <c r="N1825">
        <v>100</v>
      </c>
      <c r="O1825">
        <v>435</v>
      </c>
      <c r="P1825">
        <v>87</v>
      </c>
      <c r="Q1825" t="s">
        <v>47</v>
      </c>
      <c r="R1825" t="s">
        <v>41</v>
      </c>
      <c r="S1825">
        <v>3366</v>
      </c>
      <c r="T1825" t="s">
        <v>70</v>
      </c>
      <c r="U1825" t="str">
        <f t="shared" si="28"/>
        <v>Pass</v>
      </c>
    </row>
    <row r="1826" spans="1:21">
      <c r="A1826" t="s">
        <v>3157</v>
      </c>
      <c r="B1826" t="s">
        <v>1142</v>
      </c>
      <c r="C1826" t="s">
        <v>37</v>
      </c>
      <c r="D1826">
        <v>4</v>
      </c>
      <c r="E1826" t="s">
        <v>47</v>
      </c>
      <c r="F1826">
        <v>9</v>
      </c>
      <c r="G1826" t="s">
        <v>54</v>
      </c>
      <c r="H1826" t="s">
        <v>3158</v>
      </c>
      <c r="I1826">
        <v>62</v>
      </c>
      <c r="J1826">
        <v>61</v>
      </c>
      <c r="K1826">
        <v>36</v>
      </c>
      <c r="L1826">
        <v>93</v>
      </c>
      <c r="M1826">
        <v>79</v>
      </c>
      <c r="N1826">
        <v>36</v>
      </c>
      <c r="O1826">
        <v>305</v>
      </c>
      <c r="P1826">
        <v>61</v>
      </c>
      <c r="Q1826" t="s">
        <v>26</v>
      </c>
      <c r="R1826" t="s">
        <v>27</v>
      </c>
      <c r="S1826">
        <v>4046</v>
      </c>
      <c r="T1826" t="s">
        <v>42</v>
      </c>
      <c r="U1826" t="str">
        <f t="shared" si="28"/>
        <v>Pass</v>
      </c>
    </row>
    <row r="1827" spans="1:21">
      <c r="A1827" t="s">
        <v>3159</v>
      </c>
      <c r="B1827" t="s">
        <v>490</v>
      </c>
      <c r="C1827" t="s">
        <v>22</v>
      </c>
      <c r="D1827">
        <v>7</v>
      </c>
      <c r="E1827" t="s">
        <v>31</v>
      </c>
      <c r="F1827">
        <v>11</v>
      </c>
      <c r="G1827" t="s">
        <v>45</v>
      </c>
      <c r="H1827" t="s">
        <v>3160</v>
      </c>
      <c r="I1827">
        <v>73</v>
      </c>
      <c r="J1827">
        <v>89</v>
      </c>
      <c r="K1827">
        <v>46</v>
      </c>
      <c r="L1827">
        <v>98</v>
      </c>
      <c r="M1827">
        <v>71</v>
      </c>
      <c r="N1827">
        <v>50</v>
      </c>
      <c r="O1827">
        <v>354</v>
      </c>
      <c r="P1827">
        <v>70.8</v>
      </c>
      <c r="Q1827" t="s">
        <v>40</v>
      </c>
      <c r="R1827" t="s">
        <v>27</v>
      </c>
      <c r="S1827">
        <v>2265</v>
      </c>
      <c r="T1827" t="s">
        <v>70</v>
      </c>
      <c r="U1827" t="str">
        <f t="shared" si="28"/>
        <v>Pass</v>
      </c>
    </row>
    <row r="1828" spans="1:21">
      <c r="A1828" t="s">
        <v>3161</v>
      </c>
      <c r="B1828" t="s">
        <v>242</v>
      </c>
      <c r="C1828" t="s">
        <v>37</v>
      </c>
      <c r="D1828">
        <v>3</v>
      </c>
      <c r="E1828" t="s">
        <v>26</v>
      </c>
      <c r="F1828">
        <v>7</v>
      </c>
      <c r="G1828" t="s">
        <v>24</v>
      </c>
      <c r="H1828" t="s">
        <v>2113</v>
      </c>
      <c r="I1828">
        <v>97</v>
      </c>
      <c r="J1828">
        <v>64</v>
      </c>
      <c r="K1828">
        <v>68</v>
      </c>
      <c r="L1828">
        <v>83</v>
      </c>
      <c r="M1828">
        <v>57</v>
      </c>
      <c r="N1828">
        <v>56</v>
      </c>
      <c r="O1828">
        <v>328</v>
      </c>
      <c r="P1828">
        <v>65.599999999999994</v>
      </c>
      <c r="Q1828" t="s">
        <v>26</v>
      </c>
      <c r="R1828" t="s">
        <v>41</v>
      </c>
      <c r="S1828">
        <v>4328</v>
      </c>
      <c r="T1828" t="s">
        <v>48</v>
      </c>
      <c r="U1828" t="str">
        <f t="shared" si="28"/>
        <v>Pass</v>
      </c>
    </row>
    <row r="1829" spans="1:21">
      <c r="A1829" t="s">
        <v>3162</v>
      </c>
      <c r="B1829" t="s">
        <v>137</v>
      </c>
      <c r="C1829" t="s">
        <v>22</v>
      </c>
      <c r="D1829">
        <v>1</v>
      </c>
      <c r="E1829" t="s">
        <v>31</v>
      </c>
      <c r="F1829">
        <v>7</v>
      </c>
      <c r="G1829" t="s">
        <v>45</v>
      </c>
      <c r="H1829" t="s">
        <v>3163</v>
      </c>
      <c r="I1829">
        <v>66</v>
      </c>
      <c r="J1829">
        <v>83</v>
      </c>
      <c r="K1829">
        <v>76</v>
      </c>
      <c r="L1829">
        <v>81</v>
      </c>
      <c r="M1829">
        <v>76</v>
      </c>
      <c r="N1829">
        <v>56</v>
      </c>
      <c r="O1829">
        <v>372</v>
      </c>
      <c r="P1829">
        <v>74.400000000000006</v>
      </c>
      <c r="Q1829" t="s">
        <v>40</v>
      </c>
      <c r="R1829" t="s">
        <v>27</v>
      </c>
      <c r="S1829">
        <v>4926</v>
      </c>
      <c r="T1829" t="s">
        <v>42</v>
      </c>
      <c r="U1829" t="str">
        <f t="shared" si="28"/>
        <v>Pass</v>
      </c>
    </row>
    <row r="1830" spans="1:21">
      <c r="A1830" t="s">
        <v>3164</v>
      </c>
      <c r="B1830" t="s">
        <v>896</v>
      </c>
      <c r="C1830" t="s">
        <v>22</v>
      </c>
      <c r="D1830">
        <v>8</v>
      </c>
      <c r="E1830" t="s">
        <v>47</v>
      </c>
      <c r="F1830">
        <v>13</v>
      </c>
      <c r="G1830" t="s">
        <v>54</v>
      </c>
      <c r="H1830" t="s">
        <v>1862</v>
      </c>
      <c r="I1830">
        <v>61</v>
      </c>
      <c r="J1830">
        <v>42</v>
      </c>
      <c r="K1830">
        <v>98</v>
      </c>
      <c r="L1830">
        <v>82</v>
      </c>
      <c r="M1830">
        <v>43</v>
      </c>
      <c r="N1830">
        <v>53</v>
      </c>
      <c r="O1830">
        <v>318</v>
      </c>
      <c r="P1830">
        <v>63.6</v>
      </c>
      <c r="Q1830" t="s">
        <v>26</v>
      </c>
      <c r="R1830" t="s">
        <v>41</v>
      </c>
      <c r="S1830">
        <v>2397</v>
      </c>
      <c r="T1830" t="s">
        <v>34</v>
      </c>
      <c r="U1830" t="str">
        <f t="shared" si="28"/>
        <v>Pass</v>
      </c>
    </row>
    <row r="1831" spans="1:21">
      <c r="A1831" t="s">
        <v>3165</v>
      </c>
      <c r="B1831" t="s">
        <v>735</v>
      </c>
      <c r="C1831" t="s">
        <v>22</v>
      </c>
      <c r="D1831">
        <v>5</v>
      </c>
      <c r="E1831" t="s">
        <v>23</v>
      </c>
      <c r="F1831">
        <v>9</v>
      </c>
      <c r="G1831" t="s">
        <v>38</v>
      </c>
      <c r="H1831" t="s">
        <v>176</v>
      </c>
      <c r="I1831">
        <v>68</v>
      </c>
      <c r="J1831">
        <v>92</v>
      </c>
      <c r="K1831">
        <v>55</v>
      </c>
      <c r="L1831">
        <v>57</v>
      </c>
      <c r="M1831">
        <v>89</v>
      </c>
      <c r="N1831">
        <v>39</v>
      </c>
      <c r="O1831">
        <v>332</v>
      </c>
      <c r="P1831">
        <v>66.400000000000006</v>
      </c>
      <c r="Q1831" t="s">
        <v>26</v>
      </c>
      <c r="R1831" t="s">
        <v>27</v>
      </c>
      <c r="S1831">
        <v>4045</v>
      </c>
      <c r="T1831" t="s">
        <v>42</v>
      </c>
      <c r="U1831" t="str">
        <f t="shared" si="28"/>
        <v>Pass</v>
      </c>
    </row>
    <row r="1832" spans="1:21">
      <c r="A1832" t="s">
        <v>3166</v>
      </c>
      <c r="B1832" t="s">
        <v>416</v>
      </c>
      <c r="C1832" t="s">
        <v>22</v>
      </c>
      <c r="D1832">
        <v>6</v>
      </c>
      <c r="E1832" t="s">
        <v>31</v>
      </c>
      <c r="F1832">
        <v>11</v>
      </c>
      <c r="G1832" t="s">
        <v>32</v>
      </c>
      <c r="H1832" t="s">
        <v>945</v>
      </c>
      <c r="I1832">
        <v>85</v>
      </c>
      <c r="J1832">
        <v>48</v>
      </c>
      <c r="K1832">
        <v>71</v>
      </c>
      <c r="L1832">
        <v>62</v>
      </c>
      <c r="M1832">
        <v>100</v>
      </c>
      <c r="N1832">
        <v>38</v>
      </c>
      <c r="O1832">
        <v>319</v>
      </c>
      <c r="P1832">
        <v>63.8</v>
      </c>
      <c r="Q1832" t="s">
        <v>26</v>
      </c>
      <c r="R1832" t="s">
        <v>41</v>
      </c>
      <c r="S1832">
        <v>2921</v>
      </c>
      <c r="T1832" t="s">
        <v>42</v>
      </c>
      <c r="U1832" t="str">
        <f t="shared" si="28"/>
        <v>Pass</v>
      </c>
    </row>
    <row r="1833" spans="1:21">
      <c r="A1833" t="s">
        <v>3167</v>
      </c>
      <c r="B1833" t="s">
        <v>30</v>
      </c>
      <c r="C1833" t="s">
        <v>22</v>
      </c>
      <c r="D1833">
        <v>11</v>
      </c>
      <c r="E1833" t="s">
        <v>31</v>
      </c>
      <c r="F1833">
        <v>17</v>
      </c>
      <c r="G1833" t="s">
        <v>24</v>
      </c>
      <c r="H1833" t="s">
        <v>1851</v>
      </c>
      <c r="I1833">
        <v>79</v>
      </c>
      <c r="J1833">
        <v>39</v>
      </c>
      <c r="K1833">
        <v>54</v>
      </c>
      <c r="L1833">
        <v>80</v>
      </c>
      <c r="M1833">
        <v>92</v>
      </c>
      <c r="N1833">
        <v>98</v>
      </c>
      <c r="O1833">
        <v>363</v>
      </c>
      <c r="P1833">
        <v>72.599999999999994</v>
      </c>
      <c r="Q1833" t="s">
        <v>40</v>
      </c>
      <c r="R1833" t="s">
        <v>41</v>
      </c>
      <c r="S1833">
        <v>1727</v>
      </c>
      <c r="T1833" t="s">
        <v>48</v>
      </c>
      <c r="U1833" t="str">
        <f t="shared" si="28"/>
        <v>Pass</v>
      </c>
    </row>
    <row r="1834" spans="1:21">
      <c r="A1834" t="s">
        <v>3168</v>
      </c>
      <c r="B1834" t="s">
        <v>1326</v>
      </c>
      <c r="C1834" t="s">
        <v>22</v>
      </c>
      <c r="D1834">
        <v>5</v>
      </c>
      <c r="E1834" t="s">
        <v>31</v>
      </c>
      <c r="F1834">
        <v>10</v>
      </c>
      <c r="G1834" t="s">
        <v>32</v>
      </c>
      <c r="H1834" t="s">
        <v>3169</v>
      </c>
      <c r="I1834">
        <v>60</v>
      </c>
      <c r="J1834">
        <v>63</v>
      </c>
      <c r="K1834">
        <v>85</v>
      </c>
      <c r="L1834">
        <v>73</v>
      </c>
      <c r="M1834">
        <v>93</v>
      </c>
      <c r="N1834">
        <v>59</v>
      </c>
      <c r="O1834">
        <v>373</v>
      </c>
      <c r="P1834">
        <v>74.599999999999994</v>
      </c>
      <c r="Q1834" t="s">
        <v>40</v>
      </c>
      <c r="R1834" t="s">
        <v>27</v>
      </c>
      <c r="S1834">
        <v>4955</v>
      </c>
      <c r="T1834" t="s">
        <v>28</v>
      </c>
      <c r="U1834" t="str">
        <f t="shared" si="28"/>
        <v>Pass</v>
      </c>
    </row>
    <row r="1835" spans="1:21">
      <c r="A1835" t="s">
        <v>3170</v>
      </c>
      <c r="B1835" t="s">
        <v>214</v>
      </c>
      <c r="C1835" t="s">
        <v>37</v>
      </c>
      <c r="D1835">
        <v>8</v>
      </c>
      <c r="E1835" t="s">
        <v>26</v>
      </c>
      <c r="F1835">
        <v>12</v>
      </c>
      <c r="G1835" t="s">
        <v>38</v>
      </c>
      <c r="H1835" t="s">
        <v>2980</v>
      </c>
      <c r="I1835">
        <v>100</v>
      </c>
      <c r="J1835">
        <v>91</v>
      </c>
      <c r="K1835">
        <v>83</v>
      </c>
      <c r="L1835">
        <v>86</v>
      </c>
      <c r="M1835">
        <v>76</v>
      </c>
      <c r="N1835">
        <v>35</v>
      </c>
      <c r="O1835">
        <v>371</v>
      </c>
      <c r="P1835">
        <v>74.2</v>
      </c>
      <c r="Q1835" t="s">
        <v>40</v>
      </c>
      <c r="R1835" t="s">
        <v>41</v>
      </c>
      <c r="S1835">
        <v>4900</v>
      </c>
      <c r="T1835" t="s">
        <v>34</v>
      </c>
      <c r="U1835" t="str">
        <f t="shared" si="28"/>
        <v>Pass</v>
      </c>
    </row>
    <row r="1836" spans="1:21">
      <c r="A1836" t="s">
        <v>3171</v>
      </c>
      <c r="B1836" t="s">
        <v>378</v>
      </c>
      <c r="C1836" t="s">
        <v>22</v>
      </c>
      <c r="D1836">
        <v>1</v>
      </c>
      <c r="E1836" t="s">
        <v>26</v>
      </c>
      <c r="F1836">
        <v>7</v>
      </c>
      <c r="G1836" t="s">
        <v>64</v>
      </c>
      <c r="H1836" t="s">
        <v>1713</v>
      </c>
      <c r="I1836">
        <v>62</v>
      </c>
      <c r="J1836">
        <v>99</v>
      </c>
      <c r="K1836">
        <v>80</v>
      </c>
      <c r="L1836">
        <v>82</v>
      </c>
      <c r="M1836">
        <v>39</v>
      </c>
      <c r="N1836">
        <v>82</v>
      </c>
      <c r="O1836">
        <v>382</v>
      </c>
      <c r="P1836">
        <v>76.400000000000006</v>
      </c>
      <c r="Q1836" t="s">
        <v>40</v>
      </c>
      <c r="R1836" t="s">
        <v>41</v>
      </c>
      <c r="S1836">
        <v>3370</v>
      </c>
      <c r="T1836" t="s">
        <v>34</v>
      </c>
      <c r="U1836" t="str">
        <f t="shared" si="28"/>
        <v>Pass</v>
      </c>
    </row>
    <row r="1837" spans="1:21">
      <c r="A1837" t="s">
        <v>3172</v>
      </c>
      <c r="B1837" t="s">
        <v>168</v>
      </c>
      <c r="C1837" t="s">
        <v>22</v>
      </c>
      <c r="D1837">
        <v>4</v>
      </c>
      <c r="E1837" t="s">
        <v>26</v>
      </c>
      <c r="F1837">
        <v>10</v>
      </c>
      <c r="G1837" t="s">
        <v>54</v>
      </c>
      <c r="H1837" t="s">
        <v>1263</v>
      </c>
      <c r="I1837">
        <v>91</v>
      </c>
      <c r="J1837">
        <v>66</v>
      </c>
      <c r="K1837">
        <v>93</v>
      </c>
      <c r="L1837">
        <v>76</v>
      </c>
      <c r="M1837">
        <v>40</v>
      </c>
      <c r="N1837">
        <v>63</v>
      </c>
      <c r="O1837">
        <v>338</v>
      </c>
      <c r="P1837">
        <v>67.599999999999994</v>
      </c>
      <c r="Q1837" t="s">
        <v>26</v>
      </c>
      <c r="R1837" t="s">
        <v>41</v>
      </c>
      <c r="S1837">
        <v>2974</v>
      </c>
      <c r="T1837" t="s">
        <v>66</v>
      </c>
      <c r="U1837" t="str">
        <f t="shared" si="28"/>
        <v>Pass</v>
      </c>
    </row>
    <row r="1838" spans="1:21">
      <c r="A1838" t="s">
        <v>3173</v>
      </c>
      <c r="B1838" t="s">
        <v>123</v>
      </c>
      <c r="C1838" t="s">
        <v>37</v>
      </c>
      <c r="D1838">
        <v>10</v>
      </c>
      <c r="E1838" t="s">
        <v>23</v>
      </c>
      <c r="F1838">
        <v>14</v>
      </c>
      <c r="G1838" t="s">
        <v>58</v>
      </c>
      <c r="H1838" t="s">
        <v>699</v>
      </c>
      <c r="I1838">
        <v>95</v>
      </c>
      <c r="J1838">
        <v>78</v>
      </c>
      <c r="K1838">
        <v>67</v>
      </c>
      <c r="L1838">
        <v>79</v>
      </c>
      <c r="M1838">
        <v>75</v>
      </c>
      <c r="N1838">
        <v>66</v>
      </c>
      <c r="O1838">
        <v>365</v>
      </c>
      <c r="P1838">
        <v>73</v>
      </c>
      <c r="Q1838" t="s">
        <v>40</v>
      </c>
      <c r="R1838" t="s">
        <v>27</v>
      </c>
      <c r="S1838">
        <v>3675</v>
      </c>
      <c r="T1838" t="s">
        <v>48</v>
      </c>
      <c r="U1838" t="str">
        <f t="shared" si="28"/>
        <v>Pass</v>
      </c>
    </row>
    <row r="1839" spans="1:21">
      <c r="A1839" t="s">
        <v>3174</v>
      </c>
      <c r="B1839" t="s">
        <v>1234</v>
      </c>
      <c r="C1839" t="s">
        <v>22</v>
      </c>
      <c r="D1839">
        <v>11</v>
      </c>
      <c r="E1839" t="s">
        <v>23</v>
      </c>
      <c r="F1839">
        <v>17</v>
      </c>
      <c r="G1839" t="s">
        <v>58</v>
      </c>
      <c r="H1839" t="s">
        <v>3175</v>
      </c>
      <c r="I1839">
        <v>91</v>
      </c>
      <c r="J1839">
        <v>90</v>
      </c>
      <c r="K1839">
        <v>73</v>
      </c>
      <c r="L1839">
        <v>76</v>
      </c>
      <c r="M1839">
        <v>98</v>
      </c>
      <c r="N1839">
        <v>63</v>
      </c>
      <c r="O1839">
        <v>400</v>
      </c>
      <c r="P1839">
        <v>80</v>
      </c>
      <c r="Q1839" t="s">
        <v>47</v>
      </c>
      <c r="R1839" t="s">
        <v>27</v>
      </c>
      <c r="S1839">
        <v>2951</v>
      </c>
      <c r="T1839" t="s">
        <v>66</v>
      </c>
      <c r="U1839" t="str">
        <f t="shared" si="28"/>
        <v>Pass</v>
      </c>
    </row>
    <row r="1840" spans="1:21">
      <c r="A1840" t="s">
        <v>3176</v>
      </c>
      <c r="B1840" t="s">
        <v>211</v>
      </c>
      <c r="C1840" t="s">
        <v>22</v>
      </c>
      <c r="D1840">
        <v>9</v>
      </c>
      <c r="E1840" t="s">
        <v>47</v>
      </c>
      <c r="F1840">
        <v>15</v>
      </c>
      <c r="G1840" t="s">
        <v>58</v>
      </c>
      <c r="H1840" t="s">
        <v>2531</v>
      </c>
      <c r="I1840">
        <v>96</v>
      </c>
      <c r="J1840">
        <v>58</v>
      </c>
      <c r="K1840">
        <v>56</v>
      </c>
      <c r="L1840">
        <v>62</v>
      </c>
      <c r="M1840">
        <v>71</v>
      </c>
      <c r="N1840">
        <v>37</v>
      </c>
      <c r="O1840">
        <v>284</v>
      </c>
      <c r="P1840">
        <v>56.8</v>
      </c>
      <c r="Q1840" t="s">
        <v>31</v>
      </c>
      <c r="R1840" t="s">
        <v>27</v>
      </c>
      <c r="S1840">
        <v>3103</v>
      </c>
      <c r="T1840" t="s">
        <v>66</v>
      </c>
      <c r="U1840" t="str">
        <f t="shared" si="28"/>
        <v>Pass</v>
      </c>
    </row>
    <row r="1841" spans="1:21">
      <c r="A1841" t="s">
        <v>3177</v>
      </c>
      <c r="B1841" t="s">
        <v>214</v>
      </c>
      <c r="C1841" t="s">
        <v>22</v>
      </c>
      <c r="D1841">
        <v>7</v>
      </c>
      <c r="E1841" t="s">
        <v>31</v>
      </c>
      <c r="F1841">
        <v>13</v>
      </c>
      <c r="G1841" t="s">
        <v>54</v>
      </c>
      <c r="H1841" t="s">
        <v>1701</v>
      </c>
      <c r="I1841">
        <v>84</v>
      </c>
      <c r="J1841">
        <v>80</v>
      </c>
      <c r="K1841">
        <v>83</v>
      </c>
      <c r="L1841">
        <v>75</v>
      </c>
      <c r="M1841">
        <v>96</v>
      </c>
      <c r="N1841">
        <v>54</v>
      </c>
      <c r="O1841">
        <v>388</v>
      </c>
      <c r="P1841">
        <v>77.599999999999994</v>
      </c>
      <c r="Q1841" t="s">
        <v>40</v>
      </c>
      <c r="R1841" t="s">
        <v>41</v>
      </c>
      <c r="S1841">
        <v>2475</v>
      </c>
      <c r="T1841" t="s">
        <v>34</v>
      </c>
      <c r="U1841" t="str">
        <f t="shared" si="28"/>
        <v>Pass</v>
      </c>
    </row>
    <row r="1842" spans="1:21">
      <c r="A1842" t="s">
        <v>3178</v>
      </c>
      <c r="B1842" t="s">
        <v>900</v>
      </c>
      <c r="C1842" t="s">
        <v>22</v>
      </c>
      <c r="D1842">
        <v>8</v>
      </c>
      <c r="E1842" t="s">
        <v>26</v>
      </c>
      <c r="F1842">
        <v>12</v>
      </c>
      <c r="G1842" t="s">
        <v>54</v>
      </c>
      <c r="H1842" t="s">
        <v>672</v>
      </c>
      <c r="I1842">
        <v>64</v>
      </c>
      <c r="J1842">
        <v>65</v>
      </c>
      <c r="K1842">
        <v>40</v>
      </c>
      <c r="L1842">
        <v>95</v>
      </c>
      <c r="M1842">
        <v>87</v>
      </c>
      <c r="N1842">
        <v>72</v>
      </c>
      <c r="O1842">
        <v>359</v>
      </c>
      <c r="P1842">
        <v>71.8</v>
      </c>
      <c r="Q1842" t="s">
        <v>40</v>
      </c>
      <c r="R1842" t="s">
        <v>27</v>
      </c>
      <c r="S1842">
        <v>1790</v>
      </c>
      <c r="T1842" t="s">
        <v>66</v>
      </c>
      <c r="U1842" t="str">
        <f t="shared" si="28"/>
        <v>Pass</v>
      </c>
    </row>
    <row r="1843" spans="1:21">
      <c r="A1843" t="s">
        <v>3179</v>
      </c>
      <c r="B1843" t="s">
        <v>628</v>
      </c>
      <c r="C1843" t="s">
        <v>37</v>
      </c>
      <c r="D1843">
        <v>6</v>
      </c>
      <c r="E1843" t="s">
        <v>26</v>
      </c>
      <c r="F1843">
        <v>10</v>
      </c>
      <c r="G1843" t="s">
        <v>38</v>
      </c>
      <c r="H1843" t="s">
        <v>1755</v>
      </c>
      <c r="I1843">
        <v>68</v>
      </c>
      <c r="J1843">
        <v>42</v>
      </c>
      <c r="K1843">
        <v>97</v>
      </c>
      <c r="L1843">
        <v>82</v>
      </c>
      <c r="M1843">
        <v>69</v>
      </c>
      <c r="N1843">
        <v>92</v>
      </c>
      <c r="O1843">
        <v>382</v>
      </c>
      <c r="P1843">
        <v>76.400000000000006</v>
      </c>
      <c r="Q1843" t="s">
        <v>40</v>
      </c>
      <c r="R1843" t="s">
        <v>41</v>
      </c>
      <c r="S1843">
        <v>4493</v>
      </c>
      <c r="T1843" t="s">
        <v>66</v>
      </c>
      <c r="U1843" t="str">
        <f t="shared" si="28"/>
        <v>Pass</v>
      </c>
    </row>
    <row r="1844" spans="1:21">
      <c r="A1844" t="s">
        <v>3180</v>
      </c>
      <c r="B1844" t="s">
        <v>190</v>
      </c>
      <c r="C1844" t="s">
        <v>22</v>
      </c>
      <c r="D1844">
        <v>12</v>
      </c>
      <c r="E1844" t="s">
        <v>23</v>
      </c>
      <c r="F1844">
        <v>18</v>
      </c>
      <c r="G1844" t="s">
        <v>58</v>
      </c>
      <c r="H1844" t="s">
        <v>2221</v>
      </c>
      <c r="I1844">
        <v>92</v>
      </c>
      <c r="J1844">
        <v>66</v>
      </c>
      <c r="K1844">
        <v>76</v>
      </c>
      <c r="L1844">
        <v>64</v>
      </c>
      <c r="M1844">
        <v>68</v>
      </c>
      <c r="N1844">
        <v>47</v>
      </c>
      <c r="O1844">
        <v>321</v>
      </c>
      <c r="P1844">
        <v>64.2</v>
      </c>
      <c r="Q1844" t="s">
        <v>26</v>
      </c>
      <c r="R1844" t="s">
        <v>27</v>
      </c>
      <c r="S1844">
        <v>2170</v>
      </c>
      <c r="T1844" t="s">
        <v>28</v>
      </c>
      <c r="U1844" t="str">
        <f t="shared" si="28"/>
        <v>Pass</v>
      </c>
    </row>
    <row r="1845" spans="1:21">
      <c r="A1845" t="s">
        <v>3181</v>
      </c>
      <c r="B1845" t="s">
        <v>295</v>
      </c>
      <c r="C1845" t="s">
        <v>37</v>
      </c>
      <c r="D1845">
        <v>1</v>
      </c>
      <c r="E1845" t="s">
        <v>47</v>
      </c>
      <c r="F1845">
        <v>6</v>
      </c>
      <c r="G1845" t="s">
        <v>38</v>
      </c>
      <c r="H1845" t="s">
        <v>3182</v>
      </c>
      <c r="I1845">
        <v>91</v>
      </c>
      <c r="J1845">
        <v>46</v>
      </c>
      <c r="K1845">
        <v>79</v>
      </c>
      <c r="L1845">
        <v>78</v>
      </c>
      <c r="M1845">
        <v>36</v>
      </c>
      <c r="N1845">
        <v>96</v>
      </c>
      <c r="O1845">
        <v>335</v>
      </c>
      <c r="P1845">
        <v>67</v>
      </c>
      <c r="Q1845" t="s">
        <v>26</v>
      </c>
      <c r="R1845" t="s">
        <v>27</v>
      </c>
      <c r="S1845">
        <v>2409</v>
      </c>
      <c r="T1845" t="s">
        <v>48</v>
      </c>
      <c r="U1845" t="str">
        <f t="shared" si="28"/>
        <v>Pass</v>
      </c>
    </row>
    <row r="1846" spans="1:21">
      <c r="A1846" t="s">
        <v>3183</v>
      </c>
      <c r="B1846" t="s">
        <v>982</v>
      </c>
      <c r="C1846" t="s">
        <v>37</v>
      </c>
      <c r="D1846">
        <v>5</v>
      </c>
      <c r="E1846" t="s">
        <v>31</v>
      </c>
      <c r="F1846">
        <v>10</v>
      </c>
      <c r="G1846" t="s">
        <v>58</v>
      </c>
      <c r="H1846" t="s">
        <v>3072</v>
      </c>
      <c r="I1846">
        <v>65</v>
      </c>
      <c r="J1846">
        <v>72</v>
      </c>
      <c r="K1846">
        <v>62</v>
      </c>
      <c r="L1846">
        <v>86</v>
      </c>
      <c r="M1846">
        <v>59</v>
      </c>
      <c r="N1846">
        <v>51</v>
      </c>
      <c r="O1846">
        <v>330</v>
      </c>
      <c r="P1846">
        <v>66</v>
      </c>
      <c r="Q1846" t="s">
        <v>26</v>
      </c>
      <c r="R1846" t="s">
        <v>27</v>
      </c>
      <c r="S1846">
        <v>3169</v>
      </c>
      <c r="T1846" t="s">
        <v>42</v>
      </c>
      <c r="U1846" t="str">
        <f t="shared" si="28"/>
        <v>Pass</v>
      </c>
    </row>
    <row r="1847" spans="1:21">
      <c r="A1847" t="s">
        <v>3184</v>
      </c>
      <c r="B1847" t="s">
        <v>448</v>
      </c>
      <c r="C1847" t="s">
        <v>37</v>
      </c>
      <c r="D1847">
        <v>10</v>
      </c>
      <c r="E1847" t="s">
        <v>31</v>
      </c>
      <c r="F1847">
        <v>15</v>
      </c>
      <c r="G1847" t="s">
        <v>58</v>
      </c>
      <c r="H1847" t="s">
        <v>3185</v>
      </c>
      <c r="I1847">
        <v>86</v>
      </c>
      <c r="J1847">
        <v>76</v>
      </c>
      <c r="K1847">
        <v>90</v>
      </c>
      <c r="L1847">
        <v>39</v>
      </c>
      <c r="M1847">
        <v>62</v>
      </c>
      <c r="N1847">
        <v>96</v>
      </c>
      <c r="O1847">
        <v>363</v>
      </c>
      <c r="P1847">
        <v>72.599999999999994</v>
      </c>
      <c r="Q1847" t="s">
        <v>40</v>
      </c>
      <c r="R1847" t="s">
        <v>41</v>
      </c>
      <c r="S1847">
        <v>2850</v>
      </c>
      <c r="T1847" t="s">
        <v>66</v>
      </c>
      <c r="U1847" t="str">
        <f t="shared" si="28"/>
        <v>Pass</v>
      </c>
    </row>
    <row r="1848" spans="1:21">
      <c r="A1848" t="s">
        <v>3186</v>
      </c>
      <c r="B1848" t="s">
        <v>118</v>
      </c>
      <c r="C1848" t="s">
        <v>22</v>
      </c>
      <c r="D1848">
        <v>3</v>
      </c>
      <c r="E1848" t="s">
        <v>26</v>
      </c>
      <c r="F1848">
        <v>8</v>
      </c>
      <c r="G1848" t="s">
        <v>38</v>
      </c>
      <c r="H1848" t="s">
        <v>2731</v>
      </c>
      <c r="I1848">
        <v>87</v>
      </c>
      <c r="J1848">
        <v>99</v>
      </c>
      <c r="K1848">
        <v>38</v>
      </c>
      <c r="L1848">
        <v>95</v>
      </c>
      <c r="M1848">
        <v>96</v>
      </c>
      <c r="N1848">
        <v>94</v>
      </c>
      <c r="O1848">
        <v>422</v>
      </c>
      <c r="P1848">
        <v>84.4</v>
      </c>
      <c r="Q1848" t="s">
        <v>47</v>
      </c>
      <c r="R1848" t="s">
        <v>27</v>
      </c>
      <c r="S1848">
        <v>2693</v>
      </c>
      <c r="T1848" t="s">
        <v>28</v>
      </c>
      <c r="U1848" t="str">
        <f t="shared" si="28"/>
        <v>Pass</v>
      </c>
    </row>
    <row r="1849" spans="1:21">
      <c r="A1849" t="s">
        <v>3187</v>
      </c>
      <c r="B1849" t="s">
        <v>193</v>
      </c>
      <c r="C1849" t="s">
        <v>22</v>
      </c>
      <c r="D1849">
        <v>8</v>
      </c>
      <c r="E1849" t="s">
        <v>47</v>
      </c>
      <c r="F1849">
        <v>14</v>
      </c>
      <c r="G1849" t="s">
        <v>58</v>
      </c>
      <c r="H1849" t="s">
        <v>1315</v>
      </c>
      <c r="I1849">
        <v>89</v>
      </c>
      <c r="J1849">
        <v>66</v>
      </c>
      <c r="K1849">
        <v>81</v>
      </c>
      <c r="L1849">
        <v>69</v>
      </c>
      <c r="M1849">
        <v>78</v>
      </c>
      <c r="N1849">
        <v>71</v>
      </c>
      <c r="O1849">
        <v>365</v>
      </c>
      <c r="P1849">
        <v>73</v>
      </c>
      <c r="Q1849" t="s">
        <v>40</v>
      </c>
      <c r="R1849" t="s">
        <v>27</v>
      </c>
      <c r="S1849">
        <v>3976</v>
      </c>
      <c r="T1849" t="s">
        <v>66</v>
      </c>
      <c r="U1849" t="str">
        <f t="shared" si="28"/>
        <v>Pass</v>
      </c>
    </row>
    <row r="1850" spans="1:21">
      <c r="A1850" t="s">
        <v>3188</v>
      </c>
      <c r="B1850" t="s">
        <v>1234</v>
      </c>
      <c r="C1850" t="s">
        <v>37</v>
      </c>
      <c r="D1850">
        <v>5</v>
      </c>
      <c r="E1850" t="s">
        <v>23</v>
      </c>
      <c r="F1850">
        <v>10</v>
      </c>
      <c r="G1850" t="s">
        <v>45</v>
      </c>
      <c r="H1850" t="s">
        <v>182</v>
      </c>
      <c r="I1850">
        <v>97</v>
      </c>
      <c r="J1850">
        <v>78</v>
      </c>
      <c r="K1850">
        <v>87</v>
      </c>
      <c r="L1850">
        <v>92</v>
      </c>
      <c r="M1850">
        <v>88</v>
      </c>
      <c r="N1850">
        <v>91</v>
      </c>
      <c r="O1850">
        <v>436</v>
      </c>
      <c r="P1850">
        <v>87.2</v>
      </c>
      <c r="Q1850" t="s">
        <v>47</v>
      </c>
      <c r="R1850" t="s">
        <v>27</v>
      </c>
      <c r="S1850">
        <v>2373</v>
      </c>
      <c r="T1850" t="s">
        <v>70</v>
      </c>
      <c r="U1850" t="str">
        <f t="shared" si="28"/>
        <v>Pass</v>
      </c>
    </row>
    <row r="1851" spans="1:21">
      <c r="A1851" t="s">
        <v>3189</v>
      </c>
      <c r="B1851" t="s">
        <v>1281</v>
      </c>
      <c r="C1851" t="s">
        <v>22</v>
      </c>
      <c r="D1851">
        <v>2</v>
      </c>
      <c r="E1851" t="s">
        <v>47</v>
      </c>
      <c r="F1851">
        <v>6</v>
      </c>
      <c r="G1851" t="s">
        <v>64</v>
      </c>
      <c r="H1851" t="s">
        <v>3190</v>
      </c>
      <c r="I1851">
        <v>74</v>
      </c>
      <c r="J1851">
        <v>70</v>
      </c>
      <c r="K1851">
        <v>42</v>
      </c>
      <c r="L1851">
        <v>86</v>
      </c>
      <c r="M1851">
        <v>84</v>
      </c>
      <c r="N1851">
        <v>73</v>
      </c>
      <c r="O1851">
        <v>355</v>
      </c>
      <c r="P1851">
        <v>71</v>
      </c>
      <c r="Q1851" t="s">
        <v>40</v>
      </c>
      <c r="R1851" t="s">
        <v>27</v>
      </c>
      <c r="S1851">
        <v>3669</v>
      </c>
      <c r="T1851" t="s">
        <v>66</v>
      </c>
      <c r="U1851" t="str">
        <f t="shared" si="28"/>
        <v>Pass</v>
      </c>
    </row>
    <row r="1852" spans="1:21">
      <c r="A1852" t="s">
        <v>3191</v>
      </c>
      <c r="B1852" t="s">
        <v>280</v>
      </c>
      <c r="C1852" t="s">
        <v>22</v>
      </c>
      <c r="D1852">
        <v>7</v>
      </c>
      <c r="E1852" t="s">
        <v>26</v>
      </c>
      <c r="F1852">
        <v>11</v>
      </c>
      <c r="G1852" t="s">
        <v>58</v>
      </c>
      <c r="H1852" t="s">
        <v>3192</v>
      </c>
      <c r="I1852">
        <v>97</v>
      </c>
      <c r="J1852">
        <v>95</v>
      </c>
      <c r="K1852">
        <v>82</v>
      </c>
      <c r="L1852">
        <v>45</v>
      </c>
      <c r="M1852">
        <v>62</v>
      </c>
      <c r="N1852">
        <v>47</v>
      </c>
      <c r="O1852">
        <v>331</v>
      </c>
      <c r="P1852">
        <v>66.2</v>
      </c>
      <c r="Q1852" t="s">
        <v>26</v>
      </c>
      <c r="R1852" t="s">
        <v>41</v>
      </c>
      <c r="S1852">
        <v>1700</v>
      </c>
      <c r="T1852" t="s">
        <v>42</v>
      </c>
      <c r="U1852" t="str">
        <f t="shared" si="28"/>
        <v>Pass</v>
      </c>
    </row>
    <row r="1853" spans="1:21">
      <c r="A1853" t="s">
        <v>3193</v>
      </c>
      <c r="B1853" t="s">
        <v>107</v>
      </c>
      <c r="C1853" t="s">
        <v>37</v>
      </c>
      <c r="D1853">
        <v>2</v>
      </c>
      <c r="E1853" t="s">
        <v>26</v>
      </c>
      <c r="F1853">
        <v>6</v>
      </c>
      <c r="G1853" t="s">
        <v>54</v>
      </c>
      <c r="H1853" t="s">
        <v>3194</v>
      </c>
      <c r="I1853">
        <v>79</v>
      </c>
      <c r="J1853">
        <v>59</v>
      </c>
      <c r="K1853">
        <v>62</v>
      </c>
      <c r="L1853">
        <v>66</v>
      </c>
      <c r="M1853">
        <v>73</v>
      </c>
      <c r="N1853">
        <v>48</v>
      </c>
      <c r="O1853">
        <v>308</v>
      </c>
      <c r="P1853">
        <v>61.6</v>
      </c>
      <c r="Q1853" t="s">
        <v>26</v>
      </c>
      <c r="R1853" t="s">
        <v>41</v>
      </c>
      <c r="S1853">
        <v>2319</v>
      </c>
      <c r="T1853" t="s">
        <v>34</v>
      </c>
      <c r="U1853" t="str">
        <f t="shared" si="28"/>
        <v>Pass</v>
      </c>
    </row>
    <row r="1854" spans="1:21">
      <c r="A1854" t="s">
        <v>3195</v>
      </c>
      <c r="B1854" t="s">
        <v>53</v>
      </c>
      <c r="C1854" t="s">
        <v>37</v>
      </c>
      <c r="D1854">
        <v>4</v>
      </c>
      <c r="E1854" t="s">
        <v>47</v>
      </c>
      <c r="F1854">
        <v>9</v>
      </c>
      <c r="G1854" t="s">
        <v>58</v>
      </c>
      <c r="H1854" t="s">
        <v>3196</v>
      </c>
      <c r="I1854">
        <v>67</v>
      </c>
      <c r="J1854">
        <v>66</v>
      </c>
      <c r="K1854">
        <v>61</v>
      </c>
      <c r="L1854">
        <v>66</v>
      </c>
      <c r="M1854">
        <v>82</v>
      </c>
      <c r="N1854">
        <v>97</v>
      </c>
      <c r="O1854">
        <v>372</v>
      </c>
      <c r="P1854">
        <v>74.400000000000006</v>
      </c>
      <c r="Q1854" t="s">
        <v>40</v>
      </c>
      <c r="R1854" t="s">
        <v>41</v>
      </c>
      <c r="S1854">
        <v>2317</v>
      </c>
      <c r="T1854" t="s">
        <v>66</v>
      </c>
      <c r="U1854" t="str">
        <f t="shared" si="28"/>
        <v>Pass</v>
      </c>
    </row>
    <row r="1855" spans="1:21">
      <c r="A1855" t="s">
        <v>3197</v>
      </c>
      <c r="B1855" t="s">
        <v>165</v>
      </c>
      <c r="C1855" t="s">
        <v>22</v>
      </c>
      <c r="D1855">
        <v>5</v>
      </c>
      <c r="E1855" t="s">
        <v>47</v>
      </c>
      <c r="F1855">
        <v>11</v>
      </c>
      <c r="G1855" t="s">
        <v>58</v>
      </c>
      <c r="H1855" t="s">
        <v>2257</v>
      </c>
      <c r="I1855">
        <v>76</v>
      </c>
      <c r="J1855">
        <v>94</v>
      </c>
      <c r="K1855">
        <v>46</v>
      </c>
      <c r="L1855">
        <v>80</v>
      </c>
      <c r="M1855">
        <v>93</v>
      </c>
      <c r="N1855">
        <v>36</v>
      </c>
      <c r="O1855">
        <v>349</v>
      </c>
      <c r="P1855">
        <v>69.8</v>
      </c>
      <c r="Q1855" t="s">
        <v>26</v>
      </c>
      <c r="R1855" t="s">
        <v>27</v>
      </c>
      <c r="S1855">
        <v>2843</v>
      </c>
      <c r="T1855" t="s">
        <v>28</v>
      </c>
      <c r="U1855" t="str">
        <f t="shared" si="28"/>
        <v>Pass</v>
      </c>
    </row>
    <row r="1856" spans="1:21">
      <c r="A1856" t="s">
        <v>3198</v>
      </c>
      <c r="B1856" t="s">
        <v>326</v>
      </c>
      <c r="C1856" t="s">
        <v>22</v>
      </c>
      <c r="D1856">
        <v>5</v>
      </c>
      <c r="E1856" t="s">
        <v>26</v>
      </c>
      <c r="F1856">
        <v>11</v>
      </c>
      <c r="G1856" t="s">
        <v>58</v>
      </c>
      <c r="H1856" t="s">
        <v>1760</v>
      </c>
      <c r="I1856">
        <v>92</v>
      </c>
      <c r="J1856">
        <v>88</v>
      </c>
      <c r="K1856">
        <v>68</v>
      </c>
      <c r="L1856">
        <v>83</v>
      </c>
      <c r="M1856">
        <v>62</v>
      </c>
      <c r="N1856">
        <v>99</v>
      </c>
      <c r="O1856">
        <v>400</v>
      </c>
      <c r="P1856">
        <v>80</v>
      </c>
      <c r="Q1856" t="s">
        <v>47</v>
      </c>
      <c r="R1856" t="s">
        <v>27</v>
      </c>
      <c r="S1856">
        <v>3221</v>
      </c>
      <c r="T1856" t="s">
        <v>70</v>
      </c>
      <c r="U1856" t="str">
        <f t="shared" si="28"/>
        <v>Pass</v>
      </c>
    </row>
    <row r="1857" spans="1:21">
      <c r="A1857" t="s">
        <v>3199</v>
      </c>
      <c r="B1857" t="s">
        <v>408</v>
      </c>
      <c r="C1857" t="s">
        <v>22</v>
      </c>
      <c r="D1857">
        <v>8</v>
      </c>
      <c r="E1857" t="s">
        <v>23</v>
      </c>
      <c r="F1857">
        <v>14</v>
      </c>
      <c r="G1857" t="s">
        <v>38</v>
      </c>
      <c r="H1857" t="s">
        <v>2709</v>
      </c>
      <c r="I1857">
        <v>68</v>
      </c>
      <c r="J1857">
        <v>62</v>
      </c>
      <c r="K1857">
        <v>44</v>
      </c>
      <c r="L1857">
        <v>82</v>
      </c>
      <c r="M1857">
        <v>85</v>
      </c>
      <c r="N1857">
        <v>66</v>
      </c>
      <c r="O1857">
        <v>339</v>
      </c>
      <c r="P1857">
        <v>67.8</v>
      </c>
      <c r="Q1857" t="s">
        <v>26</v>
      </c>
      <c r="R1857" t="s">
        <v>27</v>
      </c>
      <c r="S1857">
        <v>4822</v>
      </c>
      <c r="T1857" t="s">
        <v>70</v>
      </c>
      <c r="U1857" t="str">
        <f t="shared" si="28"/>
        <v>Pass</v>
      </c>
    </row>
    <row r="1858" spans="1:21">
      <c r="A1858" t="s">
        <v>3200</v>
      </c>
      <c r="B1858" t="s">
        <v>678</v>
      </c>
      <c r="C1858" t="s">
        <v>22</v>
      </c>
      <c r="D1858">
        <v>1</v>
      </c>
      <c r="E1858" t="s">
        <v>26</v>
      </c>
      <c r="F1858">
        <v>7</v>
      </c>
      <c r="G1858" t="s">
        <v>38</v>
      </c>
      <c r="H1858" t="s">
        <v>1507</v>
      </c>
      <c r="I1858">
        <v>87</v>
      </c>
      <c r="J1858">
        <v>37</v>
      </c>
      <c r="K1858">
        <v>81</v>
      </c>
      <c r="L1858">
        <v>85</v>
      </c>
      <c r="M1858">
        <v>36</v>
      </c>
      <c r="N1858">
        <v>64</v>
      </c>
      <c r="O1858">
        <v>303</v>
      </c>
      <c r="P1858">
        <v>60.6</v>
      </c>
      <c r="Q1858" t="s">
        <v>26</v>
      </c>
      <c r="R1858" t="s">
        <v>27</v>
      </c>
      <c r="S1858">
        <v>4589</v>
      </c>
      <c r="T1858" t="s">
        <v>70</v>
      </c>
      <c r="U1858" t="str">
        <f t="shared" si="28"/>
        <v>Pass</v>
      </c>
    </row>
    <row r="1859" spans="1:21">
      <c r="A1859" t="s">
        <v>3201</v>
      </c>
      <c r="B1859" t="s">
        <v>1410</v>
      </c>
      <c r="C1859" t="s">
        <v>37</v>
      </c>
      <c r="D1859">
        <v>1</v>
      </c>
      <c r="E1859" t="s">
        <v>47</v>
      </c>
      <c r="F1859">
        <v>6</v>
      </c>
      <c r="G1859" t="s">
        <v>58</v>
      </c>
      <c r="H1859" t="s">
        <v>3202</v>
      </c>
      <c r="I1859">
        <v>81</v>
      </c>
      <c r="J1859">
        <v>72</v>
      </c>
      <c r="K1859">
        <v>58</v>
      </c>
      <c r="L1859">
        <v>96</v>
      </c>
      <c r="M1859">
        <v>81</v>
      </c>
      <c r="N1859">
        <v>55</v>
      </c>
      <c r="O1859">
        <v>362</v>
      </c>
      <c r="P1859">
        <v>72.400000000000006</v>
      </c>
      <c r="Q1859" t="s">
        <v>40</v>
      </c>
      <c r="R1859" t="s">
        <v>27</v>
      </c>
      <c r="S1859">
        <v>4300</v>
      </c>
      <c r="T1859" t="s">
        <v>34</v>
      </c>
      <c r="U1859" t="str">
        <f t="shared" ref="U1859:U1922" si="29">IF(P1859&gt;55,"Pass","Fail")</f>
        <v>Pass</v>
      </c>
    </row>
    <row r="1860" spans="1:21">
      <c r="A1860" t="s">
        <v>3203</v>
      </c>
      <c r="B1860" t="s">
        <v>305</v>
      </c>
      <c r="C1860" t="s">
        <v>37</v>
      </c>
      <c r="D1860">
        <v>7</v>
      </c>
      <c r="E1860" t="s">
        <v>26</v>
      </c>
      <c r="F1860">
        <v>12</v>
      </c>
      <c r="G1860" t="s">
        <v>64</v>
      </c>
      <c r="H1860" t="s">
        <v>653</v>
      </c>
      <c r="I1860">
        <v>88</v>
      </c>
      <c r="J1860">
        <v>83</v>
      </c>
      <c r="K1860">
        <v>73</v>
      </c>
      <c r="L1860">
        <v>85</v>
      </c>
      <c r="M1860">
        <v>85</v>
      </c>
      <c r="N1860">
        <v>43</v>
      </c>
      <c r="O1860">
        <v>369</v>
      </c>
      <c r="P1860">
        <v>73.8</v>
      </c>
      <c r="Q1860" t="s">
        <v>40</v>
      </c>
      <c r="R1860" t="s">
        <v>27</v>
      </c>
      <c r="S1860">
        <v>2535</v>
      </c>
      <c r="T1860" t="s">
        <v>66</v>
      </c>
      <c r="U1860" t="str">
        <f t="shared" si="29"/>
        <v>Pass</v>
      </c>
    </row>
    <row r="1861" spans="1:21">
      <c r="A1861" t="s">
        <v>3204</v>
      </c>
      <c r="B1861" t="s">
        <v>343</v>
      </c>
      <c r="C1861" t="s">
        <v>22</v>
      </c>
      <c r="D1861">
        <v>7</v>
      </c>
      <c r="E1861" t="s">
        <v>26</v>
      </c>
      <c r="F1861">
        <v>11</v>
      </c>
      <c r="G1861" t="s">
        <v>54</v>
      </c>
      <c r="H1861" t="s">
        <v>217</v>
      </c>
      <c r="I1861">
        <v>91</v>
      </c>
      <c r="J1861">
        <v>71</v>
      </c>
      <c r="K1861">
        <v>42</v>
      </c>
      <c r="L1861">
        <v>63</v>
      </c>
      <c r="M1861">
        <v>72</v>
      </c>
      <c r="N1861">
        <v>48</v>
      </c>
      <c r="O1861">
        <v>296</v>
      </c>
      <c r="P1861">
        <v>59.2</v>
      </c>
      <c r="Q1861" t="s">
        <v>31</v>
      </c>
      <c r="R1861" t="s">
        <v>41</v>
      </c>
      <c r="S1861">
        <v>3434</v>
      </c>
      <c r="T1861" t="s">
        <v>34</v>
      </c>
      <c r="U1861" t="str">
        <f t="shared" si="29"/>
        <v>Pass</v>
      </c>
    </row>
    <row r="1862" spans="1:21">
      <c r="A1862" t="s">
        <v>3205</v>
      </c>
      <c r="B1862" t="s">
        <v>798</v>
      </c>
      <c r="C1862" t="s">
        <v>37</v>
      </c>
      <c r="D1862">
        <v>1</v>
      </c>
      <c r="E1862" t="s">
        <v>31</v>
      </c>
      <c r="F1862">
        <v>6</v>
      </c>
      <c r="G1862" t="s">
        <v>58</v>
      </c>
      <c r="H1862" t="s">
        <v>1384</v>
      </c>
      <c r="I1862">
        <v>96</v>
      </c>
      <c r="J1862">
        <v>57</v>
      </c>
      <c r="K1862">
        <v>40</v>
      </c>
      <c r="L1862">
        <v>68</v>
      </c>
      <c r="M1862">
        <v>51</v>
      </c>
      <c r="N1862">
        <v>83</v>
      </c>
      <c r="O1862">
        <v>299</v>
      </c>
      <c r="P1862">
        <v>59.8</v>
      </c>
      <c r="Q1862" t="s">
        <v>31</v>
      </c>
      <c r="R1862" t="s">
        <v>27</v>
      </c>
      <c r="S1862">
        <v>4473</v>
      </c>
      <c r="T1862" t="s">
        <v>66</v>
      </c>
      <c r="U1862" t="str">
        <f t="shared" si="29"/>
        <v>Pass</v>
      </c>
    </row>
    <row r="1863" spans="1:21">
      <c r="A1863" t="s">
        <v>3206</v>
      </c>
      <c r="B1863" t="s">
        <v>280</v>
      </c>
      <c r="C1863" t="s">
        <v>37</v>
      </c>
      <c r="D1863">
        <v>9</v>
      </c>
      <c r="E1863" t="s">
        <v>31</v>
      </c>
      <c r="F1863">
        <v>14</v>
      </c>
      <c r="G1863" t="s">
        <v>24</v>
      </c>
      <c r="H1863" t="s">
        <v>780</v>
      </c>
      <c r="I1863">
        <v>65</v>
      </c>
      <c r="J1863">
        <v>62</v>
      </c>
      <c r="K1863">
        <v>84</v>
      </c>
      <c r="L1863">
        <v>86</v>
      </c>
      <c r="M1863">
        <v>71</v>
      </c>
      <c r="N1863">
        <v>65</v>
      </c>
      <c r="O1863">
        <v>368</v>
      </c>
      <c r="P1863">
        <v>73.599999999999994</v>
      </c>
      <c r="Q1863" t="s">
        <v>40</v>
      </c>
      <c r="R1863" t="s">
        <v>27</v>
      </c>
      <c r="S1863">
        <v>4167</v>
      </c>
      <c r="T1863" t="s">
        <v>28</v>
      </c>
      <c r="U1863" t="str">
        <f t="shared" si="29"/>
        <v>Pass</v>
      </c>
    </row>
    <row r="1864" spans="1:21">
      <c r="A1864" t="s">
        <v>3207</v>
      </c>
      <c r="B1864" t="s">
        <v>50</v>
      </c>
      <c r="C1864" t="s">
        <v>22</v>
      </c>
      <c r="D1864">
        <v>11</v>
      </c>
      <c r="E1864" t="s">
        <v>31</v>
      </c>
      <c r="F1864">
        <v>16</v>
      </c>
      <c r="G1864" t="s">
        <v>38</v>
      </c>
      <c r="H1864" t="s">
        <v>2645</v>
      </c>
      <c r="I1864">
        <v>76</v>
      </c>
      <c r="J1864">
        <v>42</v>
      </c>
      <c r="K1864">
        <v>51</v>
      </c>
      <c r="L1864">
        <v>41</v>
      </c>
      <c r="M1864">
        <v>74</v>
      </c>
      <c r="N1864">
        <v>77</v>
      </c>
      <c r="O1864">
        <v>285</v>
      </c>
      <c r="P1864">
        <v>57</v>
      </c>
      <c r="Q1864" t="s">
        <v>31</v>
      </c>
      <c r="R1864" t="s">
        <v>41</v>
      </c>
      <c r="S1864">
        <v>1978</v>
      </c>
      <c r="T1864" t="s">
        <v>70</v>
      </c>
      <c r="U1864" t="str">
        <f t="shared" si="29"/>
        <v>Pass</v>
      </c>
    </row>
    <row r="1865" spans="1:21">
      <c r="A1865" t="s">
        <v>3208</v>
      </c>
      <c r="B1865" t="s">
        <v>140</v>
      </c>
      <c r="C1865" t="s">
        <v>22</v>
      </c>
      <c r="D1865">
        <v>10</v>
      </c>
      <c r="E1865" t="s">
        <v>26</v>
      </c>
      <c r="F1865">
        <v>14</v>
      </c>
      <c r="G1865" t="s">
        <v>45</v>
      </c>
      <c r="H1865" t="s">
        <v>1924</v>
      </c>
      <c r="I1865">
        <v>80</v>
      </c>
      <c r="J1865">
        <v>60</v>
      </c>
      <c r="K1865">
        <v>58</v>
      </c>
      <c r="L1865">
        <v>55</v>
      </c>
      <c r="M1865">
        <v>42</v>
      </c>
      <c r="N1865">
        <v>38</v>
      </c>
      <c r="O1865">
        <v>253</v>
      </c>
      <c r="P1865">
        <v>50.6</v>
      </c>
      <c r="Q1865" t="s">
        <v>31</v>
      </c>
      <c r="R1865" t="s">
        <v>27</v>
      </c>
      <c r="S1865">
        <v>1761</v>
      </c>
      <c r="T1865" t="s">
        <v>34</v>
      </c>
      <c r="U1865" t="str">
        <f t="shared" si="29"/>
        <v>Fail</v>
      </c>
    </row>
    <row r="1866" spans="1:21">
      <c r="A1866" t="s">
        <v>3209</v>
      </c>
      <c r="B1866" t="s">
        <v>75</v>
      </c>
      <c r="C1866" t="s">
        <v>22</v>
      </c>
      <c r="D1866">
        <v>7</v>
      </c>
      <c r="E1866" t="s">
        <v>23</v>
      </c>
      <c r="F1866">
        <v>12</v>
      </c>
      <c r="G1866" t="s">
        <v>24</v>
      </c>
      <c r="H1866" t="s">
        <v>3210</v>
      </c>
      <c r="I1866">
        <v>73</v>
      </c>
      <c r="J1866">
        <v>61</v>
      </c>
      <c r="K1866">
        <v>77</v>
      </c>
      <c r="L1866">
        <v>70</v>
      </c>
      <c r="M1866">
        <v>77</v>
      </c>
      <c r="N1866">
        <v>77</v>
      </c>
      <c r="O1866">
        <v>362</v>
      </c>
      <c r="P1866">
        <v>72.400000000000006</v>
      </c>
      <c r="Q1866" t="s">
        <v>40</v>
      </c>
      <c r="R1866" t="s">
        <v>27</v>
      </c>
      <c r="S1866">
        <v>3057</v>
      </c>
      <c r="T1866" t="s">
        <v>70</v>
      </c>
      <c r="U1866" t="str">
        <f t="shared" si="29"/>
        <v>Pass</v>
      </c>
    </row>
    <row r="1867" spans="1:21">
      <c r="A1867" t="s">
        <v>3211</v>
      </c>
      <c r="B1867" t="s">
        <v>36</v>
      </c>
      <c r="C1867" t="s">
        <v>37</v>
      </c>
      <c r="D1867">
        <v>8</v>
      </c>
      <c r="E1867" t="s">
        <v>47</v>
      </c>
      <c r="F1867">
        <v>13</v>
      </c>
      <c r="G1867" t="s">
        <v>54</v>
      </c>
      <c r="H1867" t="s">
        <v>3212</v>
      </c>
      <c r="I1867">
        <v>90</v>
      </c>
      <c r="J1867">
        <v>58</v>
      </c>
      <c r="K1867">
        <v>68</v>
      </c>
      <c r="L1867">
        <v>92</v>
      </c>
      <c r="M1867">
        <v>91</v>
      </c>
      <c r="N1867">
        <v>58</v>
      </c>
      <c r="O1867">
        <v>367</v>
      </c>
      <c r="P1867">
        <v>73.400000000000006</v>
      </c>
      <c r="Q1867" t="s">
        <v>40</v>
      </c>
      <c r="R1867" t="s">
        <v>41</v>
      </c>
      <c r="S1867">
        <v>3885</v>
      </c>
      <c r="T1867" t="s">
        <v>66</v>
      </c>
      <c r="U1867" t="str">
        <f t="shared" si="29"/>
        <v>Pass</v>
      </c>
    </row>
    <row r="1868" spans="1:21">
      <c r="A1868" t="s">
        <v>3213</v>
      </c>
      <c r="B1868" t="s">
        <v>607</v>
      </c>
      <c r="C1868" t="s">
        <v>37</v>
      </c>
      <c r="D1868">
        <v>3</v>
      </c>
      <c r="E1868" t="s">
        <v>31</v>
      </c>
      <c r="F1868">
        <v>9</v>
      </c>
      <c r="G1868" t="s">
        <v>54</v>
      </c>
      <c r="H1868" t="s">
        <v>1230</v>
      </c>
      <c r="I1868">
        <v>75</v>
      </c>
      <c r="J1868">
        <v>67</v>
      </c>
      <c r="K1868">
        <v>71</v>
      </c>
      <c r="L1868">
        <v>65</v>
      </c>
      <c r="M1868">
        <v>97</v>
      </c>
      <c r="N1868">
        <v>79</v>
      </c>
      <c r="O1868">
        <v>379</v>
      </c>
      <c r="P1868">
        <v>75.8</v>
      </c>
      <c r="Q1868" t="s">
        <v>40</v>
      </c>
      <c r="R1868" t="s">
        <v>27</v>
      </c>
      <c r="S1868">
        <v>2710</v>
      </c>
      <c r="T1868" t="s">
        <v>28</v>
      </c>
      <c r="U1868" t="str">
        <f t="shared" si="29"/>
        <v>Pass</v>
      </c>
    </row>
    <row r="1869" spans="1:21">
      <c r="A1869" t="s">
        <v>3214</v>
      </c>
      <c r="B1869" t="s">
        <v>607</v>
      </c>
      <c r="C1869" t="s">
        <v>22</v>
      </c>
      <c r="D1869">
        <v>5</v>
      </c>
      <c r="E1869" t="s">
        <v>26</v>
      </c>
      <c r="F1869">
        <v>9</v>
      </c>
      <c r="G1869" t="s">
        <v>38</v>
      </c>
      <c r="H1869" t="s">
        <v>1573</v>
      </c>
      <c r="I1869">
        <v>99</v>
      </c>
      <c r="J1869">
        <v>97</v>
      </c>
      <c r="K1869">
        <v>37</v>
      </c>
      <c r="L1869">
        <v>73</v>
      </c>
      <c r="M1869">
        <v>57</v>
      </c>
      <c r="N1869">
        <v>67</v>
      </c>
      <c r="O1869">
        <v>331</v>
      </c>
      <c r="P1869">
        <v>66.2</v>
      </c>
      <c r="Q1869" t="s">
        <v>26</v>
      </c>
      <c r="R1869" t="s">
        <v>27</v>
      </c>
      <c r="S1869">
        <v>3506</v>
      </c>
      <c r="T1869" t="s">
        <v>42</v>
      </c>
      <c r="U1869" t="str">
        <f t="shared" si="29"/>
        <v>Pass</v>
      </c>
    </row>
    <row r="1870" spans="1:21">
      <c r="A1870" t="s">
        <v>3215</v>
      </c>
      <c r="B1870" t="s">
        <v>148</v>
      </c>
      <c r="C1870" t="s">
        <v>22</v>
      </c>
      <c r="D1870">
        <v>2</v>
      </c>
      <c r="E1870" t="s">
        <v>47</v>
      </c>
      <c r="F1870">
        <v>8</v>
      </c>
      <c r="G1870" t="s">
        <v>45</v>
      </c>
      <c r="H1870" t="s">
        <v>2594</v>
      </c>
      <c r="I1870">
        <v>76</v>
      </c>
      <c r="J1870">
        <v>38</v>
      </c>
      <c r="K1870">
        <v>56</v>
      </c>
      <c r="L1870">
        <v>36</v>
      </c>
      <c r="M1870">
        <v>84</v>
      </c>
      <c r="N1870">
        <v>47</v>
      </c>
      <c r="O1870">
        <v>261</v>
      </c>
      <c r="P1870">
        <v>52.2</v>
      </c>
      <c r="Q1870" t="s">
        <v>31</v>
      </c>
      <c r="R1870" t="s">
        <v>41</v>
      </c>
      <c r="S1870">
        <v>1783</v>
      </c>
      <c r="T1870" t="s">
        <v>70</v>
      </c>
      <c r="U1870" t="str">
        <f t="shared" si="29"/>
        <v>Fail</v>
      </c>
    </row>
    <row r="1871" spans="1:21">
      <c r="A1871" t="s">
        <v>3216</v>
      </c>
      <c r="B1871" t="s">
        <v>140</v>
      </c>
      <c r="C1871" t="s">
        <v>37</v>
      </c>
      <c r="D1871">
        <v>11</v>
      </c>
      <c r="E1871" t="s">
        <v>31</v>
      </c>
      <c r="F1871">
        <v>15</v>
      </c>
      <c r="G1871" t="s">
        <v>38</v>
      </c>
      <c r="H1871" t="s">
        <v>163</v>
      </c>
      <c r="I1871">
        <v>70</v>
      </c>
      <c r="J1871">
        <v>48</v>
      </c>
      <c r="K1871">
        <v>99</v>
      </c>
      <c r="L1871">
        <v>55</v>
      </c>
      <c r="M1871">
        <v>39</v>
      </c>
      <c r="N1871">
        <v>45</v>
      </c>
      <c r="O1871">
        <v>286</v>
      </c>
      <c r="P1871">
        <v>57.2</v>
      </c>
      <c r="Q1871" t="s">
        <v>31</v>
      </c>
      <c r="R1871" t="s">
        <v>27</v>
      </c>
      <c r="S1871">
        <v>2455</v>
      </c>
      <c r="T1871" t="s">
        <v>28</v>
      </c>
      <c r="U1871" t="str">
        <f t="shared" si="29"/>
        <v>Pass</v>
      </c>
    </row>
    <row r="1872" spans="1:21">
      <c r="A1872" t="s">
        <v>3217</v>
      </c>
      <c r="B1872" t="s">
        <v>1234</v>
      </c>
      <c r="C1872" t="s">
        <v>37</v>
      </c>
      <c r="D1872">
        <v>2</v>
      </c>
      <c r="E1872" t="s">
        <v>47</v>
      </c>
      <c r="F1872">
        <v>7</v>
      </c>
      <c r="G1872" t="s">
        <v>54</v>
      </c>
      <c r="H1872" t="s">
        <v>1186</v>
      </c>
      <c r="I1872">
        <v>80</v>
      </c>
      <c r="J1872">
        <v>95</v>
      </c>
      <c r="K1872">
        <v>71</v>
      </c>
      <c r="L1872">
        <v>94</v>
      </c>
      <c r="M1872">
        <v>73</v>
      </c>
      <c r="N1872">
        <v>54</v>
      </c>
      <c r="O1872">
        <v>387</v>
      </c>
      <c r="P1872">
        <v>77.400000000000006</v>
      </c>
      <c r="Q1872" t="s">
        <v>40</v>
      </c>
      <c r="R1872" t="s">
        <v>27</v>
      </c>
      <c r="S1872">
        <v>4754</v>
      </c>
      <c r="T1872" t="s">
        <v>34</v>
      </c>
      <c r="U1872" t="str">
        <f t="shared" si="29"/>
        <v>Pass</v>
      </c>
    </row>
    <row r="1873" spans="1:21">
      <c r="A1873" t="s">
        <v>3218</v>
      </c>
      <c r="B1873" t="s">
        <v>544</v>
      </c>
      <c r="C1873" t="s">
        <v>37</v>
      </c>
      <c r="D1873">
        <v>1</v>
      </c>
      <c r="E1873" t="s">
        <v>26</v>
      </c>
      <c r="F1873">
        <v>7</v>
      </c>
      <c r="G1873" t="s">
        <v>38</v>
      </c>
      <c r="H1873" t="s">
        <v>2100</v>
      </c>
      <c r="I1873">
        <v>86</v>
      </c>
      <c r="J1873">
        <v>90</v>
      </c>
      <c r="K1873">
        <v>38</v>
      </c>
      <c r="L1873">
        <v>36</v>
      </c>
      <c r="M1873">
        <v>45</v>
      </c>
      <c r="N1873">
        <v>88</v>
      </c>
      <c r="O1873">
        <v>297</v>
      </c>
      <c r="P1873">
        <v>59.4</v>
      </c>
      <c r="Q1873" t="s">
        <v>31</v>
      </c>
      <c r="R1873" t="s">
        <v>41</v>
      </c>
      <c r="S1873">
        <v>1988</v>
      </c>
      <c r="T1873" t="s">
        <v>42</v>
      </c>
      <c r="U1873" t="str">
        <f t="shared" si="29"/>
        <v>Pass</v>
      </c>
    </row>
    <row r="1874" spans="1:21">
      <c r="A1874" t="s">
        <v>3219</v>
      </c>
      <c r="B1874" t="s">
        <v>126</v>
      </c>
      <c r="C1874" t="s">
        <v>22</v>
      </c>
      <c r="D1874">
        <v>3</v>
      </c>
      <c r="E1874" t="s">
        <v>47</v>
      </c>
      <c r="F1874">
        <v>7</v>
      </c>
      <c r="G1874" t="s">
        <v>45</v>
      </c>
      <c r="H1874" t="s">
        <v>753</v>
      </c>
      <c r="I1874">
        <v>99</v>
      </c>
      <c r="J1874">
        <v>69</v>
      </c>
      <c r="K1874">
        <v>93</v>
      </c>
      <c r="L1874">
        <v>67</v>
      </c>
      <c r="M1874">
        <v>99</v>
      </c>
      <c r="N1874">
        <v>65</v>
      </c>
      <c r="O1874">
        <v>393</v>
      </c>
      <c r="P1874">
        <v>78.599999999999994</v>
      </c>
      <c r="Q1874" t="s">
        <v>40</v>
      </c>
      <c r="R1874" t="s">
        <v>27</v>
      </c>
      <c r="S1874">
        <v>3086</v>
      </c>
      <c r="T1874" t="s">
        <v>28</v>
      </c>
      <c r="U1874" t="str">
        <f t="shared" si="29"/>
        <v>Pass</v>
      </c>
    </row>
    <row r="1875" spans="1:21">
      <c r="A1875" t="s">
        <v>3220</v>
      </c>
      <c r="B1875" t="s">
        <v>184</v>
      </c>
      <c r="C1875" t="s">
        <v>22</v>
      </c>
      <c r="D1875">
        <v>1</v>
      </c>
      <c r="E1875" t="s">
        <v>47</v>
      </c>
      <c r="F1875">
        <v>7</v>
      </c>
      <c r="G1875" t="s">
        <v>24</v>
      </c>
      <c r="H1875" t="s">
        <v>719</v>
      </c>
      <c r="I1875">
        <v>61</v>
      </c>
      <c r="J1875">
        <v>56</v>
      </c>
      <c r="K1875">
        <v>100</v>
      </c>
      <c r="L1875">
        <v>98</v>
      </c>
      <c r="M1875">
        <v>76</v>
      </c>
      <c r="N1875">
        <v>61</v>
      </c>
      <c r="O1875">
        <v>391</v>
      </c>
      <c r="P1875">
        <v>78.2</v>
      </c>
      <c r="Q1875" t="s">
        <v>40</v>
      </c>
      <c r="R1875" t="s">
        <v>27</v>
      </c>
      <c r="S1875">
        <v>4712</v>
      </c>
      <c r="T1875" t="s">
        <v>42</v>
      </c>
      <c r="U1875" t="str">
        <f t="shared" si="29"/>
        <v>Pass</v>
      </c>
    </row>
    <row r="1876" spans="1:21">
      <c r="A1876" t="s">
        <v>3221</v>
      </c>
      <c r="B1876" t="s">
        <v>1417</v>
      </c>
      <c r="C1876" t="s">
        <v>37</v>
      </c>
      <c r="D1876">
        <v>12</v>
      </c>
      <c r="E1876" t="s">
        <v>47</v>
      </c>
      <c r="F1876">
        <v>16</v>
      </c>
      <c r="G1876" t="s">
        <v>54</v>
      </c>
      <c r="H1876" t="s">
        <v>3222</v>
      </c>
      <c r="I1876">
        <v>61</v>
      </c>
      <c r="J1876">
        <v>62</v>
      </c>
      <c r="K1876">
        <v>55</v>
      </c>
      <c r="L1876">
        <v>38</v>
      </c>
      <c r="M1876">
        <v>66</v>
      </c>
      <c r="N1876">
        <v>80</v>
      </c>
      <c r="O1876">
        <v>301</v>
      </c>
      <c r="P1876">
        <v>60.2</v>
      </c>
      <c r="Q1876" t="s">
        <v>26</v>
      </c>
      <c r="R1876" t="s">
        <v>27</v>
      </c>
      <c r="S1876">
        <v>3496</v>
      </c>
      <c r="T1876" t="s">
        <v>70</v>
      </c>
      <c r="U1876" t="str">
        <f t="shared" si="29"/>
        <v>Pass</v>
      </c>
    </row>
    <row r="1877" spans="1:21">
      <c r="A1877" t="s">
        <v>3223</v>
      </c>
      <c r="B1877" t="s">
        <v>78</v>
      </c>
      <c r="C1877" t="s">
        <v>37</v>
      </c>
      <c r="D1877">
        <v>4</v>
      </c>
      <c r="E1877" t="s">
        <v>31</v>
      </c>
      <c r="F1877">
        <v>10</v>
      </c>
      <c r="G1877" t="s">
        <v>45</v>
      </c>
      <c r="H1877" t="s">
        <v>1220</v>
      </c>
      <c r="I1877">
        <v>90</v>
      </c>
      <c r="J1877">
        <v>54</v>
      </c>
      <c r="K1877">
        <v>46</v>
      </c>
      <c r="L1877">
        <v>65</v>
      </c>
      <c r="M1877">
        <v>52</v>
      </c>
      <c r="N1877">
        <v>37</v>
      </c>
      <c r="O1877">
        <v>254</v>
      </c>
      <c r="P1877">
        <v>50.8</v>
      </c>
      <c r="Q1877" t="s">
        <v>31</v>
      </c>
      <c r="R1877" t="s">
        <v>27</v>
      </c>
      <c r="S1877">
        <v>3353</v>
      </c>
      <c r="T1877" t="s">
        <v>70</v>
      </c>
      <c r="U1877" t="str">
        <f t="shared" si="29"/>
        <v>Fail</v>
      </c>
    </row>
    <row r="1878" spans="1:21">
      <c r="A1878" t="s">
        <v>3224</v>
      </c>
      <c r="B1878" t="s">
        <v>448</v>
      </c>
      <c r="C1878" t="s">
        <v>37</v>
      </c>
      <c r="D1878">
        <v>10</v>
      </c>
      <c r="E1878" t="s">
        <v>23</v>
      </c>
      <c r="F1878">
        <v>15</v>
      </c>
      <c r="G1878" t="s">
        <v>24</v>
      </c>
      <c r="H1878" t="s">
        <v>3007</v>
      </c>
      <c r="I1878">
        <v>71</v>
      </c>
      <c r="J1878">
        <v>69</v>
      </c>
      <c r="K1878">
        <v>71</v>
      </c>
      <c r="L1878">
        <v>49</v>
      </c>
      <c r="M1878">
        <v>61</v>
      </c>
      <c r="N1878">
        <v>87</v>
      </c>
      <c r="O1878">
        <v>337</v>
      </c>
      <c r="P1878">
        <v>67.400000000000006</v>
      </c>
      <c r="Q1878" t="s">
        <v>26</v>
      </c>
      <c r="R1878" t="s">
        <v>41</v>
      </c>
      <c r="S1878">
        <v>3238</v>
      </c>
      <c r="T1878" t="s">
        <v>66</v>
      </c>
      <c r="U1878" t="str">
        <f t="shared" si="29"/>
        <v>Pass</v>
      </c>
    </row>
    <row r="1879" spans="1:21">
      <c r="A1879" t="s">
        <v>3225</v>
      </c>
      <c r="B1879" t="s">
        <v>21</v>
      </c>
      <c r="C1879" t="s">
        <v>22</v>
      </c>
      <c r="D1879">
        <v>10</v>
      </c>
      <c r="E1879" t="s">
        <v>47</v>
      </c>
      <c r="F1879">
        <v>15</v>
      </c>
      <c r="G1879" t="s">
        <v>64</v>
      </c>
      <c r="H1879" t="s">
        <v>3226</v>
      </c>
      <c r="I1879">
        <v>94</v>
      </c>
      <c r="J1879">
        <v>84</v>
      </c>
      <c r="K1879">
        <v>37</v>
      </c>
      <c r="L1879">
        <v>79</v>
      </c>
      <c r="M1879">
        <v>79</v>
      </c>
      <c r="N1879">
        <v>72</v>
      </c>
      <c r="O1879">
        <v>351</v>
      </c>
      <c r="P1879">
        <v>70.2</v>
      </c>
      <c r="Q1879" t="s">
        <v>40</v>
      </c>
      <c r="R1879" t="s">
        <v>41</v>
      </c>
      <c r="S1879">
        <v>4226</v>
      </c>
      <c r="T1879" t="s">
        <v>48</v>
      </c>
      <c r="U1879" t="str">
        <f t="shared" si="29"/>
        <v>Pass</v>
      </c>
    </row>
    <row r="1880" spans="1:21">
      <c r="A1880" t="s">
        <v>3227</v>
      </c>
      <c r="B1880" t="s">
        <v>844</v>
      </c>
      <c r="C1880" t="s">
        <v>37</v>
      </c>
      <c r="D1880">
        <v>11</v>
      </c>
      <c r="E1880" t="s">
        <v>23</v>
      </c>
      <c r="F1880">
        <v>17</v>
      </c>
      <c r="G1880" t="s">
        <v>32</v>
      </c>
      <c r="H1880" t="s">
        <v>1439</v>
      </c>
      <c r="I1880">
        <v>74</v>
      </c>
      <c r="J1880">
        <v>96</v>
      </c>
      <c r="K1880">
        <v>99</v>
      </c>
      <c r="L1880">
        <v>76</v>
      </c>
      <c r="M1880">
        <v>53</v>
      </c>
      <c r="N1880">
        <v>62</v>
      </c>
      <c r="O1880">
        <v>386</v>
      </c>
      <c r="P1880">
        <v>77.2</v>
      </c>
      <c r="Q1880" t="s">
        <v>40</v>
      </c>
      <c r="R1880" t="s">
        <v>27</v>
      </c>
      <c r="S1880">
        <v>1809</v>
      </c>
      <c r="T1880" t="s">
        <v>28</v>
      </c>
      <c r="U1880" t="str">
        <f t="shared" si="29"/>
        <v>Pass</v>
      </c>
    </row>
    <row r="1881" spans="1:21">
      <c r="A1881" t="s">
        <v>3228</v>
      </c>
      <c r="B1881" t="s">
        <v>131</v>
      </c>
      <c r="C1881" t="s">
        <v>22</v>
      </c>
      <c r="D1881">
        <v>4</v>
      </c>
      <c r="E1881" t="s">
        <v>26</v>
      </c>
      <c r="F1881">
        <v>10</v>
      </c>
      <c r="G1881" t="s">
        <v>58</v>
      </c>
      <c r="H1881" t="s">
        <v>3194</v>
      </c>
      <c r="I1881">
        <v>82</v>
      </c>
      <c r="J1881">
        <v>59</v>
      </c>
      <c r="K1881">
        <v>40</v>
      </c>
      <c r="L1881">
        <v>58</v>
      </c>
      <c r="M1881">
        <v>58</v>
      </c>
      <c r="N1881">
        <v>61</v>
      </c>
      <c r="O1881">
        <v>276</v>
      </c>
      <c r="P1881">
        <v>55.2</v>
      </c>
      <c r="Q1881" t="s">
        <v>31</v>
      </c>
      <c r="R1881" t="s">
        <v>27</v>
      </c>
      <c r="S1881">
        <v>1982</v>
      </c>
      <c r="T1881" t="s">
        <v>42</v>
      </c>
      <c r="U1881" t="str">
        <f t="shared" si="29"/>
        <v>Pass</v>
      </c>
    </row>
    <row r="1882" spans="1:21">
      <c r="A1882" t="s">
        <v>3229</v>
      </c>
      <c r="B1882" t="s">
        <v>622</v>
      </c>
      <c r="C1882" t="s">
        <v>37</v>
      </c>
      <c r="D1882">
        <v>8</v>
      </c>
      <c r="E1882" t="s">
        <v>31</v>
      </c>
      <c r="F1882">
        <v>14</v>
      </c>
      <c r="G1882" t="s">
        <v>58</v>
      </c>
      <c r="H1882" t="s">
        <v>3080</v>
      </c>
      <c r="I1882">
        <v>86</v>
      </c>
      <c r="J1882">
        <v>96</v>
      </c>
      <c r="K1882">
        <v>69</v>
      </c>
      <c r="L1882">
        <v>48</v>
      </c>
      <c r="M1882">
        <v>62</v>
      </c>
      <c r="N1882">
        <v>45</v>
      </c>
      <c r="O1882">
        <v>320</v>
      </c>
      <c r="P1882">
        <v>64</v>
      </c>
      <c r="Q1882" t="s">
        <v>26</v>
      </c>
      <c r="R1882" t="s">
        <v>27</v>
      </c>
      <c r="S1882">
        <v>3310</v>
      </c>
      <c r="T1882" t="s">
        <v>34</v>
      </c>
      <c r="U1882" t="str">
        <f t="shared" si="29"/>
        <v>Pass</v>
      </c>
    </row>
    <row r="1883" spans="1:21">
      <c r="A1883" t="s">
        <v>3230</v>
      </c>
      <c r="B1883" t="s">
        <v>258</v>
      </c>
      <c r="C1883" t="s">
        <v>22</v>
      </c>
      <c r="D1883">
        <v>3</v>
      </c>
      <c r="E1883" t="s">
        <v>26</v>
      </c>
      <c r="F1883">
        <v>7</v>
      </c>
      <c r="G1883" t="s">
        <v>32</v>
      </c>
      <c r="H1883" t="s">
        <v>2546</v>
      </c>
      <c r="I1883">
        <v>93</v>
      </c>
      <c r="J1883">
        <v>50</v>
      </c>
      <c r="K1883">
        <v>50</v>
      </c>
      <c r="L1883">
        <v>41</v>
      </c>
      <c r="M1883">
        <v>65</v>
      </c>
      <c r="N1883">
        <v>72</v>
      </c>
      <c r="O1883">
        <v>278</v>
      </c>
      <c r="P1883">
        <v>55.6</v>
      </c>
      <c r="Q1883" t="s">
        <v>31</v>
      </c>
      <c r="R1883" t="s">
        <v>27</v>
      </c>
      <c r="S1883">
        <v>3471</v>
      </c>
      <c r="T1883" t="s">
        <v>48</v>
      </c>
      <c r="U1883" t="str">
        <f t="shared" si="29"/>
        <v>Pass</v>
      </c>
    </row>
    <row r="1884" spans="1:21">
      <c r="A1884" t="s">
        <v>3231</v>
      </c>
      <c r="B1884" t="s">
        <v>490</v>
      </c>
      <c r="C1884" t="s">
        <v>37</v>
      </c>
      <c r="D1884">
        <v>6</v>
      </c>
      <c r="E1884" t="s">
        <v>47</v>
      </c>
      <c r="F1884">
        <v>10</v>
      </c>
      <c r="G1884" t="s">
        <v>45</v>
      </c>
      <c r="H1884" t="s">
        <v>1446</v>
      </c>
      <c r="I1884">
        <v>89</v>
      </c>
      <c r="J1884">
        <v>45</v>
      </c>
      <c r="K1884">
        <v>78</v>
      </c>
      <c r="L1884">
        <v>42</v>
      </c>
      <c r="M1884">
        <v>51</v>
      </c>
      <c r="N1884">
        <v>97</v>
      </c>
      <c r="O1884">
        <v>313</v>
      </c>
      <c r="P1884">
        <v>62.6</v>
      </c>
      <c r="Q1884" t="s">
        <v>26</v>
      </c>
      <c r="R1884" t="s">
        <v>27</v>
      </c>
      <c r="S1884">
        <v>2842</v>
      </c>
      <c r="T1884" t="s">
        <v>42</v>
      </c>
      <c r="U1884" t="str">
        <f t="shared" si="29"/>
        <v>Pass</v>
      </c>
    </row>
    <row r="1885" spans="1:21">
      <c r="A1885" t="s">
        <v>3232</v>
      </c>
      <c r="B1885" t="s">
        <v>335</v>
      </c>
      <c r="C1885" t="s">
        <v>37</v>
      </c>
      <c r="D1885">
        <v>8</v>
      </c>
      <c r="E1885" t="s">
        <v>23</v>
      </c>
      <c r="F1885">
        <v>14</v>
      </c>
      <c r="G1885" t="s">
        <v>58</v>
      </c>
      <c r="H1885" t="s">
        <v>1282</v>
      </c>
      <c r="I1885">
        <v>62</v>
      </c>
      <c r="J1885">
        <v>44</v>
      </c>
      <c r="K1885">
        <v>59</v>
      </c>
      <c r="L1885">
        <v>40</v>
      </c>
      <c r="M1885">
        <v>50</v>
      </c>
      <c r="N1885">
        <v>53</v>
      </c>
      <c r="O1885">
        <v>246</v>
      </c>
      <c r="P1885">
        <v>49.2</v>
      </c>
      <c r="Q1885" t="s">
        <v>23</v>
      </c>
      <c r="R1885" t="s">
        <v>27</v>
      </c>
      <c r="S1885">
        <v>2069</v>
      </c>
      <c r="T1885" t="s">
        <v>48</v>
      </c>
      <c r="U1885" t="str">
        <f t="shared" si="29"/>
        <v>Fail</v>
      </c>
    </row>
    <row r="1886" spans="1:21">
      <c r="A1886" t="s">
        <v>3233</v>
      </c>
      <c r="B1886" t="s">
        <v>562</v>
      </c>
      <c r="C1886" t="s">
        <v>22</v>
      </c>
      <c r="D1886">
        <v>10</v>
      </c>
      <c r="E1886" t="s">
        <v>47</v>
      </c>
      <c r="F1886">
        <v>16</v>
      </c>
      <c r="G1886" t="s">
        <v>32</v>
      </c>
      <c r="H1886" t="s">
        <v>521</v>
      </c>
      <c r="I1886">
        <v>84</v>
      </c>
      <c r="J1886">
        <v>50</v>
      </c>
      <c r="K1886">
        <v>75</v>
      </c>
      <c r="L1886">
        <v>74</v>
      </c>
      <c r="M1886">
        <v>90</v>
      </c>
      <c r="N1886">
        <v>96</v>
      </c>
      <c r="O1886">
        <v>385</v>
      </c>
      <c r="P1886">
        <v>77</v>
      </c>
      <c r="Q1886" t="s">
        <v>40</v>
      </c>
      <c r="R1886" t="s">
        <v>27</v>
      </c>
      <c r="S1886">
        <v>2063</v>
      </c>
      <c r="T1886" t="s">
        <v>28</v>
      </c>
      <c r="U1886" t="str">
        <f t="shared" si="29"/>
        <v>Pass</v>
      </c>
    </row>
    <row r="1887" spans="1:21">
      <c r="A1887" t="s">
        <v>3234</v>
      </c>
      <c r="B1887" t="s">
        <v>439</v>
      </c>
      <c r="C1887" t="s">
        <v>37</v>
      </c>
      <c r="D1887">
        <v>8</v>
      </c>
      <c r="E1887" t="s">
        <v>26</v>
      </c>
      <c r="F1887">
        <v>12</v>
      </c>
      <c r="G1887" t="s">
        <v>38</v>
      </c>
      <c r="H1887" t="s">
        <v>3235</v>
      </c>
      <c r="I1887">
        <v>87</v>
      </c>
      <c r="J1887">
        <v>88</v>
      </c>
      <c r="K1887">
        <v>60</v>
      </c>
      <c r="L1887">
        <v>72</v>
      </c>
      <c r="M1887">
        <v>92</v>
      </c>
      <c r="N1887">
        <v>57</v>
      </c>
      <c r="O1887">
        <v>369</v>
      </c>
      <c r="P1887">
        <v>73.8</v>
      </c>
      <c r="Q1887" t="s">
        <v>40</v>
      </c>
      <c r="R1887" t="s">
        <v>27</v>
      </c>
      <c r="S1887">
        <v>1639</v>
      </c>
      <c r="T1887" t="s">
        <v>48</v>
      </c>
      <c r="U1887" t="str">
        <f t="shared" si="29"/>
        <v>Pass</v>
      </c>
    </row>
    <row r="1888" spans="1:21">
      <c r="A1888" t="s">
        <v>3236</v>
      </c>
      <c r="B1888" t="s">
        <v>335</v>
      </c>
      <c r="C1888" t="s">
        <v>22</v>
      </c>
      <c r="D1888">
        <v>8</v>
      </c>
      <c r="E1888" t="s">
        <v>26</v>
      </c>
      <c r="F1888">
        <v>12</v>
      </c>
      <c r="G1888" t="s">
        <v>24</v>
      </c>
      <c r="H1888" t="s">
        <v>3237</v>
      </c>
      <c r="I1888">
        <v>62</v>
      </c>
      <c r="J1888">
        <v>84</v>
      </c>
      <c r="K1888">
        <v>59</v>
      </c>
      <c r="L1888">
        <v>84</v>
      </c>
      <c r="M1888">
        <v>92</v>
      </c>
      <c r="N1888">
        <v>66</v>
      </c>
      <c r="O1888">
        <v>385</v>
      </c>
      <c r="P1888">
        <v>77</v>
      </c>
      <c r="Q1888" t="s">
        <v>40</v>
      </c>
      <c r="R1888" t="s">
        <v>27</v>
      </c>
      <c r="S1888">
        <v>4183</v>
      </c>
      <c r="T1888" t="s">
        <v>34</v>
      </c>
      <c r="U1888" t="str">
        <f t="shared" si="29"/>
        <v>Pass</v>
      </c>
    </row>
    <row r="1889" spans="1:21">
      <c r="A1889" t="s">
        <v>3238</v>
      </c>
      <c r="B1889" t="s">
        <v>219</v>
      </c>
      <c r="C1889" t="s">
        <v>22</v>
      </c>
      <c r="D1889">
        <v>3</v>
      </c>
      <c r="E1889" t="s">
        <v>23</v>
      </c>
      <c r="F1889">
        <v>8</v>
      </c>
      <c r="G1889" t="s">
        <v>32</v>
      </c>
      <c r="H1889" t="s">
        <v>3239</v>
      </c>
      <c r="I1889">
        <v>100</v>
      </c>
      <c r="J1889">
        <v>66</v>
      </c>
      <c r="K1889">
        <v>74</v>
      </c>
      <c r="L1889">
        <v>69</v>
      </c>
      <c r="M1889">
        <v>86</v>
      </c>
      <c r="N1889">
        <v>44</v>
      </c>
      <c r="O1889">
        <v>339</v>
      </c>
      <c r="P1889">
        <v>67.8</v>
      </c>
      <c r="Q1889" t="s">
        <v>26</v>
      </c>
      <c r="R1889" t="s">
        <v>41</v>
      </c>
      <c r="S1889">
        <v>3102</v>
      </c>
      <c r="T1889" t="s">
        <v>48</v>
      </c>
      <c r="U1889" t="str">
        <f t="shared" si="29"/>
        <v>Pass</v>
      </c>
    </row>
    <row r="1890" spans="1:21">
      <c r="A1890" t="s">
        <v>3240</v>
      </c>
      <c r="B1890" t="s">
        <v>1417</v>
      </c>
      <c r="C1890" t="s">
        <v>37</v>
      </c>
      <c r="D1890">
        <v>2</v>
      </c>
      <c r="E1890" t="s">
        <v>26</v>
      </c>
      <c r="F1890">
        <v>8</v>
      </c>
      <c r="G1890" t="s">
        <v>58</v>
      </c>
      <c r="H1890" t="s">
        <v>1608</v>
      </c>
      <c r="I1890">
        <v>70</v>
      </c>
      <c r="J1890">
        <v>58</v>
      </c>
      <c r="K1890">
        <v>99</v>
      </c>
      <c r="L1890">
        <v>50</v>
      </c>
      <c r="M1890">
        <v>77</v>
      </c>
      <c r="N1890">
        <v>70</v>
      </c>
      <c r="O1890">
        <v>354</v>
      </c>
      <c r="P1890">
        <v>70.8</v>
      </c>
      <c r="Q1890" t="s">
        <v>40</v>
      </c>
      <c r="R1890" t="s">
        <v>27</v>
      </c>
      <c r="S1890">
        <v>4389</v>
      </c>
      <c r="T1890" t="s">
        <v>28</v>
      </c>
      <c r="U1890" t="str">
        <f t="shared" si="29"/>
        <v>Pass</v>
      </c>
    </row>
    <row r="1891" spans="1:21">
      <c r="A1891" t="s">
        <v>3241</v>
      </c>
      <c r="B1891" t="s">
        <v>1281</v>
      </c>
      <c r="C1891" t="s">
        <v>37</v>
      </c>
      <c r="D1891">
        <v>11</v>
      </c>
      <c r="E1891" t="s">
        <v>47</v>
      </c>
      <c r="F1891">
        <v>17</v>
      </c>
      <c r="G1891" t="s">
        <v>32</v>
      </c>
      <c r="H1891" t="s">
        <v>3242</v>
      </c>
      <c r="I1891">
        <v>75</v>
      </c>
      <c r="J1891">
        <v>36</v>
      </c>
      <c r="K1891">
        <v>71</v>
      </c>
      <c r="L1891">
        <v>71</v>
      </c>
      <c r="M1891">
        <v>76</v>
      </c>
      <c r="N1891">
        <v>42</v>
      </c>
      <c r="O1891">
        <v>296</v>
      </c>
      <c r="P1891">
        <v>59.2</v>
      </c>
      <c r="Q1891" t="s">
        <v>31</v>
      </c>
      <c r="R1891" t="s">
        <v>27</v>
      </c>
      <c r="S1891">
        <v>3255</v>
      </c>
      <c r="T1891" t="s">
        <v>48</v>
      </c>
      <c r="U1891" t="str">
        <f t="shared" si="29"/>
        <v>Pass</v>
      </c>
    </row>
    <row r="1892" spans="1:21">
      <c r="A1892" t="s">
        <v>3243</v>
      </c>
      <c r="B1892" t="s">
        <v>137</v>
      </c>
      <c r="C1892" t="s">
        <v>22</v>
      </c>
      <c r="D1892">
        <v>8</v>
      </c>
      <c r="E1892" t="s">
        <v>31</v>
      </c>
      <c r="F1892">
        <v>14</v>
      </c>
      <c r="G1892" t="s">
        <v>45</v>
      </c>
      <c r="H1892" t="s">
        <v>1838</v>
      </c>
      <c r="I1892">
        <v>87</v>
      </c>
      <c r="J1892">
        <v>51</v>
      </c>
      <c r="K1892">
        <v>91</v>
      </c>
      <c r="L1892">
        <v>59</v>
      </c>
      <c r="M1892">
        <v>59</v>
      </c>
      <c r="N1892">
        <v>57</v>
      </c>
      <c r="O1892">
        <v>317</v>
      </c>
      <c r="P1892">
        <v>63.4</v>
      </c>
      <c r="Q1892" t="s">
        <v>26</v>
      </c>
      <c r="R1892" t="s">
        <v>27</v>
      </c>
      <c r="S1892">
        <v>4054</v>
      </c>
      <c r="T1892" t="s">
        <v>48</v>
      </c>
      <c r="U1892" t="str">
        <f t="shared" si="29"/>
        <v>Pass</v>
      </c>
    </row>
    <row r="1893" spans="1:21">
      <c r="A1893" t="s">
        <v>3244</v>
      </c>
      <c r="B1893" t="s">
        <v>187</v>
      </c>
      <c r="C1893" t="s">
        <v>22</v>
      </c>
      <c r="D1893">
        <v>6</v>
      </c>
      <c r="E1893" t="s">
        <v>31</v>
      </c>
      <c r="F1893">
        <v>10</v>
      </c>
      <c r="G1893" t="s">
        <v>58</v>
      </c>
      <c r="H1893" t="s">
        <v>3245</v>
      </c>
      <c r="I1893">
        <v>71</v>
      </c>
      <c r="J1893">
        <v>57</v>
      </c>
      <c r="K1893">
        <v>48</v>
      </c>
      <c r="L1893">
        <v>59</v>
      </c>
      <c r="M1893">
        <v>65</v>
      </c>
      <c r="N1893">
        <v>40</v>
      </c>
      <c r="O1893">
        <v>269</v>
      </c>
      <c r="P1893">
        <v>53.8</v>
      </c>
      <c r="Q1893" t="s">
        <v>31</v>
      </c>
      <c r="R1893" t="s">
        <v>41</v>
      </c>
      <c r="S1893">
        <v>3713</v>
      </c>
      <c r="T1893" t="s">
        <v>70</v>
      </c>
      <c r="U1893" t="str">
        <f t="shared" si="29"/>
        <v>Fail</v>
      </c>
    </row>
    <row r="1894" spans="1:21">
      <c r="A1894" t="s">
        <v>3246</v>
      </c>
      <c r="B1894" t="s">
        <v>408</v>
      </c>
      <c r="C1894" t="s">
        <v>22</v>
      </c>
      <c r="D1894">
        <v>7</v>
      </c>
      <c r="E1894" t="s">
        <v>23</v>
      </c>
      <c r="F1894">
        <v>13</v>
      </c>
      <c r="G1894" t="s">
        <v>32</v>
      </c>
      <c r="H1894" t="s">
        <v>867</v>
      </c>
      <c r="I1894">
        <v>95</v>
      </c>
      <c r="J1894">
        <v>86</v>
      </c>
      <c r="K1894">
        <v>38</v>
      </c>
      <c r="L1894">
        <v>68</v>
      </c>
      <c r="M1894">
        <v>90</v>
      </c>
      <c r="N1894">
        <v>70</v>
      </c>
      <c r="O1894">
        <v>352</v>
      </c>
      <c r="P1894">
        <v>70.400000000000006</v>
      </c>
      <c r="Q1894" t="s">
        <v>40</v>
      </c>
      <c r="R1894" t="s">
        <v>27</v>
      </c>
      <c r="S1894">
        <v>2606</v>
      </c>
      <c r="T1894" t="s">
        <v>34</v>
      </c>
      <c r="U1894" t="str">
        <f t="shared" si="29"/>
        <v>Pass</v>
      </c>
    </row>
    <row r="1895" spans="1:21">
      <c r="A1895" t="s">
        <v>3247</v>
      </c>
      <c r="B1895" t="s">
        <v>602</v>
      </c>
      <c r="C1895" t="s">
        <v>22</v>
      </c>
      <c r="D1895">
        <v>6</v>
      </c>
      <c r="E1895" t="s">
        <v>23</v>
      </c>
      <c r="F1895">
        <v>10</v>
      </c>
      <c r="G1895" t="s">
        <v>32</v>
      </c>
      <c r="H1895" t="s">
        <v>1582</v>
      </c>
      <c r="I1895">
        <v>74</v>
      </c>
      <c r="J1895">
        <v>40</v>
      </c>
      <c r="K1895">
        <v>95</v>
      </c>
      <c r="L1895">
        <v>100</v>
      </c>
      <c r="M1895">
        <v>54</v>
      </c>
      <c r="N1895">
        <v>38</v>
      </c>
      <c r="O1895">
        <v>327</v>
      </c>
      <c r="P1895">
        <v>65.400000000000006</v>
      </c>
      <c r="Q1895" t="s">
        <v>26</v>
      </c>
      <c r="R1895" t="s">
        <v>41</v>
      </c>
      <c r="S1895">
        <v>1917</v>
      </c>
      <c r="T1895" t="s">
        <v>28</v>
      </c>
      <c r="U1895" t="str">
        <f t="shared" si="29"/>
        <v>Pass</v>
      </c>
    </row>
    <row r="1896" spans="1:21">
      <c r="A1896" t="s">
        <v>3248</v>
      </c>
      <c r="B1896" t="s">
        <v>211</v>
      </c>
      <c r="C1896" t="s">
        <v>22</v>
      </c>
      <c r="D1896">
        <v>5</v>
      </c>
      <c r="E1896" t="s">
        <v>26</v>
      </c>
      <c r="F1896">
        <v>10</v>
      </c>
      <c r="G1896" t="s">
        <v>64</v>
      </c>
      <c r="H1896" t="s">
        <v>3249</v>
      </c>
      <c r="I1896">
        <v>72</v>
      </c>
      <c r="J1896">
        <v>84</v>
      </c>
      <c r="K1896">
        <v>74</v>
      </c>
      <c r="L1896">
        <v>37</v>
      </c>
      <c r="M1896">
        <v>91</v>
      </c>
      <c r="N1896">
        <v>82</v>
      </c>
      <c r="O1896">
        <v>368</v>
      </c>
      <c r="P1896">
        <v>73.599999999999994</v>
      </c>
      <c r="Q1896" t="s">
        <v>40</v>
      </c>
      <c r="R1896" t="s">
        <v>27</v>
      </c>
      <c r="S1896">
        <v>1830</v>
      </c>
      <c r="T1896" t="s">
        <v>28</v>
      </c>
      <c r="U1896" t="str">
        <f t="shared" si="29"/>
        <v>Pass</v>
      </c>
    </row>
    <row r="1897" spans="1:21">
      <c r="A1897" t="s">
        <v>3250</v>
      </c>
      <c r="B1897" t="s">
        <v>196</v>
      </c>
      <c r="C1897" t="s">
        <v>37</v>
      </c>
      <c r="D1897">
        <v>3</v>
      </c>
      <c r="E1897" t="s">
        <v>26</v>
      </c>
      <c r="F1897">
        <v>7</v>
      </c>
      <c r="G1897" t="s">
        <v>64</v>
      </c>
      <c r="H1897" t="s">
        <v>409</v>
      </c>
      <c r="I1897">
        <v>79</v>
      </c>
      <c r="J1897">
        <v>93</v>
      </c>
      <c r="K1897">
        <v>50</v>
      </c>
      <c r="L1897">
        <v>90</v>
      </c>
      <c r="M1897">
        <v>44</v>
      </c>
      <c r="N1897">
        <v>67</v>
      </c>
      <c r="O1897">
        <v>344</v>
      </c>
      <c r="P1897">
        <v>68.8</v>
      </c>
      <c r="Q1897" t="s">
        <v>26</v>
      </c>
      <c r="R1897" t="s">
        <v>41</v>
      </c>
      <c r="S1897">
        <v>2323</v>
      </c>
      <c r="T1897" t="s">
        <v>42</v>
      </c>
      <c r="U1897" t="str">
        <f t="shared" si="29"/>
        <v>Pass</v>
      </c>
    </row>
    <row r="1898" spans="1:21">
      <c r="A1898" t="s">
        <v>3251</v>
      </c>
      <c r="B1898" t="s">
        <v>118</v>
      </c>
      <c r="C1898" t="s">
        <v>37</v>
      </c>
      <c r="D1898">
        <v>4</v>
      </c>
      <c r="E1898" t="s">
        <v>26</v>
      </c>
      <c r="F1898">
        <v>9</v>
      </c>
      <c r="G1898" t="s">
        <v>64</v>
      </c>
      <c r="H1898" t="s">
        <v>2191</v>
      </c>
      <c r="I1898">
        <v>92</v>
      </c>
      <c r="J1898">
        <v>44</v>
      </c>
      <c r="K1898">
        <v>96</v>
      </c>
      <c r="L1898">
        <v>69</v>
      </c>
      <c r="M1898">
        <v>82</v>
      </c>
      <c r="N1898">
        <v>98</v>
      </c>
      <c r="O1898">
        <v>389</v>
      </c>
      <c r="P1898">
        <v>77.8</v>
      </c>
      <c r="Q1898" t="s">
        <v>40</v>
      </c>
      <c r="R1898" t="s">
        <v>27</v>
      </c>
      <c r="S1898">
        <v>1886</v>
      </c>
      <c r="T1898" t="s">
        <v>70</v>
      </c>
      <c r="U1898" t="str">
        <f t="shared" si="29"/>
        <v>Pass</v>
      </c>
    </row>
    <row r="1899" spans="1:21">
      <c r="A1899" t="s">
        <v>3252</v>
      </c>
      <c r="B1899" t="s">
        <v>373</v>
      </c>
      <c r="C1899" t="s">
        <v>22</v>
      </c>
      <c r="D1899">
        <v>2</v>
      </c>
      <c r="E1899" t="s">
        <v>47</v>
      </c>
      <c r="F1899">
        <v>6</v>
      </c>
      <c r="G1899" t="s">
        <v>38</v>
      </c>
      <c r="H1899" t="s">
        <v>3253</v>
      </c>
      <c r="I1899">
        <v>82</v>
      </c>
      <c r="J1899">
        <v>44</v>
      </c>
      <c r="K1899">
        <v>69</v>
      </c>
      <c r="L1899">
        <v>100</v>
      </c>
      <c r="M1899">
        <v>55</v>
      </c>
      <c r="N1899">
        <v>50</v>
      </c>
      <c r="O1899">
        <v>318</v>
      </c>
      <c r="P1899">
        <v>63.6</v>
      </c>
      <c r="Q1899" t="s">
        <v>26</v>
      </c>
      <c r="R1899" t="s">
        <v>27</v>
      </c>
      <c r="S1899">
        <v>4157</v>
      </c>
      <c r="T1899" t="s">
        <v>34</v>
      </c>
      <c r="U1899" t="str">
        <f t="shared" si="29"/>
        <v>Pass</v>
      </c>
    </row>
    <row r="1900" spans="1:21">
      <c r="A1900" t="s">
        <v>3254</v>
      </c>
      <c r="B1900" t="s">
        <v>280</v>
      </c>
      <c r="C1900" t="s">
        <v>22</v>
      </c>
      <c r="D1900">
        <v>12</v>
      </c>
      <c r="E1900" t="s">
        <v>31</v>
      </c>
      <c r="F1900">
        <v>17</v>
      </c>
      <c r="G1900" t="s">
        <v>54</v>
      </c>
      <c r="H1900" t="s">
        <v>3255</v>
      </c>
      <c r="I1900">
        <v>80</v>
      </c>
      <c r="J1900">
        <v>35</v>
      </c>
      <c r="K1900">
        <v>70</v>
      </c>
      <c r="L1900">
        <v>61</v>
      </c>
      <c r="M1900">
        <v>82</v>
      </c>
      <c r="N1900">
        <v>67</v>
      </c>
      <c r="O1900">
        <v>315</v>
      </c>
      <c r="P1900">
        <v>63</v>
      </c>
      <c r="Q1900" t="s">
        <v>26</v>
      </c>
      <c r="R1900" t="s">
        <v>41</v>
      </c>
      <c r="S1900">
        <v>4822</v>
      </c>
      <c r="T1900" t="s">
        <v>34</v>
      </c>
      <c r="U1900" t="str">
        <f t="shared" si="29"/>
        <v>Pass</v>
      </c>
    </row>
    <row r="1901" spans="1:21">
      <c r="A1901" t="s">
        <v>3256</v>
      </c>
      <c r="B1901" t="s">
        <v>525</v>
      </c>
      <c r="C1901" t="s">
        <v>37</v>
      </c>
      <c r="D1901">
        <v>10</v>
      </c>
      <c r="E1901" t="s">
        <v>23</v>
      </c>
      <c r="F1901">
        <v>15</v>
      </c>
      <c r="G1901" t="s">
        <v>24</v>
      </c>
      <c r="H1901" t="s">
        <v>676</v>
      </c>
      <c r="I1901">
        <v>83</v>
      </c>
      <c r="J1901">
        <v>94</v>
      </c>
      <c r="K1901">
        <v>59</v>
      </c>
      <c r="L1901">
        <v>98</v>
      </c>
      <c r="M1901">
        <v>61</v>
      </c>
      <c r="N1901">
        <v>67</v>
      </c>
      <c r="O1901">
        <v>379</v>
      </c>
      <c r="P1901">
        <v>75.8</v>
      </c>
      <c r="Q1901" t="s">
        <v>40</v>
      </c>
      <c r="R1901" t="s">
        <v>41</v>
      </c>
      <c r="S1901">
        <v>2006</v>
      </c>
      <c r="T1901" t="s">
        <v>34</v>
      </c>
      <c r="U1901" t="str">
        <f t="shared" si="29"/>
        <v>Pass</v>
      </c>
    </row>
    <row r="1902" spans="1:21">
      <c r="A1902" t="s">
        <v>3257</v>
      </c>
      <c r="B1902" t="s">
        <v>295</v>
      </c>
      <c r="C1902" t="s">
        <v>22</v>
      </c>
      <c r="D1902">
        <v>11</v>
      </c>
      <c r="E1902" t="s">
        <v>26</v>
      </c>
      <c r="F1902">
        <v>15</v>
      </c>
      <c r="G1902" t="s">
        <v>58</v>
      </c>
      <c r="H1902" t="s">
        <v>2431</v>
      </c>
      <c r="I1902">
        <v>97</v>
      </c>
      <c r="J1902">
        <v>93</v>
      </c>
      <c r="K1902">
        <v>95</v>
      </c>
      <c r="L1902">
        <v>38</v>
      </c>
      <c r="M1902">
        <v>67</v>
      </c>
      <c r="N1902">
        <v>63</v>
      </c>
      <c r="O1902">
        <v>356</v>
      </c>
      <c r="P1902">
        <v>71.2</v>
      </c>
      <c r="Q1902" t="s">
        <v>40</v>
      </c>
      <c r="R1902" t="s">
        <v>41</v>
      </c>
      <c r="S1902">
        <v>4214</v>
      </c>
      <c r="T1902" t="s">
        <v>42</v>
      </c>
      <c r="U1902" t="str">
        <f t="shared" si="29"/>
        <v>Pass</v>
      </c>
    </row>
    <row r="1903" spans="1:21">
      <c r="A1903" t="s">
        <v>3258</v>
      </c>
      <c r="B1903" t="s">
        <v>305</v>
      </c>
      <c r="C1903" t="s">
        <v>22</v>
      </c>
      <c r="D1903">
        <v>9</v>
      </c>
      <c r="E1903" t="s">
        <v>23</v>
      </c>
      <c r="F1903">
        <v>14</v>
      </c>
      <c r="G1903" t="s">
        <v>58</v>
      </c>
      <c r="H1903" t="s">
        <v>2017</v>
      </c>
      <c r="I1903">
        <v>94</v>
      </c>
      <c r="J1903">
        <v>51</v>
      </c>
      <c r="K1903">
        <v>57</v>
      </c>
      <c r="L1903">
        <v>53</v>
      </c>
      <c r="M1903">
        <v>61</v>
      </c>
      <c r="N1903">
        <v>70</v>
      </c>
      <c r="O1903">
        <v>292</v>
      </c>
      <c r="P1903">
        <v>58.4</v>
      </c>
      <c r="Q1903" t="s">
        <v>31</v>
      </c>
      <c r="R1903" t="s">
        <v>41</v>
      </c>
      <c r="S1903">
        <v>2638</v>
      </c>
      <c r="T1903" t="s">
        <v>42</v>
      </c>
      <c r="U1903" t="str">
        <f t="shared" si="29"/>
        <v>Pass</v>
      </c>
    </row>
    <row r="1904" spans="1:21">
      <c r="A1904" t="s">
        <v>3259</v>
      </c>
      <c r="B1904" t="s">
        <v>181</v>
      </c>
      <c r="C1904" t="s">
        <v>37</v>
      </c>
      <c r="D1904">
        <v>6</v>
      </c>
      <c r="E1904" t="s">
        <v>23</v>
      </c>
      <c r="F1904">
        <v>11</v>
      </c>
      <c r="G1904" t="s">
        <v>54</v>
      </c>
      <c r="H1904" t="s">
        <v>1350</v>
      </c>
      <c r="I1904">
        <v>100</v>
      </c>
      <c r="J1904">
        <v>84</v>
      </c>
      <c r="K1904">
        <v>88</v>
      </c>
      <c r="L1904">
        <v>76</v>
      </c>
      <c r="M1904">
        <v>70</v>
      </c>
      <c r="N1904">
        <v>74</v>
      </c>
      <c r="O1904">
        <v>392</v>
      </c>
      <c r="P1904">
        <v>78.400000000000006</v>
      </c>
      <c r="Q1904" t="s">
        <v>40</v>
      </c>
      <c r="R1904" t="s">
        <v>41</v>
      </c>
      <c r="S1904">
        <v>2222</v>
      </c>
      <c r="T1904" t="s">
        <v>70</v>
      </c>
      <c r="U1904" t="str">
        <f t="shared" si="29"/>
        <v>Pass</v>
      </c>
    </row>
    <row r="1905" spans="1:21">
      <c r="A1905" t="s">
        <v>3260</v>
      </c>
      <c r="B1905" t="s">
        <v>308</v>
      </c>
      <c r="C1905" t="s">
        <v>22</v>
      </c>
      <c r="D1905">
        <v>1</v>
      </c>
      <c r="E1905" t="s">
        <v>47</v>
      </c>
      <c r="F1905">
        <v>6</v>
      </c>
      <c r="G1905" t="s">
        <v>45</v>
      </c>
      <c r="H1905" t="s">
        <v>608</v>
      </c>
      <c r="I1905">
        <v>72</v>
      </c>
      <c r="J1905">
        <v>79</v>
      </c>
      <c r="K1905">
        <v>49</v>
      </c>
      <c r="L1905">
        <v>44</v>
      </c>
      <c r="M1905">
        <v>81</v>
      </c>
      <c r="N1905">
        <v>53</v>
      </c>
      <c r="O1905">
        <v>306</v>
      </c>
      <c r="P1905">
        <v>61.2</v>
      </c>
      <c r="Q1905" t="s">
        <v>26</v>
      </c>
      <c r="R1905" t="s">
        <v>41</v>
      </c>
      <c r="S1905">
        <v>3145</v>
      </c>
      <c r="T1905" t="s">
        <v>66</v>
      </c>
      <c r="U1905" t="str">
        <f t="shared" si="29"/>
        <v>Pass</v>
      </c>
    </row>
    <row r="1906" spans="1:21">
      <c r="A1906" t="s">
        <v>3261</v>
      </c>
      <c r="B1906" t="s">
        <v>373</v>
      </c>
      <c r="C1906" t="s">
        <v>37</v>
      </c>
      <c r="D1906">
        <v>7</v>
      </c>
      <c r="E1906" t="s">
        <v>47</v>
      </c>
      <c r="F1906">
        <v>11</v>
      </c>
      <c r="G1906" t="s">
        <v>38</v>
      </c>
      <c r="H1906" t="s">
        <v>3262</v>
      </c>
      <c r="I1906">
        <v>70</v>
      </c>
      <c r="J1906">
        <v>45</v>
      </c>
      <c r="K1906">
        <v>68</v>
      </c>
      <c r="L1906">
        <v>83</v>
      </c>
      <c r="M1906">
        <v>68</v>
      </c>
      <c r="N1906">
        <v>68</v>
      </c>
      <c r="O1906">
        <v>332</v>
      </c>
      <c r="P1906">
        <v>66.400000000000006</v>
      </c>
      <c r="Q1906" t="s">
        <v>26</v>
      </c>
      <c r="R1906" t="s">
        <v>41</v>
      </c>
      <c r="S1906">
        <v>1539</v>
      </c>
      <c r="T1906" t="s">
        <v>70</v>
      </c>
      <c r="U1906" t="str">
        <f t="shared" si="29"/>
        <v>Pass</v>
      </c>
    </row>
    <row r="1907" spans="1:21">
      <c r="A1907" t="s">
        <v>3263</v>
      </c>
      <c r="B1907" t="s">
        <v>625</v>
      </c>
      <c r="C1907" t="s">
        <v>37</v>
      </c>
      <c r="D1907">
        <v>11</v>
      </c>
      <c r="E1907" t="s">
        <v>47</v>
      </c>
      <c r="F1907">
        <v>15</v>
      </c>
      <c r="G1907" t="s">
        <v>32</v>
      </c>
      <c r="H1907" t="s">
        <v>320</v>
      </c>
      <c r="I1907">
        <v>66</v>
      </c>
      <c r="J1907">
        <v>45</v>
      </c>
      <c r="K1907">
        <v>85</v>
      </c>
      <c r="L1907">
        <v>98</v>
      </c>
      <c r="M1907">
        <v>93</v>
      </c>
      <c r="N1907">
        <v>37</v>
      </c>
      <c r="O1907">
        <v>358</v>
      </c>
      <c r="P1907">
        <v>71.599999999999994</v>
      </c>
      <c r="Q1907" t="s">
        <v>40</v>
      </c>
      <c r="R1907" t="s">
        <v>41</v>
      </c>
      <c r="S1907">
        <v>2346</v>
      </c>
      <c r="T1907" t="s">
        <v>70</v>
      </c>
      <c r="U1907" t="str">
        <f t="shared" si="29"/>
        <v>Pass</v>
      </c>
    </row>
    <row r="1908" spans="1:21">
      <c r="A1908" t="s">
        <v>3264</v>
      </c>
      <c r="B1908" t="s">
        <v>461</v>
      </c>
      <c r="C1908" t="s">
        <v>37</v>
      </c>
      <c r="D1908">
        <v>2</v>
      </c>
      <c r="E1908" t="s">
        <v>31</v>
      </c>
      <c r="F1908">
        <v>8</v>
      </c>
      <c r="G1908" t="s">
        <v>32</v>
      </c>
      <c r="H1908" t="s">
        <v>2694</v>
      </c>
      <c r="I1908">
        <v>63</v>
      </c>
      <c r="J1908">
        <v>52</v>
      </c>
      <c r="K1908">
        <v>50</v>
      </c>
      <c r="L1908">
        <v>70</v>
      </c>
      <c r="M1908">
        <v>60</v>
      </c>
      <c r="N1908">
        <v>69</v>
      </c>
      <c r="O1908">
        <v>301</v>
      </c>
      <c r="P1908">
        <v>60.2</v>
      </c>
      <c r="Q1908" t="s">
        <v>26</v>
      </c>
      <c r="R1908" t="s">
        <v>41</v>
      </c>
      <c r="S1908">
        <v>2271</v>
      </c>
      <c r="T1908" t="s">
        <v>34</v>
      </c>
      <c r="U1908" t="str">
        <f t="shared" si="29"/>
        <v>Pass</v>
      </c>
    </row>
    <row r="1909" spans="1:21">
      <c r="A1909" t="s">
        <v>3265</v>
      </c>
      <c r="B1909" t="s">
        <v>99</v>
      </c>
      <c r="C1909" t="s">
        <v>37</v>
      </c>
      <c r="D1909">
        <v>10</v>
      </c>
      <c r="E1909" t="s">
        <v>26</v>
      </c>
      <c r="F1909">
        <v>16</v>
      </c>
      <c r="G1909" t="s">
        <v>45</v>
      </c>
      <c r="H1909" t="s">
        <v>3266</v>
      </c>
      <c r="I1909">
        <v>97</v>
      </c>
      <c r="J1909">
        <v>51</v>
      </c>
      <c r="K1909">
        <v>98</v>
      </c>
      <c r="L1909">
        <v>90</v>
      </c>
      <c r="M1909">
        <v>86</v>
      </c>
      <c r="N1909">
        <v>38</v>
      </c>
      <c r="O1909">
        <v>363</v>
      </c>
      <c r="P1909">
        <v>72.599999999999994</v>
      </c>
      <c r="Q1909" t="s">
        <v>40</v>
      </c>
      <c r="R1909" t="s">
        <v>41</v>
      </c>
      <c r="S1909">
        <v>4736</v>
      </c>
      <c r="T1909" t="s">
        <v>28</v>
      </c>
      <c r="U1909" t="str">
        <f t="shared" si="29"/>
        <v>Pass</v>
      </c>
    </row>
    <row r="1910" spans="1:21">
      <c r="A1910" t="s">
        <v>3267</v>
      </c>
      <c r="B1910" t="s">
        <v>236</v>
      </c>
      <c r="C1910" t="s">
        <v>22</v>
      </c>
      <c r="D1910">
        <v>3</v>
      </c>
      <c r="E1910" t="s">
        <v>26</v>
      </c>
      <c r="F1910">
        <v>7</v>
      </c>
      <c r="G1910" t="s">
        <v>32</v>
      </c>
      <c r="H1910" t="s">
        <v>817</v>
      </c>
      <c r="I1910">
        <v>68</v>
      </c>
      <c r="J1910">
        <v>61</v>
      </c>
      <c r="K1910">
        <v>91</v>
      </c>
      <c r="L1910">
        <v>61</v>
      </c>
      <c r="M1910">
        <v>46</v>
      </c>
      <c r="N1910">
        <v>76</v>
      </c>
      <c r="O1910">
        <v>335</v>
      </c>
      <c r="P1910">
        <v>67</v>
      </c>
      <c r="Q1910" t="s">
        <v>26</v>
      </c>
      <c r="R1910" t="s">
        <v>41</v>
      </c>
      <c r="S1910">
        <v>3609</v>
      </c>
      <c r="T1910" t="s">
        <v>48</v>
      </c>
      <c r="U1910" t="str">
        <f t="shared" si="29"/>
        <v>Pass</v>
      </c>
    </row>
    <row r="1911" spans="1:21">
      <c r="A1911" t="s">
        <v>3268</v>
      </c>
      <c r="B1911" t="s">
        <v>1281</v>
      </c>
      <c r="C1911" t="s">
        <v>22</v>
      </c>
      <c r="D1911">
        <v>3</v>
      </c>
      <c r="E1911" t="s">
        <v>23</v>
      </c>
      <c r="F1911">
        <v>8</v>
      </c>
      <c r="G1911" t="s">
        <v>38</v>
      </c>
      <c r="H1911" t="s">
        <v>1686</v>
      </c>
      <c r="I1911">
        <v>96</v>
      </c>
      <c r="J1911">
        <v>84</v>
      </c>
      <c r="K1911">
        <v>89</v>
      </c>
      <c r="L1911">
        <v>54</v>
      </c>
      <c r="M1911">
        <v>58</v>
      </c>
      <c r="N1911">
        <v>84</v>
      </c>
      <c r="O1911">
        <v>369</v>
      </c>
      <c r="P1911">
        <v>73.8</v>
      </c>
      <c r="Q1911" t="s">
        <v>40</v>
      </c>
      <c r="R1911" t="s">
        <v>27</v>
      </c>
      <c r="S1911">
        <v>2472</v>
      </c>
      <c r="T1911" t="s">
        <v>48</v>
      </c>
      <c r="U1911" t="str">
        <f t="shared" si="29"/>
        <v>Pass</v>
      </c>
    </row>
    <row r="1912" spans="1:21">
      <c r="A1912" t="s">
        <v>3269</v>
      </c>
      <c r="B1912" t="s">
        <v>214</v>
      </c>
      <c r="C1912" t="s">
        <v>37</v>
      </c>
      <c r="D1912">
        <v>6</v>
      </c>
      <c r="E1912" t="s">
        <v>47</v>
      </c>
      <c r="F1912">
        <v>10</v>
      </c>
      <c r="G1912" t="s">
        <v>45</v>
      </c>
      <c r="H1912" t="s">
        <v>3270</v>
      </c>
      <c r="I1912">
        <v>75</v>
      </c>
      <c r="J1912">
        <v>82</v>
      </c>
      <c r="K1912">
        <v>80</v>
      </c>
      <c r="L1912">
        <v>57</v>
      </c>
      <c r="M1912">
        <v>88</v>
      </c>
      <c r="N1912">
        <v>35</v>
      </c>
      <c r="O1912">
        <v>342</v>
      </c>
      <c r="P1912">
        <v>68.400000000000006</v>
      </c>
      <c r="Q1912" t="s">
        <v>26</v>
      </c>
      <c r="R1912" t="s">
        <v>41</v>
      </c>
      <c r="S1912">
        <v>4991</v>
      </c>
      <c r="T1912" t="s">
        <v>34</v>
      </c>
      <c r="U1912" t="str">
        <f t="shared" si="29"/>
        <v>Pass</v>
      </c>
    </row>
    <row r="1913" spans="1:21">
      <c r="A1913" t="s">
        <v>3271</v>
      </c>
      <c r="B1913" t="s">
        <v>651</v>
      </c>
      <c r="C1913" t="s">
        <v>37</v>
      </c>
      <c r="D1913">
        <v>3</v>
      </c>
      <c r="E1913" t="s">
        <v>23</v>
      </c>
      <c r="F1913">
        <v>7</v>
      </c>
      <c r="G1913" t="s">
        <v>24</v>
      </c>
      <c r="H1913" t="s">
        <v>3239</v>
      </c>
      <c r="I1913">
        <v>61</v>
      </c>
      <c r="J1913">
        <v>66</v>
      </c>
      <c r="K1913">
        <v>91</v>
      </c>
      <c r="L1913">
        <v>74</v>
      </c>
      <c r="M1913">
        <v>69</v>
      </c>
      <c r="N1913">
        <v>36</v>
      </c>
      <c r="O1913">
        <v>336</v>
      </c>
      <c r="P1913">
        <v>67.2</v>
      </c>
      <c r="Q1913" t="s">
        <v>26</v>
      </c>
      <c r="R1913" t="s">
        <v>41</v>
      </c>
      <c r="S1913">
        <v>3437</v>
      </c>
      <c r="T1913" t="s">
        <v>34</v>
      </c>
      <c r="U1913" t="str">
        <f t="shared" si="29"/>
        <v>Pass</v>
      </c>
    </row>
    <row r="1914" spans="1:21">
      <c r="A1914" t="s">
        <v>3272</v>
      </c>
      <c r="B1914" t="s">
        <v>57</v>
      </c>
      <c r="C1914" t="s">
        <v>37</v>
      </c>
      <c r="D1914">
        <v>1</v>
      </c>
      <c r="E1914" t="s">
        <v>26</v>
      </c>
      <c r="F1914">
        <v>6</v>
      </c>
      <c r="G1914" t="s">
        <v>45</v>
      </c>
      <c r="H1914" t="s">
        <v>3273</v>
      </c>
      <c r="I1914">
        <v>100</v>
      </c>
      <c r="J1914">
        <v>51</v>
      </c>
      <c r="K1914">
        <v>77</v>
      </c>
      <c r="L1914">
        <v>99</v>
      </c>
      <c r="M1914">
        <v>78</v>
      </c>
      <c r="N1914">
        <v>98</v>
      </c>
      <c r="O1914">
        <v>403</v>
      </c>
      <c r="P1914">
        <v>80.599999999999994</v>
      </c>
      <c r="Q1914" t="s">
        <v>47</v>
      </c>
      <c r="R1914" t="s">
        <v>41</v>
      </c>
      <c r="S1914">
        <v>4819</v>
      </c>
      <c r="T1914" t="s">
        <v>34</v>
      </c>
      <c r="U1914" t="str">
        <f t="shared" si="29"/>
        <v>Pass</v>
      </c>
    </row>
    <row r="1915" spans="1:21">
      <c r="A1915" t="s">
        <v>3274</v>
      </c>
      <c r="B1915" t="s">
        <v>44</v>
      </c>
      <c r="C1915" t="s">
        <v>37</v>
      </c>
      <c r="D1915">
        <v>12</v>
      </c>
      <c r="E1915" t="s">
        <v>26</v>
      </c>
      <c r="F1915">
        <v>17</v>
      </c>
      <c r="G1915" t="s">
        <v>45</v>
      </c>
      <c r="H1915" t="s">
        <v>185</v>
      </c>
      <c r="I1915">
        <v>98</v>
      </c>
      <c r="J1915">
        <v>62</v>
      </c>
      <c r="K1915">
        <v>94</v>
      </c>
      <c r="L1915">
        <v>93</v>
      </c>
      <c r="M1915">
        <v>94</v>
      </c>
      <c r="N1915">
        <v>35</v>
      </c>
      <c r="O1915">
        <v>378</v>
      </c>
      <c r="P1915">
        <v>75.599999999999994</v>
      </c>
      <c r="Q1915" t="s">
        <v>40</v>
      </c>
      <c r="R1915" t="s">
        <v>41</v>
      </c>
      <c r="S1915">
        <v>3256</v>
      </c>
      <c r="T1915" t="s">
        <v>28</v>
      </c>
      <c r="U1915" t="str">
        <f t="shared" si="29"/>
        <v>Pass</v>
      </c>
    </row>
    <row r="1916" spans="1:21">
      <c r="A1916" t="s">
        <v>3275</v>
      </c>
      <c r="B1916" t="s">
        <v>622</v>
      </c>
      <c r="C1916" t="s">
        <v>22</v>
      </c>
      <c r="D1916">
        <v>11</v>
      </c>
      <c r="E1916" t="s">
        <v>31</v>
      </c>
      <c r="F1916">
        <v>15</v>
      </c>
      <c r="G1916" t="s">
        <v>38</v>
      </c>
      <c r="H1916" t="s">
        <v>3276</v>
      </c>
      <c r="I1916">
        <v>78</v>
      </c>
      <c r="J1916">
        <v>65</v>
      </c>
      <c r="K1916">
        <v>91</v>
      </c>
      <c r="L1916">
        <v>42</v>
      </c>
      <c r="M1916">
        <v>95</v>
      </c>
      <c r="N1916">
        <v>95</v>
      </c>
      <c r="O1916">
        <v>388</v>
      </c>
      <c r="P1916">
        <v>77.599999999999994</v>
      </c>
      <c r="Q1916" t="s">
        <v>40</v>
      </c>
      <c r="R1916" t="s">
        <v>41</v>
      </c>
      <c r="S1916">
        <v>3957</v>
      </c>
      <c r="T1916" t="s">
        <v>66</v>
      </c>
      <c r="U1916" t="str">
        <f t="shared" si="29"/>
        <v>Pass</v>
      </c>
    </row>
    <row r="1917" spans="1:21">
      <c r="A1917" t="s">
        <v>3277</v>
      </c>
      <c r="B1917" t="s">
        <v>614</v>
      </c>
      <c r="C1917" t="s">
        <v>22</v>
      </c>
      <c r="D1917">
        <v>1</v>
      </c>
      <c r="E1917" t="s">
        <v>26</v>
      </c>
      <c r="F1917">
        <v>7</v>
      </c>
      <c r="G1917" t="s">
        <v>54</v>
      </c>
      <c r="H1917" t="s">
        <v>3085</v>
      </c>
      <c r="I1917">
        <v>82</v>
      </c>
      <c r="J1917">
        <v>88</v>
      </c>
      <c r="K1917">
        <v>40</v>
      </c>
      <c r="L1917">
        <v>74</v>
      </c>
      <c r="M1917">
        <v>63</v>
      </c>
      <c r="N1917">
        <v>97</v>
      </c>
      <c r="O1917">
        <v>362</v>
      </c>
      <c r="P1917">
        <v>72.400000000000006</v>
      </c>
      <c r="Q1917" t="s">
        <v>40</v>
      </c>
      <c r="R1917" t="s">
        <v>41</v>
      </c>
      <c r="S1917">
        <v>2023</v>
      </c>
      <c r="T1917" t="s">
        <v>28</v>
      </c>
      <c r="U1917" t="str">
        <f t="shared" si="29"/>
        <v>Pass</v>
      </c>
    </row>
    <row r="1918" spans="1:21">
      <c r="A1918" t="s">
        <v>3278</v>
      </c>
      <c r="B1918" t="s">
        <v>137</v>
      </c>
      <c r="C1918" t="s">
        <v>22</v>
      </c>
      <c r="D1918">
        <v>1</v>
      </c>
      <c r="E1918" t="s">
        <v>31</v>
      </c>
      <c r="F1918">
        <v>7</v>
      </c>
      <c r="G1918" t="s">
        <v>32</v>
      </c>
      <c r="H1918" t="s">
        <v>1959</v>
      </c>
      <c r="I1918">
        <v>91</v>
      </c>
      <c r="J1918">
        <v>63</v>
      </c>
      <c r="K1918">
        <v>99</v>
      </c>
      <c r="L1918">
        <v>36</v>
      </c>
      <c r="M1918">
        <v>58</v>
      </c>
      <c r="N1918">
        <v>53</v>
      </c>
      <c r="O1918">
        <v>309</v>
      </c>
      <c r="P1918">
        <v>61.8</v>
      </c>
      <c r="Q1918" t="s">
        <v>26</v>
      </c>
      <c r="R1918" t="s">
        <v>41</v>
      </c>
      <c r="S1918">
        <v>2458</v>
      </c>
      <c r="T1918" t="s">
        <v>70</v>
      </c>
      <c r="U1918" t="str">
        <f t="shared" si="29"/>
        <v>Pass</v>
      </c>
    </row>
    <row r="1919" spans="1:21">
      <c r="A1919" t="s">
        <v>3279</v>
      </c>
      <c r="B1919" t="s">
        <v>844</v>
      </c>
      <c r="C1919" t="s">
        <v>37</v>
      </c>
      <c r="D1919">
        <v>11</v>
      </c>
      <c r="E1919" t="s">
        <v>31</v>
      </c>
      <c r="F1919">
        <v>16</v>
      </c>
      <c r="G1919" t="s">
        <v>54</v>
      </c>
      <c r="H1919" t="s">
        <v>2524</v>
      </c>
      <c r="I1919">
        <v>91</v>
      </c>
      <c r="J1919">
        <v>59</v>
      </c>
      <c r="K1919">
        <v>86</v>
      </c>
      <c r="L1919">
        <v>90</v>
      </c>
      <c r="M1919">
        <v>63</v>
      </c>
      <c r="N1919">
        <v>71</v>
      </c>
      <c r="O1919">
        <v>369</v>
      </c>
      <c r="P1919">
        <v>73.8</v>
      </c>
      <c r="Q1919" t="s">
        <v>40</v>
      </c>
      <c r="R1919" t="s">
        <v>41</v>
      </c>
      <c r="S1919">
        <v>2208</v>
      </c>
      <c r="T1919" t="s">
        <v>28</v>
      </c>
      <c r="U1919" t="str">
        <f t="shared" si="29"/>
        <v>Pass</v>
      </c>
    </row>
    <row r="1920" spans="1:21">
      <c r="A1920" t="s">
        <v>3280</v>
      </c>
      <c r="B1920" t="s">
        <v>187</v>
      </c>
      <c r="C1920" t="s">
        <v>22</v>
      </c>
      <c r="D1920">
        <v>1</v>
      </c>
      <c r="E1920" t="s">
        <v>26</v>
      </c>
      <c r="F1920">
        <v>7</v>
      </c>
      <c r="G1920" t="s">
        <v>24</v>
      </c>
      <c r="H1920" t="s">
        <v>3281</v>
      </c>
      <c r="I1920">
        <v>97</v>
      </c>
      <c r="J1920">
        <v>62</v>
      </c>
      <c r="K1920">
        <v>84</v>
      </c>
      <c r="L1920">
        <v>90</v>
      </c>
      <c r="M1920">
        <v>40</v>
      </c>
      <c r="N1920">
        <v>54</v>
      </c>
      <c r="O1920">
        <v>330</v>
      </c>
      <c r="P1920">
        <v>66</v>
      </c>
      <c r="Q1920" t="s">
        <v>26</v>
      </c>
      <c r="R1920" t="s">
        <v>41</v>
      </c>
      <c r="S1920">
        <v>3081</v>
      </c>
      <c r="T1920" t="s">
        <v>34</v>
      </c>
      <c r="U1920" t="str">
        <f t="shared" si="29"/>
        <v>Pass</v>
      </c>
    </row>
    <row r="1921" spans="1:21">
      <c r="A1921" t="s">
        <v>3282</v>
      </c>
      <c r="B1921" t="s">
        <v>99</v>
      </c>
      <c r="C1921" t="s">
        <v>22</v>
      </c>
      <c r="D1921">
        <v>3</v>
      </c>
      <c r="E1921" t="s">
        <v>47</v>
      </c>
      <c r="F1921">
        <v>9</v>
      </c>
      <c r="G1921" t="s">
        <v>45</v>
      </c>
      <c r="H1921" t="s">
        <v>2295</v>
      </c>
      <c r="I1921">
        <v>86</v>
      </c>
      <c r="J1921">
        <v>36</v>
      </c>
      <c r="K1921">
        <v>99</v>
      </c>
      <c r="L1921">
        <v>35</v>
      </c>
      <c r="M1921">
        <v>68</v>
      </c>
      <c r="N1921">
        <v>36</v>
      </c>
      <c r="O1921">
        <v>274</v>
      </c>
      <c r="P1921">
        <v>54.8</v>
      </c>
      <c r="Q1921" t="s">
        <v>31</v>
      </c>
      <c r="R1921" t="s">
        <v>27</v>
      </c>
      <c r="S1921">
        <v>3224</v>
      </c>
      <c r="T1921" t="s">
        <v>66</v>
      </c>
      <c r="U1921" t="str">
        <f t="shared" si="29"/>
        <v>Fail</v>
      </c>
    </row>
    <row r="1922" spans="1:21">
      <c r="A1922" t="s">
        <v>3283</v>
      </c>
      <c r="B1922" t="s">
        <v>708</v>
      </c>
      <c r="C1922" t="s">
        <v>22</v>
      </c>
      <c r="D1922">
        <v>1</v>
      </c>
      <c r="E1922" t="s">
        <v>23</v>
      </c>
      <c r="F1922">
        <v>6</v>
      </c>
      <c r="G1922" t="s">
        <v>54</v>
      </c>
      <c r="H1922" t="s">
        <v>2317</v>
      </c>
      <c r="I1922">
        <v>65</v>
      </c>
      <c r="J1922">
        <v>91</v>
      </c>
      <c r="K1922">
        <v>89</v>
      </c>
      <c r="L1922">
        <v>63</v>
      </c>
      <c r="M1922">
        <v>44</v>
      </c>
      <c r="N1922">
        <v>46</v>
      </c>
      <c r="O1922">
        <v>333</v>
      </c>
      <c r="P1922">
        <v>66.599999999999994</v>
      </c>
      <c r="Q1922" t="s">
        <v>26</v>
      </c>
      <c r="R1922" t="s">
        <v>41</v>
      </c>
      <c r="S1922">
        <v>3242</v>
      </c>
      <c r="T1922" t="s">
        <v>42</v>
      </c>
      <c r="U1922" t="str">
        <f t="shared" si="29"/>
        <v>Pass</v>
      </c>
    </row>
    <row r="1923" spans="1:21">
      <c r="A1923" t="s">
        <v>3284</v>
      </c>
      <c r="B1923" t="s">
        <v>714</v>
      </c>
      <c r="C1923" t="s">
        <v>22</v>
      </c>
      <c r="D1923">
        <v>11</v>
      </c>
      <c r="E1923" t="s">
        <v>31</v>
      </c>
      <c r="F1923">
        <v>16</v>
      </c>
      <c r="G1923" t="s">
        <v>64</v>
      </c>
      <c r="H1923" t="s">
        <v>1606</v>
      </c>
      <c r="I1923">
        <v>65</v>
      </c>
      <c r="J1923">
        <v>41</v>
      </c>
      <c r="K1923">
        <v>87</v>
      </c>
      <c r="L1923">
        <v>46</v>
      </c>
      <c r="M1923">
        <v>78</v>
      </c>
      <c r="N1923">
        <v>36</v>
      </c>
      <c r="O1923">
        <v>288</v>
      </c>
      <c r="P1923">
        <v>57.6</v>
      </c>
      <c r="Q1923" t="s">
        <v>31</v>
      </c>
      <c r="R1923" t="s">
        <v>41</v>
      </c>
      <c r="S1923">
        <v>1882</v>
      </c>
      <c r="T1923" t="s">
        <v>70</v>
      </c>
      <c r="U1923" t="str">
        <f t="shared" ref="U1923:U1986" si="30">IF(P1923&gt;55,"Pass","Fail")</f>
        <v>Pass</v>
      </c>
    </row>
    <row r="1924" spans="1:21">
      <c r="A1924" t="s">
        <v>3285</v>
      </c>
      <c r="B1924" t="s">
        <v>118</v>
      </c>
      <c r="C1924" t="s">
        <v>37</v>
      </c>
      <c r="D1924">
        <v>7</v>
      </c>
      <c r="E1924" t="s">
        <v>23</v>
      </c>
      <c r="F1924">
        <v>13</v>
      </c>
      <c r="G1924" t="s">
        <v>24</v>
      </c>
      <c r="H1924" t="s">
        <v>2877</v>
      </c>
      <c r="I1924">
        <v>78</v>
      </c>
      <c r="J1924">
        <v>93</v>
      </c>
      <c r="K1924">
        <v>58</v>
      </c>
      <c r="L1924">
        <v>46</v>
      </c>
      <c r="M1924">
        <v>72</v>
      </c>
      <c r="N1924">
        <v>39</v>
      </c>
      <c r="O1924">
        <v>308</v>
      </c>
      <c r="P1924">
        <v>61.6</v>
      </c>
      <c r="Q1924" t="s">
        <v>26</v>
      </c>
      <c r="R1924" t="s">
        <v>41</v>
      </c>
      <c r="S1924">
        <v>4127</v>
      </c>
      <c r="T1924" t="s">
        <v>34</v>
      </c>
      <c r="U1924" t="str">
        <f t="shared" si="30"/>
        <v>Pass</v>
      </c>
    </row>
    <row r="1925" spans="1:21">
      <c r="A1925" t="s">
        <v>3286</v>
      </c>
      <c r="B1925" t="s">
        <v>332</v>
      </c>
      <c r="C1925" t="s">
        <v>37</v>
      </c>
      <c r="D1925">
        <v>11</v>
      </c>
      <c r="E1925" t="s">
        <v>47</v>
      </c>
      <c r="F1925">
        <v>15</v>
      </c>
      <c r="G1925" t="s">
        <v>54</v>
      </c>
      <c r="H1925" t="s">
        <v>3287</v>
      </c>
      <c r="I1925">
        <v>79</v>
      </c>
      <c r="J1925">
        <v>79</v>
      </c>
      <c r="K1925">
        <v>54</v>
      </c>
      <c r="L1925">
        <v>95</v>
      </c>
      <c r="M1925">
        <v>79</v>
      </c>
      <c r="N1925">
        <v>90</v>
      </c>
      <c r="O1925">
        <v>397</v>
      </c>
      <c r="P1925">
        <v>79.400000000000006</v>
      </c>
      <c r="Q1925" t="s">
        <v>40</v>
      </c>
      <c r="R1925" t="s">
        <v>41</v>
      </c>
      <c r="S1925">
        <v>1562</v>
      </c>
      <c r="T1925" t="s">
        <v>70</v>
      </c>
      <c r="U1925" t="str">
        <f t="shared" si="30"/>
        <v>Pass</v>
      </c>
    </row>
    <row r="1926" spans="1:21">
      <c r="A1926" t="s">
        <v>3288</v>
      </c>
      <c r="B1926" t="s">
        <v>1281</v>
      </c>
      <c r="C1926" t="s">
        <v>37</v>
      </c>
      <c r="D1926">
        <v>8</v>
      </c>
      <c r="E1926" t="s">
        <v>26</v>
      </c>
      <c r="F1926">
        <v>13</v>
      </c>
      <c r="G1926" t="s">
        <v>58</v>
      </c>
      <c r="H1926" t="s">
        <v>637</v>
      </c>
      <c r="I1926">
        <v>66</v>
      </c>
      <c r="J1926">
        <v>40</v>
      </c>
      <c r="K1926">
        <v>44</v>
      </c>
      <c r="L1926">
        <v>91</v>
      </c>
      <c r="M1926">
        <v>57</v>
      </c>
      <c r="N1926">
        <v>62</v>
      </c>
      <c r="O1926">
        <v>294</v>
      </c>
      <c r="P1926">
        <v>58.8</v>
      </c>
      <c r="Q1926" t="s">
        <v>31</v>
      </c>
      <c r="R1926" t="s">
        <v>41</v>
      </c>
      <c r="S1926">
        <v>3089</v>
      </c>
      <c r="T1926" t="s">
        <v>34</v>
      </c>
      <c r="U1926" t="str">
        <f t="shared" si="30"/>
        <v>Pass</v>
      </c>
    </row>
    <row r="1927" spans="1:21">
      <c r="A1927" t="s">
        <v>3289</v>
      </c>
      <c r="B1927" t="s">
        <v>21</v>
      </c>
      <c r="C1927" t="s">
        <v>37</v>
      </c>
      <c r="D1927">
        <v>4</v>
      </c>
      <c r="E1927" t="s">
        <v>47</v>
      </c>
      <c r="F1927">
        <v>9</v>
      </c>
      <c r="G1927" t="s">
        <v>38</v>
      </c>
      <c r="H1927" t="s">
        <v>2121</v>
      </c>
      <c r="I1927">
        <v>75</v>
      </c>
      <c r="J1927">
        <v>93</v>
      </c>
      <c r="K1927">
        <v>45</v>
      </c>
      <c r="L1927">
        <v>89</v>
      </c>
      <c r="M1927">
        <v>99</v>
      </c>
      <c r="N1927">
        <v>100</v>
      </c>
      <c r="O1927">
        <v>426</v>
      </c>
      <c r="P1927">
        <v>85.2</v>
      </c>
      <c r="Q1927" t="s">
        <v>47</v>
      </c>
      <c r="R1927" t="s">
        <v>27</v>
      </c>
      <c r="S1927">
        <v>2844</v>
      </c>
      <c r="T1927" t="s">
        <v>66</v>
      </c>
      <c r="U1927" t="str">
        <f t="shared" si="30"/>
        <v>Pass</v>
      </c>
    </row>
    <row r="1928" spans="1:21">
      <c r="A1928" t="s">
        <v>3290</v>
      </c>
      <c r="B1928" t="s">
        <v>154</v>
      </c>
      <c r="C1928" t="s">
        <v>22</v>
      </c>
      <c r="D1928">
        <v>3</v>
      </c>
      <c r="E1928" t="s">
        <v>23</v>
      </c>
      <c r="F1928">
        <v>7</v>
      </c>
      <c r="G1928" t="s">
        <v>54</v>
      </c>
      <c r="H1928" t="s">
        <v>3291</v>
      </c>
      <c r="I1928">
        <v>85</v>
      </c>
      <c r="J1928">
        <v>82</v>
      </c>
      <c r="K1928">
        <v>68</v>
      </c>
      <c r="L1928">
        <v>69</v>
      </c>
      <c r="M1928">
        <v>41</v>
      </c>
      <c r="N1928">
        <v>70</v>
      </c>
      <c r="O1928">
        <v>330</v>
      </c>
      <c r="P1928">
        <v>66</v>
      </c>
      <c r="Q1928" t="s">
        <v>26</v>
      </c>
      <c r="R1928" t="s">
        <v>27</v>
      </c>
      <c r="S1928">
        <v>4603</v>
      </c>
      <c r="T1928" t="s">
        <v>70</v>
      </c>
      <c r="U1928" t="str">
        <f t="shared" si="30"/>
        <v>Pass</v>
      </c>
    </row>
    <row r="1929" spans="1:21">
      <c r="A1929" t="s">
        <v>3292</v>
      </c>
      <c r="B1929" t="s">
        <v>90</v>
      </c>
      <c r="C1929" t="s">
        <v>37</v>
      </c>
      <c r="D1929">
        <v>9</v>
      </c>
      <c r="E1929" t="s">
        <v>23</v>
      </c>
      <c r="F1929">
        <v>14</v>
      </c>
      <c r="G1929" t="s">
        <v>58</v>
      </c>
      <c r="H1929" t="s">
        <v>1386</v>
      </c>
      <c r="I1929">
        <v>80</v>
      </c>
      <c r="J1929">
        <v>68</v>
      </c>
      <c r="K1929">
        <v>87</v>
      </c>
      <c r="L1929">
        <v>55</v>
      </c>
      <c r="M1929">
        <v>96</v>
      </c>
      <c r="N1929">
        <v>79</v>
      </c>
      <c r="O1929">
        <v>385</v>
      </c>
      <c r="P1929">
        <v>77</v>
      </c>
      <c r="Q1929" t="s">
        <v>40</v>
      </c>
      <c r="R1929" t="s">
        <v>41</v>
      </c>
      <c r="S1929">
        <v>4608</v>
      </c>
      <c r="T1929" t="s">
        <v>42</v>
      </c>
      <c r="U1929" t="str">
        <f t="shared" si="30"/>
        <v>Pass</v>
      </c>
    </row>
    <row r="1930" spans="1:21">
      <c r="A1930" t="s">
        <v>3293</v>
      </c>
      <c r="B1930" t="s">
        <v>625</v>
      </c>
      <c r="C1930" t="s">
        <v>37</v>
      </c>
      <c r="D1930">
        <v>4</v>
      </c>
      <c r="E1930" t="s">
        <v>47</v>
      </c>
      <c r="F1930">
        <v>9</v>
      </c>
      <c r="G1930" t="s">
        <v>32</v>
      </c>
      <c r="H1930" t="s">
        <v>2203</v>
      </c>
      <c r="I1930">
        <v>98</v>
      </c>
      <c r="J1930">
        <v>55</v>
      </c>
      <c r="K1930">
        <v>52</v>
      </c>
      <c r="L1930">
        <v>48</v>
      </c>
      <c r="M1930">
        <v>77</v>
      </c>
      <c r="N1930">
        <v>97</v>
      </c>
      <c r="O1930">
        <v>329</v>
      </c>
      <c r="P1930">
        <v>65.8</v>
      </c>
      <c r="Q1930" t="s">
        <v>26</v>
      </c>
      <c r="R1930" t="s">
        <v>41</v>
      </c>
      <c r="S1930">
        <v>2010</v>
      </c>
      <c r="T1930" t="s">
        <v>66</v>
      </c>
      <c r="U1930" t="str">
        <f t="shared" si="30"/>
        <v>Pass</v>
      </c>
    </row>
    <row r="1931" spans="1:21">
      <c r="A1931" t="s">
        <v>3294</v>
      </c>
      <c r="B1931" t="s">
        <v>594</v>
      </c>
      <c r="C1931" t="s">
        <v>37</v>
      </c>
      <c r="D1931">
        <v>7</v>
      </c>
      <c r="E1931" t="s">
        <v>31</v>
      </c>
      <c r="F1931">
        <v>11</v>
      </c>
      <c r="G1931" t="s">
        <v>54</v>
      </c>
      <c r="H1931" t="s">
        <v>1039</v>
      </c>
      <c r="I1931">
        <v>75</v>
      </c>
      <c r="J1931">
        <v>74</v>
      </c>
      <c r="K1931">
        <v>85</v>
      </c>
      <c r="L1931">
        <v>68</v>
      </c>
      <c r="M1931">
        <v>78</v>
      </c>
      <c r="N1931">
        <v>51</v>
      </c>
      <c r="O1931">
        <v>356</v>
      </c>
      <c r="P1931">
        <v>71.2</v>
      </c>
      <c r="Q1931" t="s">
        <v>40</v>
      </c>
      <c r="R1931" t="s">
        <v>27</v>
      </c>
      <c r="S1931">
        <v>1867</v>
      </c>
      <c r="T1931" t="s">
        <v>34</v>
      </c>
      <c r="U1931" t="str">
        <f t="shared" si="30"/>
        <v>Pass</v>
      </c>
    </row>
    <row r="1932" spans="1:21">
      <c r="A1932" t="s">
        <v>3295</v>
      </c>
      <c r="B1932" t="s">
        <v>365</v>
      </c>
      <c r="C1932" t="s">
        <v>22</v>
      </c>
      <c r="D1932">
        <v>7</v>
      </c>
      <c r="E1932" t="s">
        <v>23</v>
      </c>
      <c r="F1932">
        <v>11</v>
      </c>
      <c r="G1932" t="s">
        <v>45</v>
      </c>
      <c r="H1932" t="s">
        <v>3296</v>
      </c>
      <c r="I1932">
        <v>62</v>
      </c>
      <c r="J1932">
        <v>55</v>
      </c>
      <c r="K1932">
        <v>44</v>
      </c>
      <c r="L1932">
        <v>85</v>
      </c>
      <c r="M1932">
        <v>88</v>
      </c>
      <c r="N1932">
        <v>91</v>
      </c>
      <c r="O1932">
        <v>363</v>
      </c>
      <c r="P1932">
        <v>72.599999999999994</v>
      </c>
      <c r="Q1932" t="s">
        <v>40</v>
      </c>
      <c r="R1932" t="s">
        <v>27</v>
      </c>
      <c r="S1932">
        <v>3788</v>
      </c>
      <c r="T1932" t="s">
        <v>28</v>
      </c>
      <c r="U1932" t="str">
        <f t="shared" si="30"/>
        <v>Pass</v>
      </c>
    </row>
    <row r="1933" spans="1:21">
      <c r="A1933" t="s">
        <v>3297</v>
      </c>
      <c r="B1933" t="s">
        <v>322</v>
      </c>
      <c r="C1933" t="s">
        <v>22</v>
      </c>
      <c r="D1933">
        <v>3</v>
      </c>
      <c r="E1933" t="s">
        <v>31</v>
      </c>
      <c r="F1933">
        <v>9</v>
      </c>
      <c r="G1933" t="s">
        <v>58</v>
      </c>
      <c r="H1933" t="s">
        <v>3298</v>
      </c>
      <c r="I1933">
        <v>68</v>
      </c>
      <c r="J1933">
        <v>84</v>
      </c>
      <c r="K1933">
        <v>74</v>
      </c>
      <c r="L1933">
        <v>88</v>
      </c>
      <c r="M1933">
        <v>50</v>
      </c>
      <c r="N1933">
        <v>73</v>
      </c>
      <c r="O1933">
        <v>369</v>
      </c>
      <c r="P1933">
        <v>73.8</v>
      </c>
      <c r="Q1933" t="s">
        <v>40</v>
      </c>
      <c r="R1933" t="s">
        <v>41</v>
      </c>
      <c r="S1933">
        <v>4579</v>
      </c>
      <c r="T1933" t="s">
        <v>28</v>
      </c>
      <c r="U1933" t="str">
        <f t="shared" si="30"/>
        <v>Pass</v>
      </c>
    </row>
    <row r="1934" spans="1:21">
      <c r="A1934" t="s">
        <v>3299</v>
      </c>
      <c r="B1934" t="s">
        <v>490</v>
      </c>
      <c r="C1934" t="s">
        <v>37</v>
      </c>
      <c r="D1934">
        <v>5</v>
      </c>
      <c r="E1934" t="s">
        <v>31</v>
      </c>
      <c r="F1934">
        <v>10</v>
      </c>
      <c r="G1934" t="s">
        <v>32</v>
      </c>
      <c r="H1934" t="s">
        <v>209</v>
      </c>
      <c r="I1934">
        <v>84</v>
      </c>
      <c r="J1934">
        <v>94</v>
      </c>
      <c r="K1934">
        <v>52</v>
      </c>
      <c r="L1934">
        <v>77</v>
      </c>
      <c r="M1934">
        <v>65</v>
      </c>
      <c r="N1934">
        <v>85</v>
      </c>
      <c r="O1934">
        <v>373</v>
      </c>
      <c r="P1934">
        <v>74.599999999999994</v>
      </c>
      <c r="Q1934" t="s">
        <v>40</v>
      </c>
      <c r="R1934" t="s">
        <v>27</v>
      </c>
      <c r="S1934">
        <v>4092</v>
      </c>
      <c r="T1934" t="s">
        <v>42</v>
      </c>
      <c r="U1934" t="str">
        <f t="shared" si="30"/>
        <v>Pass</v>
      </c>
    </row>
    <row r="1935" spans="1:21">
      <c r="A1935" t="s">
        <v>3300</v>
      </c>
      <c r="B1935" t="s">
        <v>1410</v>
      </c>
      <c r="C1935" t="s">
        <v>37</v>
      </c>
      <c r="D1935">
        <v>8</v>
      </c>
      <c r="E1935" t="s">
        <v>26</v>
      </c>
      <c r="F1935">
        <v>13</v>
      </c>
      <c r="G1935" t="s">
        <v>32</v>
      </c>
      <c r="H1935" t="s">
        <v>1952</v>
      </c>
      <c r="I1935">
        <v>83</v>
      </c>
      <c r="J1935">
        <v>49</v>
      </c>
      <c r="K1935">
        <v>37</v>
      </c>
      <c r="L1935">
        <v>71</v>
      </c>
      <c r="M1935">
        <v>93</v>
      </c>
      <c r="N1935">
        <v>35</v>
      </c>
      <c r="O1935">
        <v>285</v>
      </c>
      <c r="P1935">
        <v>57</v>
      </c>
      <c r="Q1935" t="s">
        <v>31</v>
      </c>
      <c r="R1935" t="s">
        <v>41</v>
      </c>
      <c r="S1935">
        <v>4989</v>
      </c>
      <c r="T1935" t="s">
        <v>66</v>
      </c>
      <c r="U1935" t="str">
        <f t="shared" si="30"/>
        <v>Pass</v>
      </c>
    </row>
    <row r="1936" spans="1:21">
      <c r="A1936" t="s">
        <v>3301</v>
      </c>
      <c r="B1936" t="s">
        <v>389</v>
      </c>
      <c r="C1936" t="s">
        <v>22</v>
      </c>
      <c r="D1936">
        <v>7</v>
      </c>
      <c r="E1936" t="s">
        <v>31</v>
      </c>
      <c r="F1936">
        <v>11</v>
      </c>
      <c r="G1936" t="s">
        <v>54</v>
      </c>
      <c r="H1936" t="s">
        <v>2722</v>
      </c>
      <c r="I1936">
        <v>85</v>
      </c>
      <c r="J1936">
        <v>76</v>
      </c>
      <c r="K1936">
        <v>82</v>
      </c>
      <c r="L1936">
        <v>39</v>
      </c>
      <c r="M1936">
        <v>35</v>
      </c>
      <c r="N1936">
        <v>43</v>
      </c>
      <c r="O1936">
        <v>275</v>
      </c>
      <c r="P1936">
        <v>55</v>
      </c>
      <c r="Q1936" t="s">
        <v>31</v>
      </c>
      <c r="R1936" t="s">
        <v>27</v>
      </c>
      <c r="S1936">
        <v>4788</v>
      </c>
      <c r="T1936" t="s">
        <v>34</v>
      </c>
      <c r="U1936" t="str">
        <f t="shared" si="30"/>
        <v>Fail</v>
      </c>
    </row>
    <row r="1937" spans="1:21">
      <c r="A1937" t="s">
        <v>3302</v>
      </c>
      <c r="B1937" t="s">
        <v>777</v>
      </c>
      <c r="C1937" t="s">
        <v>22</v>
      </c>
      <c r="D1937">
        <v>3</v>
      </c>
      <c r="E1937" t="s">
        <v>26</v>
      </c>
      <c r="F1937">
        <v>7</v>
      </c>
      <c r="G1937" t="s">
        <v>24</v>
      </c>
      <c r="H1937" t="s">
        <v>169</v>
      </c>
      <c r="I1937">
        <v>64</v>
      </c>
      <c r="J1937">
        <v>96</v>
      </c>
      <c r="K1937">
        <v>37</v>
      </c>
      <c r="L1937">
        <v>66</v>
      </c>
      <c r="M1937">
        <v>81</v>
      </c>
      <c r="N1937">
        <v>70</v>
      </c>
      <c r="O1937">
        <v>350</v>
      </c>
      <c r="P1937">
        <v>70</v>
      </c>
      <c r="Q1937" t="s">
        <v>40</v>
      </c>
      <c r="R1937" t="s">
        <v>41</v>
      </c>
      <c r="S1937">
        <v>4496</v>
      </c>
      <c r="T1937" t="s">
        <v>34</v>
      </c>
      <c r="U1937" t="str">
        <f t="shared" si="30"/>
        <v>Pass</v>
      </c>
    </row>
    <row r="1938" spans="1:21">
      <c r="A1938" t="s">
        <v>3303</v>
      </c>
      <c r="B1938" t="s">
        <v>350</v>
      </c>
      <c r="C1938" t="s">
        <v>37</v>
      </c>
      <c r="D1938">
        <v>11</v>
      </c>
      <c r="E1938" t="s">
        <v>23</v>
      </c>
      <c r="F1938">
        <v>17</v>
      </c>
      <c r="G1938" t="s">
        <v>54</v>
      </c>
      <c r="H1938" t="s">
        <v>3304</v>
      </c>
      <c r="I1938">
        <v>63</v>
      </c>
      <c r="J1938">
        <v>57</v>
      </c>
      <c r="K1938">
        <v>39</v>
      </c>
      <c r="L1938">
        <v>87</v>
      </c>
      <c r="M1938">
        <v>100</v>
      </c>
      <c r="N1938">
        <v>65</v>
      </c>
      <c r="O1938">
        <v>348</v>
      </c>
      <c r="P1938">
        <v>69.599999999999994</v>
      </c>
      <c r="Q1938" t="s">
        <v>26</v>
      </c>
      <c r="R1938" t="s">
        <v>41</v>
      </c>
      <c r="S1938">
        <v>1562</v>
      </c>
      <c r="T1938" t="s">
        <v>34</v>
      </c>
      <c r="U1938" t="str">
        <f t="shared" si="30"/>
        <v>Pass</v>
      </c>
    </row>
    <row r="1939" spans="1:21">
      <c r="A1939" t="s">
        <v>3305</v>
      </c>
      <c r="B1939" t="s">
        <v>884</v>
      </c>
      <c r="C1939" t="s">
        <v>37</v>
      </c>
      <c r="D1939">
        <v>9</v>
      </c>
      <c r="E1939" t="s">
        <v>23</v>
      </c>
      <c r="F1939">
        <v>13</v>
      </c>
      <c r="G1939" t="s">
        <v>54</v>
      </c>
      <c r="H1939" t="s">
        <v>1037</v>
      </c>
      <c r="I1939">
        <v>65</v>
      </c>
      <c r="J1939">
        <v>95</v>
      </c>
      <c r="K1939">
        <v>81</v>
      </c>
      <c r="L1939">
        <v>70</v>
      </c>
      <c r="M1939">
        <v>55</v>
      </c>
      <c r="N1939">
        <v>86</v>
      </c>
      <c r="O1939">
        <v>387</v>
      </c>
      <c r="P1939">
        <v>77.400000000000006</v>
      </c>
      <c r="Q1939" t="s">
        <v>40</v>
      </c>
      <c r="R1939" t="s">
        <v>27</v>
      </c>
      <c r="S1939">
        <v>2748</v>
      </c>
      <c r="T1939" t="s">
        <v>66</v>
      </c>
      <c r="U1939" t="str">
        <f t="shared" si="30"/>
        <v>Pass</v>
      </c>
    </row>
    <row r="1940" spans="1:21">
      <c r="A1940" t="s">
        <v>3306</v>
      </c>
      <c r="B1940" t="s">
        <v>978</v>
      </c>
      <c r="C1940" t="s">
        <v>22</v>
      </c>
      <c r="D1940">
        <v>6</v>
      </c>
      <c r="E1940" t="s">
        <v>23</v>
      </c>
      <c r="F1940">
        <v>11</v>
      </c>
      <c r="G1940" t="s">
        <v>38</v>
      </c>
      <c r="H1940" t="s">
        <v>1099</v>
      </c>
      <c r="I1940">
        <v>71</v>
      </c>
      <c r="J1940">
        <v>99</v>
      </c>
      <c r="K1940">
        <v>53</v>
      </c>
      <c r="L1940">
        <v>99</v>
      </c>
      <c r="M1940">
        <v>89</v>
      </c>
      <c r="N1940">
        <v>58</v>
      </c>
      <c r="O1940">
        <v>398</v>
      </c>
      <c r="P1940">
        <v>79.599999999999994</v>
      </c>
      <c r="Q1940" t="s">
        <v>40</v>
      </c>
      <c r="R1940" t="s">
        <v>27</v>
      </c>
      <c r="S1940">
        <v>1616</v>
      </c>
      <c r="T1940" t="s">
        <v>70</v>
      </c>
      <c r="U1940" t="str">
        <f t="shared" si="30"/>
        <v>Pass</v>
      </c>
    </row>
    <row r="1941" spans="1:21">
      <c r="A1941" t="s">
        <v>3307</v>
      </c>
      <c r="B1941" t="s">
        <v>157</v>
      </c>
      <c r="C1941" t="s">
        <v>22</v>
      </c>
      <c r="D1941">
        <v>2</v>
      </c>
      <c r="E1941" t="s">
        <v>26</v>
      </c>
      <c r="F1941">
        <v>7</v>
      </c>
      <c r="G1941" t="s">
        <v>45</v>
      </c>
      <c r="H1941" t="s">
        <v>2805</v>
      </c>
      <c r="I1941">
        <v>82</v>
      </c>
      <c r="J1941">
        <v>61</v>
      </c>
      <c r="K1941">
        <v>58</v>
      </c>
      <c r="L1941">
        <v>98</v>
      </c>
      <c r="M1941">
        <v>75</v>
      </c>
      <c r="N1941">
        <v>79</v>
      </c>
      <c r="O1941">
        <v>371</v>
      </c>
      <c r="P1941">
        <v>74.2</v>
      </c>
      <c r="Q1941" t="s">
        <v>40</v>
      </c>
      <c r="R1941" t="s">
        <v>41</v>
      </c>
      <c r="S1941">
        <v>4758</v>
      </c>
      <c r="T1941" t="s">
        <v>70</v>
      </c>
      <c r="U1941" t="str">
        <f t="shared" si="30"/>
        <v>Pass</v>
      </c>
    </row>
    <row r="1942" spans="1:21">
      <c r="A1942" t="s">
        <v>3308</v>
      </c>
      <c r="B1942" t="s">
        <v>1326</v>
      </c>
      <c r="C1942" t="s">
        <v>22</v>
      </c>
      <c r="D1942">
        <v>10</v>
      </c>
      <c r="E1942" t="s">
        <v>23</v>
      </c>
      <c r="F1942">
        <v>16</v>
      </c>
      <c r="G1942" t="s">
        <v>54</v>
      </c>
      <c r="H1942" t="s">
        <v>149</v>
      </c>
      <c r="I1942">
        <v>98</v>
      </c>
      <c r="J1942">
        <v>80</v>
      </c>
      <c r="K1942">
        <v>42</v>
      </c>
      <c r="L1942">
        <v>62</v>
      </c>
      <c r="M1942">
        <v>100</v>
      </c>
      <c r="N1942">
        <v>46</v>
      </c>
      <c r="O1942">
        <v>330</v>
      </c>
      <c r="P1942">
        <v>66</v>
      </c>
      <c r="Q1942" t="s">
        <v>26</v>
      </c>
      <c r="R1942" t="s">
        <v>27</v>
      </c>
      <c r="S1942">
        <v>2304</v>
      </c>
      <c r="T1942" t="s">
        <v>42</v>
      </c>
      <c r="U1942" t="str">
        <f t="shared" si="30"/>
        <v>Pass</v>
      </c>
    </row>
    <row r="1943" spans="1:21">
      <c r="A1943" t="s">
        <v>3309</v>
      </c>
      <c r="B1943" t="s">
        <v>370</v>
      </c>
      <c r="C1943" t="s">
        <v>22</v>
      </c>
      <c r="D1943">
        <v>10</v>
      </c>
      <c r="E1943" t="s">
        <v>23</v>
      </c>
      <c r="F1943">
        <v>15</v>
      </c>
      <c r="G1943" t="s">
        <v>54</v>
      </c>
      <c r="H1943" t="s">
        <v>285</v>
      </c>
      <c r="I1943">
        <v>91</v>
      </c>
      <c r="J1943">
        <v>81</v>
      </c>
      <c r="K1943">
        <v>96</v>
      </c>
      <c r="L1943">
        <v>88</v>
      </c>
      <c r="M1943">
        <v>72</v>
      </c>
      <c r="N1943">
        <v>78</v>
      </c>
      <c r="O1943">
        <v>415</v>
      </c>
      <c r="P1943">
        <v>83</v>
      </c>
      <c r="Q1943" t="s">
        <v>47</v>
      </c>
      <c r="R1943" t="s">
        <v>41</v>
      </c>
      <c r="S1943">
        <v>3577</v>
      </c>
      <c r="T1943" t="s">
        <v>66</v>
      </c>
      <c r="U1943" t="str">
        <f t="shared" si="30"/>
        <v>Pass</v>
      </c>
    </row>
    <row r="1944" spans="1:21">
      <c r="A1944" t="s">
        <v>3310</v>
      </c>
      <c r="B1944" t="s">
        <v>365</v>
      </c>
      <c r="C1944" t="s">
        <v>22</v>
      </c>
      <c r="D1944">
        <v>9</v>
      </c>
      <c r="E1944" t="s">
        <v>47</v>
      </c>
      <c r="F1944">
        <v>15</v>
      </c>
      <c r="G1944" t="s">
        <v>54</v>
      </c>
      <c r="H1944" t="s">
        <v>227</v>
      </c>
      <c r="I1944">
        <v>62</v>
      </c>
      <c r="J1944">
        <v>93</v>
      </c>
      <c r="K1944">
        <v>74</v>
      </c>
      <c r="L1944">
        <v>36</v>
      </c>
      <c r="M1944">
        <v>51</v>
      </c>
      <c r="N1944">
        <v>81</v>
      </c>
      <c r="O1944">
        <v>335</v>
      </c>
      <c r="P1944">
        <v>67</v>
      </c>
      <c r="Q1944" t="s">
        <v>26</v>
      </c>
      <c r="R1944" t="s">
        <v>27</v>
      </c>
      <c r="S1944">
        <v>1809</v>
      </c>
      <c r="T1944" t="s">
        <v>42</v>
      </c>
      <c r="U1944" t="str">
        <f t="shared" si="30"/>
        <v>Pass</v>
      </c>
    </row>
    <row r="1945" spans="1:21">
      <c r="A1945" t="s">
        <v>3311</v>
      </c>
      <c r="B1945" t="s">
        <v>1142</v>
      </c>
      <c r="C1945" t="s">
        <v>22</v>
      </c>
      <c r="D1945">
        <v>11</v>
      </c>
      <c r="E1945" t="s">
        <v>26</v>
      </c>
      <c r="F1945">
        <v>16</v>
      </c>
      <c r="G1945" t="s">
        <v>45</v>
      </c>
      <c r="H1945" t="s">
        <v>580</v>
      </c>
      <c r="I1945">
        <v>92</v>
      </c>
      <c r="J1945">
        <v>86</v>
      </c>
      <c r="K1945">
        <v>94</v>
      </c>
      <c r="L1945">
        <v>52</v>
      </c>
      <c r="M1945">
        <v>77</v>
      </c>
      <c r="N1945">
        <v>92</v>
      </c>
      <c r="O1945">
        <v>401</v>
      </c>
      <c r="P1945">
        <v>80.2</v>
      </c>
      <c r="Q1945" t="s">
        <v>47</v>
      </c>
      <c r="R1945" t="s">
        <v>27</v>
      </c>
      <c r="S1945">
        <v>2404</v>
      </c>
      <c r="T1945" t="s">
        <v>34</v>
      </c>
      <c r="U1945" t="str">
        <f t="shared" si="30"/>
        <v>Pass</v>
      </c>
    </row>
    <row r="1946" spans="1:21">
      <c r="A1946" t="s">
        <v>3312</v>
      </c>
      <c r="B1946" t="s">
        <v>193</v>
      </c>
      <c r="C1946" t="s">
        <v>22</v>
      </c>
      <c r="D1946">
        <v>7</v>
      </c>
      <c r="E1946" t="s">
        <v>26</v>
      </c>
      <c r="F1946">
        <v>11</v>
      </c>
      <c r="G1946" t="s">
        <v>38</v>
      </c>
      <c r="H1946" t="s">
        <v>3313</v>
      </c>
      <c r="I1946">
        <v>67</v>
      </c>
      <c r="J1946">
        <v>68</v>
      </c>
      <c r="K1946">
        <v>52</v>
      </c>
      <c r="L1946">
        <v>43</v>
      </c>
      <c r="M1946">
        <v>39</v>
      </c>
      <c r="N1946">
        <v>59</v>
      </c>
      <c r="O1946">
        <v>261</v>
      </c>
      <c r="P1946">
        <v>52.2</v>
      </c>
      <c r="Q1946" t="s">
        <v>31</v>
      </c>
      <c r="R1946" t="s">
        <v>27</v>
      </c>
      <c r="S1946">
        <v>3326</v>
      </c>
      <c r="T1946" t="s">
        <v>48</v>
      </c>
      <c r="U1946" t="str">
        <f t="shared" si="30"/>
        <v>Fail</v>
      </c>
    </row>
    <row r="1947" spans="1:21">
      <c r="A1947" t="s">
        <v>3314</v>
      </c>
      <c r="B1947" t="s">
        <v>211</v>
      </c>
      <c r="C1947" t="s">
        <v>22</v>
      </c>
      <c r="D1947">
        <v>6</v>
      </c>
      <c r="E1947" t="s">
        <v>47</v>
      </c>
      <c r="F1947">
        <v>10</v>
      </c>
      <c r="G1947" t="s">
        <v>64</v>
      </c>
      <c r="H1947" t="s">
        <v>1536</v>
      </c>
      <c r="I1947">
        <v>93</v>
      </c>
      <c r="J1947">
        <v>55</v>
      </c>
      <c r="K1947">
        <v>92</v>
      </c>
      <c r="L1947">
        <v>40</v>
      </c>
      <c r="M1947">
        <v>49</v>
      </c>
      <c r="N1947">
        <v>45</v>
      </c>
      <c r="O1947">
        <v>281</v>
      </c>
      <c r="P1947">
        <v>56.2</v>
      </c>
      <c r="Q1947" t="s">
        <v>31</v>
      </c>
      <c r="R1947" t="s">
        <v>27</v>
      </c>
      <c r="S1947">
        <v>3767</v>
      </c>
      <c r="T1947" t="s">
        <v>66</v>
      </c>
      <c r="U1947" t="str">
        <f t="shared" si="30"/>
        <v>Pass</v>
      </c>
    </row>
    <row r="1948" spans="1:21">
      <c r="A1948" t="s">
        <v>3315</v>
      </c>
      <c r="B1948" t="s">
        <v>61</v>
      </c>
      <c r="C1948" t="s">
        <v>22</v>
      </c>
      <c r="D1948">
        <v>6</v>
      </c>
      <c r="E1948" t="s">
        <v>47</v>
      </c>
      <c r="F1948">
        <v>12</v>
      </c>
      <c r="G1948" t="s">
        <v>64</v>
      </c>
      <c r="H1948" t="s">
        <v>2046</v>
      </c>
      <c r="I1948">
        <v>63</v>
      </c>
      <c r="J1948">
        <v>81</v>
      </c>
      <c r="K1948">
        <v>72</v>
      </c>
      <c r="L1948">
        <v>74</v>
      </c>
      <c r="M1948">
        <v>87</v>
      </c>
      <c r="N1948">
        <v>94</v>
      </c>
      <c r="O1948">
        <v>408</v>
      </c>
      <c r="P1948">
        <v>81.599999999999994</v>
      </c>
      <c r="Q1948" t="s">
        <v>47</v>
      </c>
      <c r="R1948" t="s">
        <v>27</v>
      </c>
      <c r="S1948">
        <v>3357</v>
      </c>
      <c r="T1948" t="s">
        <v>48</v>
      </c>
      <c r="U1948" t="str">
        <f t="shared" si="30"/>
        <v>Pass</v>
      </c>
    </row>
    <row r="1949" spans="1:21">
      <c r="A1949" t="s">
        <v>3316</v>
      </c>
      <c r="B1949" t="s">
        <v>602</v>
      </c>
      <c r="C1949" t="s">
        <v>37</v>
      </c>
      <c r="D1949">
        <v>12</v>
      </c>
      <c r="E1949" t="s">
        <v>47</v>
      </c>
      <c r="F1949">
        <v>17</v>
      </c>
      <c r="G1949" t="s">
        <v>58</v>
      </c>
      <c r="H1949" t="s">
        <v>303</v>
      </c>
      <c r="I1949">
        <v>66</v>
      </c>
      <c r="J1949">
        <v>72</v>
      </c>
      <c r="K1949">
        <v>99</v>
      </c>
      <c r="L1949">
        <v>95</v>
      </c>
      <c r="M1949">
        <v>63</v>
      </c>
      <c r="N1949">
        <v>84</v>
      </c>
      <c r="O1949">
        <v>413</v>
      </c>
      <c r="P1949">
        <v>82.6</v>
      </c>
      <c r="Q1949" t="s">
        <v>47</v>
      </c>
      <c r="R1949" t="s">
        <v>41</v>
      </c>
      <c r="S1949">
        <v>3823</v>
      </c>
      <c r="T1949" t="s">
        <v>34</v>
      </c>
      <c r="U1949" t="str">
        <f t="shared" si="30"/>
        <v>Pass</v>
      </c>
    </row>
    <row r="1950" spans="1:21">
      <c r="A1950" t="s">
        <v>3317</v>
      </c>
      <c r="B1950" t="s">
        <v>302</v>
      </c>
      <c r="C1950" t="s">
        <v>22</v>
      </c>
      <c r="D1950">
        <v>11</v>
      </c>
      <c r="E1950" t="s">
        <v>23</v>
      </c>
      <c r="F1950">
        <v>16</v>
      </c>
      <c r="G1950" t="s">
        <v>58</v>
      </c>
      <c r="H1950" t="s">
        <v>3318</v>
      </c>
      <c r="I1950">
        <v>75</v>
      </c>
      <c r="J1950">
        <v>98</v>
      </c>
      <c r="K1950">
        <v>99</v>
      </c>
      <c r="L1950">
        <v>67</v>
      </c>
      <c r="M1950">
        <v>63</v>
      </c>
      <c r="N1950">
        <v>67</v>
      </c>
      <c r="O1950">
        <v>394</v>
      </c>
      <c r="P1950">
        <v>78.8</v>
      </c>
      <c r="Q1950" t="s">
        <v>40</v>
      </c>
      <c r="R1950" t="s">
        <v>27</v>
      </c>
      <c r="S1950">
        <v>2883</v>
      </c>
      <c r="T1950" t="s">
        <v>48</v>
      </c>
      <c r="U1950" t="str">
        <f t="shared" si="30"/>
        <v>Pass</v>
      </c>
    </row>
    <row r="1951" spans="1:21">
      <c r="A1951" t="s">
        <v>3319</v>
      </c>
      <c r="B1951" t="s">
        <v>926</v>
      </c>
      <c r="C1951" t="s">
        <v>22</v>
      </c>
      <c r="D1951">
        <v>7</v>
      </c>
      <c r="E1951" t="s">
        <v>47</v>
      </c>
      <c r="F1951">
        <v>12</v>
      </c>
      <c r="G1951" t="s">
        <v>24</v>
      </c>
      <c r="H1951" t="s">
        <v>2275</v>
      </c>
      <c r="I1951">
        <v>67</v>
      </c>
      <c r="J1951">
        <v>86</v>
      </c>
      <c r="K1951">
        <v>92</v>
      </c>
      <c r="L1951">
        <v>94</v>
      </c>
      <c r="M1951">
        <v>49</v>
      </c>
      <c r="N1951">
        <v>59</v>
      </c>
      <c r="O1951">
        <v>380</v>
      </c>
      <c r="P1951">
        <v>76</v>
      </c>
      <c r="Q1951" t="s">
        <v>40</v>
      </c>
      <c r="R1951" t="s">
        <v>41</v>
      </c>
      <c r="S1951">
        <v>2457</v>
      </c>
      <c r="T1951" t="s">
        <v>70</v>
      </c>
      <c r="U1951" t="str">
        <f t="shared" si="30"/>
        <v>Pass</v>
      </c>
    </row>
    <row r="1952" spans="1:21">
      <c r="A1952" t="s">
        <v>3320</v>
      </c>
      <c r="B1952" t="s">
        <v>157</v>
      </c>
      <c r="C1952" t="s">
        <v>37</v>
      </c>
      <c r="D1952">
        <v>2</v>
      </c>
      <c r="E1952" t="s">
        <v>23</v>
      </c>
      <c r="F1952">
        <v>8</v>
      </c>
      <c r="G1952" t="s">
        <v>58</v>
      </c>
      <c r="H1952" t="s">
        <v>580</v>
      </c>
      <c r="I1952">
        <v>91</v>
      </c>
      <c r="J1952">
        <v>97</v>
      </c>
      <c r="K1952">
        <v>41</v>
      </c>
      <c r="L1952">
        <v>84</v>
      </c>
      <c r="M1952">
        <v>91</v>
      </c>
      <c r="N1952">
        <v>88</v>
      </c>
      <c r="O1952">
        <v>401</v>
      </c>
      <c r="P1952">
        <v>80.2</v>
      </c>
      <c r="Q1952" t="s">
        <v>47</v>
      </c>
      <c r="R1952" t="s">
        <v>27</v>
      </c>
      <c r="S1952">
        <v>2631</v>
      </c>
      <c r="T1952" t="s">
        <v>28</v>
      </c>
      <c r="U1952" t="str">
        <f t="shared" si="30"/>
        <v>Pass</v>
      </c>
    </row>
    <row r="1953" spans="1:21">
      <c r="A1953" t="s">
        <v>3321</v>
      </c>
      <c r="B1953" t="s">
        <v>78</v>
      </c>
      <c r="C1953" t="s">
        <v>37</v>
      </c>
      <c r="D1953">
        <v>7</v>
      </c>
      <c r="E1953" t="s">
        <v>26</v>
      </c>
      <c r="F1953">
        <v>12</v>
      </c>
      <c r="G1953" t="s">
        <v>64</v>
      </c>
      <c r="H1953" t="s">
        <v>3322</v>
      </c>
      <c r="I1953">
        <v>80</v>
      </c>
      <c r="J1953">
        <v>47</v>
      </c>
      <c r="K1953">
        <v>78</v>
      </c>
      <c r="L1953">
        <v>56</v>
      </c>
      <c r="M1953">
        <v>65</v>
      </c>
      <c r="N1953">
        <v>55</v>
      </c>
      <c r="O1953">
        <v>301</v>
      </c>
      <c r="P1953">
        <v>60.2</v>
      </c>
      <c r="Q1953" t="s">
        <v>26</v>
      </c>
      <c r="R1953" t="s">
        <v>41</v>
      </c>
      <c r="S1953">
        <v>2070</v>
      </c>
      <c r="T1953" t="s">
        <v>70</v>
      </c>
      <c r="U1953" t="str">
        <f t="shared" si="30"/>
        <v>Pass</v>
      </c>
    </row>
    <row r="1954" spans="1:21">
      <c r="A1954" t="s">
        <v>3323</v>
      </c>
      <c r="B1954" t="s">
        <v>274</v>
      </c>
      <c r="C1954" t="s">
        <v>22</v>
      </c>
      <c r="D1954">
        <v>11</v>
      </c>
      <c r="E1954" t="s">
        <v>26</v>
      </c>
      <c r="F1954">
        <v>17</v>
      </c>
      <c r="G1954" t="s">
        <v>32</v>
      </c>
      <c r="H1954" t="s">
        <v>2817</v>
      </c>
      <c r="I1954">
        <v>75</v>
      </c>
      <c r="J1954">
        <v>51</v>
      </c>
      <c r="K1954">
        <v>86</v>
      </c>
      <c r="L1954">
        <v>93</v>
      </c>
      <c r="M1954">
        <v>62</v>
      </c>
      <c r="N1954">
        <v>39</v>
      </c>
      <c r="O1954">
        <v>331</v>
      </c>
      <c r="P1954">
        <v>66.2</v>
      </c>
      <c r="Q1954" t="s">
        <v>26</v>
      </c>
      <c r="R1954" t="s">
        <v>27</v>
      </c>
      <c r="S1954">
        <v>4713</v>
      </c>
      <c r="T1954" t="s">
        <v>48</v>
      </c>
      <c r="U1954" t="str">
        <f t="shared" si="30"/>
        <v>Pass</v>
      </c>
    </row>
    <row r="1955" spans="1:21">
      <c r="A1955" t="s">
        <v>3324</v>
      </c>
      <c r="B1955" t="s">
        <v>614</v>
      </c>
      <c r="C1955" t="s">
        <v>22</v>
      </c>
      <c r="D1955">
        <v>5</v>
      </c>
      <c r="E1955" t="s">
        <v>23</v>
      </c>
      <c r="F1955">
        <v>10</v>
      </c>
      <c r="G1955" t="s">
        <v>24</v>
      </c>
      <c r="H1955" t="s">
        <v>1884</v>
      </c>
      <c r="I1955">
        <v>66</v>
      </c>
      <c r="J1955">
        <v>68</v>
      </c>
      <c r="K1955">
        <v>44</v>
      </c>
      <c r="L1955">
        <v>69</v>
      </c>
      <c r="M1955">
        <v>61</v>
      </c>
      <c r="N1955">
        <v>46</v>
      </c>
      <c r="O1955">
        <v>288</v>
      </c>
      <c r="P1955">
        <v>57.6</v>
      </c>
      <c r="Q1955" t="s">
        <v>31</v>
      </c>
      <c r="R1955" t="s">
        <v>27</v>
      </c>
      <c r="S1955">
        <v>2399</v>
      </c>
      <c r="T1955" t="s">
        <v>34</v>
      </c>
      <c r="U1955" t="str">
        <f t="shared" si="30"/>
        <v>Pass</v>
      </c>
    </row>
    <row r="1956" spans="1:21">
      <c r="A1956" t="s">
        <v>3325</v>
      </c>
      <c r="B1956" t="s">
        <v>181</v>
      </c>
      <c r="C1956" t="s">
        <v>37</v>
      </c>
      <c r="D1956">
        <v>10</v>
      </c>
      <c r="E1956" t="s">
        <v>26</v>
      </c>
      <c r="F1956">
        <v>16</v>
      </c>
      <c r="G1956" t="s">
        <v>54</v>
      </c>
      <c r="H1956" t="s">
        <v>534</v>
      </c>
      <c r="I1956">
        <v>64</v>
      </c>
      <c r="J1956">
        <v>45</v>
      </c>
      <c r="K1956">
        <v>62</v>
      </c>
      <c r="L1956">
        <v>57</v>
      </c>
      <c r="M1956">
        <v>75</v>
      </c>
      <c r="N1956">
        <v>88</v>
      </c>
      <c r="O1956">
        <v>327</v>
      </c>
      <c r="P1956">
        <v>65.400000000000006</v>
      </c>
      <c r="Q1956" t="s">
        <v>26</v>
      </c>
      <c r="R1956" t="s">
        <v>27</v>
      </c>
      <c r="S1956">
        <v>2425</v>
      </c>
      <c r="T1956" t="s">
        <v>48</v>
      </c>
      <c r="U1956" t="str">
        <f t="shared" si="30"/>
        <v>Pass</v>
      </c>
    </row>
    <row r="1957" spans="1:21">
      <c r="A1957" t="s">
        <v>3326</v>
      </c>
      <c r="B1957" t="s">
        <v>261</v>
      </c>
      <c r="C1957" t="s">
        <v>37</v>
      </c>
      <c r="D1957">
        <v>3</v>
      </c>
      <c r="E1957" t="s">
        <v>23</v>
      </c>
      <c r="F1957">
        <v>9</v>
      </c>
      <c r="G1957" t="s">
        <v>54</v>
      </c>
      <c r="H1957" t="s">
        <v>3327</v>
      </c>
      <c r="I1957">
        <v>78</v>
      </c>
      <c r="J1957">
        <v>90</v>
      </c>
      <c r="K1957">
        <v>78</v>
      </c>
      <c r="L1957">
        <v>44</v>
      </c>
      <c r="M1957">
        <v>86</v>
      </c>
      <c r="N1957">
        <v>47</v>
      </c>
      <c r="O1957">
        <v>345</v>
      </c>
      <c r="P1957">
        <v>69</v>
      </c>
      <c r="Q1957" t="s">
        <v>26</v>
      </c>
      <c r="R1957" t="s">
        <v>27</v>
      </c>
      <c r="S1957">
        <v>4351</v>
      </c>
      <c r="T1957" t="s">
        <v>28</v>
      </c>
      <c r="U1957" t="str">
        <f t="shared" si="30"/>
        <v>Pass</v>
      </c>
    </row>
    <row r="1958" spans="1:21">
      <c r="A1958" t="s">
        <v>3328</v>
      </c>
      <c r="B1958" t="s">
        <v>87</v>
      </c>
      <c r="C1958" t="s">
        <v>37</v>
      </c>
      <c r="D1958">
        <v>6</v>
      </c>
      <c r="E1958" t="s">
        <v>47</v>
      </c>
      <c r="F1958">
        <v>11</v>
      </c>
      <c r="G1958" t="s">
        <v>32</v>
      </c>
      <c r="H1958" t="s">
        <v>3329</v>
      </c>
      <c r="I1958">
        <v>62</v>
      </c>
      <c r="J1958">
        <v>61</v>
      </c>
      <c r="K1958">
        <v>69</v>
      </c>
      <c r="L1958">
        <v>42</v>
      </c>
      <c r="M1958">
        <v>58</v>
      </c>
      <c r="N1958">
        <v>69</v>
      </c>
      <c r="O1958">
        <v>299</v>
      </c>
      <c r="P1958">
        <v>59.8</v>
      </c>
      <c r="Q1958" t="s">
        <v>31</v>
      </c>
      <c r="R1958" t="s">
        <v>41</v>
      </c>
      <c r="S1958">
        <v>3295</v>
      </c>
      <c r="T1958" t="s">
        <v>28</v>
      </c>
      <c r="U1958" t="str">
        <f t="shared" si="30"/>
        <v>Pass</v>
      </c>
    </row>
    <row r="1959" spans="1:21">
      <c r="A1959" t="s">
        <v>3330</v>
      </c>
      <c r="B1959" t="s">
        <v>586</v>
      </c>
      <c r="C1959" t="s">
        <v>22</v>
      </c>
      <c r="D1959">
        <v>3</v>
      </c>
      <c r="E1959" t="s">
        <v>31</v>
      </c>
      <c r="F1959">
        <v>8</v>
      </c>
      <c r="G1959" t="s">
        <v>64</v>
      </c>
      <c r="H1959" t="s">
        <v>2214</v>
      </c>
      <c r="I1959">
        <v>94</v>
      </c>
      <c r="J1959">
        <v>61</v>
      </c>
      <c r="K1959">
        <v>46</v>
      </c>
      <c r="L1959">
        <v>40</v>
      </c>
      <c r="M1959">
        <v>92</v>
      </c>
      <c r="N1959">
        <v>93</v>
      </c>
      <c r="O1959">
        <v>332</v>
      </c>
      <c r="P1959">
        <v>66.400000000000006</v>
      </c>
      <c r="Q1959" t="s">
        <v>26</v>
      </c>
      <c r="R1959" t="s">
        <v>41</v>
      </c>
      <c r="S1959">
        <v>1790</v>
      </c>
      <c r="T1959" t="s">
        <v>70</v>
      </c>
      <c r="U1959" t="str">
        <f t="shared" si="30"/>
        <v>Pass</v>
      </c>
    </row>
    <row r="1960" spans="1:21">
      <c r="A1960" t="s">
        <v>3331</v>
      </c>
      <c r="B1960" t="s">
        <v>493</v>
      </c>
      <c r="C1960" t="s">
        <v>37</v>
      </c>
      <c r="D1960">
        <v>10</v>
      </c>
      <c r="E1960" t="s">
        <v>31</v>
      </c>
      <c r="F1960">
        <v>14</v>
      </c>
      <c r="G1960" t="s">
        <v>24</v>
      </c>
      <c r="H1960" t="s">
        <v>2634</v>
      </c>
      <c r="I1960">
        <v>61</v>
      </c>
      <c r="J1960">
        <v>67</v>
      </c>
      <c r="K1960">
        <v>45</v>
      </c>
      <c r="L1960">
        <v>44</v>
      </c>
      <c r="M1960">
        <v>44</v>
      </c>
      <c r="N1960">
        <v>48</v>
      </c>
      <c r="O1960">
        <v>248</v>
      </c>
      <c r="P1960">
        <v>49.6</v>
      </c>
      <c r="Q1960" t="s">
        <v>23</v>
      </c>
      <c r="R1960" t="s">
        <v>27</v>
      </c>
      <c r="S1960">
        <v>2714</v>
      </c>
      <c r="T1960" t="s">
        <v>34</v>
      </c>
      <c r="U1960" t="str">
        <f t="shared" si="30"/>
        <v>Fail</v>
      </c>
    </row>
    <row r="1961" spans="1:21">
      <c r="A1961" t="s">
        <v>3332</v>
      </c>
      <c r="B1961" t="s">
        <v>343</v>
      </c>
      <c r="C1961" t="s">
        <v>22</v>
      </c>
      <c r="D1961">
        <v>9</v>
      </c>
      <c r="E1961" t="s">
        <v>31</v>
      </c>
      <c r="F1961">
        <v>13</v>
      </c>
      <c r="G1961" t="s">
        <v>38</v>
      </c>
      <c r="H1961" t="s">
        <v>179</v>
      </c>
      <c r="I1961">
        <v>88</v>
      </c>
      <c r="J1961">
        <v>55</v>
      </c>
      <c r="K1961">
        <v>85</v>
      </c>
      <c r="L1961">
        <v>60</v>
      </c>
      <c r="M1961">
        <v>91</v>
      </c>
      <c r="N1961">
        <v>95</v>
      </c>
      <c r="O1961">
        <v>386</v>
      </c>
      <c r="P1961">
        <v>77.2</v>
      </c>
      <c r="Q1961" t="s">
        <v>40</v>
      </c>
      <c r="R1961" t="s">
        <v>41</v>
      </c>
      <c r="S1961">
        <v>2427</v>
      </c>
      <c r="T1961" t="s">
        <v>42</v>
      </c>
      <c r="U1961" t="str">
        <f t="shared" si="30"/>
        <v>Pass</v>
      </c>
    </row>
    <row r="1962" spans="1:21">
      <c r="A1962" t="s">
        <v>3333</v>
      </c>
      <c r="B1962" t="s">
        <v>308</v>
      </c>
      <c r="C1962" t="s">
        <v>37</v>
      </c>
      <c r="D1962">
        <v>1</v>
      </c>
      <c r="E1962" t="s">
        <v>47</v>
      </c>
      <c r="F1962">
        <v>6</v>
      </c>
      <c r="G1962" t="s">
        <v>58</v>
      </c>
      <c r="H1962" t="s">
        <v>3334</v>
      </c>
      <c r="I1962">
        <v>92</v>
      </c>
      <c r="J1962">
        <v>55</v>
      </c>
      <c r="K1962">
        <v>65</v>
      </c>
      <c r="L1962">
        <v>79</v>
      </c>
      <c r="M1962">
        <v>38</v>
      </c>
      <c r="N1962">
        <v>99</v>
      </c>
      <c r="O1962">
        <v>336</v>
      </c>
      <c r="P1962">
        <v>67.2</v>
      </c>
      <c r="Q1962" t="s">
        <v>26</v>
      </c>
      <c r="R1962" t="s">
        <v>27</v>
      </c>
      <c r="S1962">
        <v>2883</v>
      </c>
      <c r="T1962" t="s">
        <v>66</v>
      </c>
      <c r="U1962" t="str">
        <f t="shared" si="30"/>
        <v>Pass</v>
      </c>
    </row>
    <row r="1963" spans="1:21">
      <c r="A1963" t="s">
        <v>3335</v>
      </c>
      <c r="B1963" t="s">
        <v>72</v>
      </c>
      <c r="C1963" t="s">
        <v>37</v>
      </c>
      <c r="D1963">
        <v>6</v>
      </c>
      <c r="E1963" t="s">
        <v>26</v>
      </c>
      <c r="F1963">
        <v>12</v>
      </c>
      <c r="G1963" t="s">
        <v>58</v>
      </c>
      <c r="H1963" t="s">
        <v>3336</v>
      </c>
      <c r="I1963">
        <v>87</v>
      </c>
      <c r="J1963">
        <v>56</v>
      </c>
      <c r="K1963">
        <v>60</v>
      </c>
      <c r="L1963">
        <v>74</v>
      </c>
      <c r="M1963">
        <v>37</v>
      </c>
      <c r="N1963">
        <v>43</v>
      </c>
      <c r="O1963">
        <v>270</v>
      </c>
      <c r="P1963">
        <v>54</v>
      </c>
      <c r="Q1963" t="s">
        <v>31</v>
      </c>
      <c r="R1963" t="s">
        <v>27</v>
      </c>
      <c r="S1963">
        <v>1797</v>
      </c>
      <c r="T1963" t="s">
        <v>42</v>
      </c>
      <c r="U1963" t="str">
        <f t="shared" si="30"/>
        <v>Fail</v>
      </c>
    </row>
    <row r="1964" spans="1:21">
      <c r="A1964" t="s">
        <v>3337</v>
      </c>
      <c r="B1964" t="s">
        <v>208</v>
      </c>
      <c r="C1964" t="s">
        <v>22</v>
      </c>
      <c r="D1964">
        <v>1</v>
      </c>
      <c r="E1964" t="s">
        <v>47</v>
      </c>
      <c r="F1964">
        <v>7</v>
      </c>
      <c r="G1964" t="s">
        <v>32</v>
      </c>
      <c r="H1964" t="s">
        <v>1111</v>
      </c>
      <c r="I1964">
        <v>69</v>
      </c>
      <c r="J1964">
        <v>81</v>
      </c>
      <c r="K1964">
        <v>80</v>
      </c>
      <c r="L1964">
        <v>73</v>
      </c>
      <c r="M1964">
        <v>88</v>
      </c>
      <c r="N1964">
        <v>35</v>
      </c>
      <c r="O1964">
        <v>357</v>
      </c>
      <c r="P1964">
        <v>71.400000000000006</v>
      </c>
      <c r="Q1964" t="s">
        <v>40</v>
      </c>
      <c r="R1964" t="s">
        <v>27</v>
      </c>
      <c r="S1964">
        <v>2514</v>
      </c>
      <c r="T1964" t="s">
        <v>42</v>
      </c>
      <c r="U1964" t="str">
        <f t="shared" si="30"/>
        <v>Pass</v>
      </c>
    </row>
    <row r="1965" spans="1:21">
      <c r="A1965" t="s">
        <v>3338</v>
      </c>
      <c r="B1965" t="s">
        <v>1207</v>
      </c>
      <c r="C1965" t="s">
        <v>22</v>
      </c>
      <c r="D1965">
        <v>1</v>
      </c>
      <c r="E1965" t="s">
        <v>26</v>
      </c>
      <c r="F1965">
        <v>7</v>
      </c>
      <c r="G1965" t="s">
        <v>54</v>
      </c>
      <c r="H1965" t="s">
        <v>251</v>
      </c>
      <c r="I1965">
        <v>69</v>
      </c>
      <c r="J1965">
        <v>84</v>
      </c>
      <c r="K1965">
        <v>51</v>
      </c>
      <c r="L1965">
        <v>58</v>
      </c>
      <c r="M1965">
        <v>73</v>
      </c>
      <c r="N1965">
        <v>45</v>
      </c>
      <c r="O1965">
        <v>311</v>
      </c>
      <c r="P1965">
        <v>62.2</v>
      </c>
      <c r="Q1965" t="s">
        <v>26</v>
      </c>
      <c r="R1965" t="s">
        <v>41</v>
      </c>
      <c r="S1965">
        <v>4256</v>
      </c>
      <c r="T1965" t="s">
        <v>34</v>
      </c>
      <c r="U1965" t="str">
        <f t="shared" si="30"/>
        <v>Pass</v>
      </c>
    </row>
    <row r="1966" spans="1:21">
      <c r="A1966" t="s">
        <v>3339</v>
      </c>
      <c r="B1966" t="s">
        <v>508</v>
      </c>
      <c r="C1966" t="s">
        <v>37</v>
      </c>
      <c r="D1966">
        <v>9</v>
      </c>
      <c r="E1966" t="s">
        <v>31</v>
      </c>
      <c r="F1966">
        <v>13</v>
      </c>
      <c r="G1966" t="s">
        <v>38</v>
      </c>
      <c r="H1966" t="s">
        <v>3340</v>
      </c>
      <c r="I1966">
        <v>99</v>
      </c>
      <c r="J1966">
        <v>81</v>
      </c>
      <c r="K1966">
        <v>73</v>
      </c>
      <c r="L1966">
        <v>43</v>
      </c>
      <c r="M1966">
        <v>90</v>
      </c>
      <c r="N1966">
        <v>62</v>
      </c>
      <c r="O1966">
        <v>349</v>
      </c>
      <c r="P1966">
        <v>69.8</v>
      </c>
      <c r="Q1966" t="s">
        <v>26</v>
      </c>
      <c r="R1966" t="s">
        <v>41</v>
      </c>
      <c r="S1966">
        <v>4508</v>
      </c>
      <c r="T1966" t="s">
        <v>48</v>
      </c>
      <c r="U1966" t="str">
        <f t="shared" si="30"/>
        <v>Pass</v>
      </c>
    </row>
    <row r="1967" spans="1:21">
      <c r="A1967" t="s">
        <v>3341</v>
      </c>
      <c r="B1967" t="s">
        <v>439</v>
      </c>
      <c r="C1967" t="s">
        <v>37</v>
      </c>
      <c r="D1967">
        <v>11</v>
      </c>
      <c r="E1967" t="s">
        <v>47</v>
      </c>
      <c r="F1967">
        <v>15</v>
      </c>
      <c r="G1967" t="s">
        <v>58</v>
      </c>
      <c r="H1967" t="s">
        <v>941</v>
      </c>
      <c r="I1967">
        <v>80</v>
      </c>
      <c r="J1967">
        <v>65</v>
      </c>
      <c r="K1967">
        <v>87</v>
      </c>
      <c r="L1967">
        <v>68</v>
      </c>
      <c r="M1967">
        <v>77</v>
      </c>
      <c r="N1967">
        <v>67</v>
      </c>
      <c r="O1967">
        <v>364</v>
      </c>
      <c r="P1967">
        <v>72.8</v>
      </c>
      <c r="Q1967" t="s">
        <v>40</v>
      </c>
      <c r="R1967" t="s">
        <v>41</v>
      </c>
      <c r="S1967">
        <v>3126</v>
      </c>
      <c r="T1967" t="s">
        <v>48</v>
      </c>
      <c r="U1967" t="str">
        <f t="shared" si="30"/>
        <v>Pass</v>
      </c>
    </row>
    <row r="1968" spans="1:21">
      <c r="A1968" t="s">
        <v>3342</v>
      </c>
      <c r="B1968" t="s">
        <v>350</v>
      </c>
      <c r="C1968" t="s">
        <v>22</v>
      </c>
      <c r="D1968">
        <v>10</v>
      </c>
      <c r="E1968" t="s">
        <v>26</v>
      </c>
      <c r="F1968">
        <v>15</v>
      </c>
      <c r="G1968" t="s">
        <v>64</v>
      </c>
      <c r="H1968" t="s">
        <v>1459</v>
      </c>
      <c r="I1968">
        <v>76</v>
      </c>
      <c r="J1968">
        <v>90</v>
      </c>
      <c r="K1968">
        <v>54</v>
      </c>
      <c r="L1968">
        <v>50</v>
      </c>
      <c r="M1968">
        <v>87</v>
      </c>
      <c r="N1968">
        <v>91</v>
      </c>
      <c r="O1968">
        <v>372</v>
      </c>
      <c r="P1968">
        <v>74.400000000000006</v>
      </c>
      <c r="Q1968" t="s">
        <v>40</v>
      </c>
      <c r="R1968" t="s">
        <v>27</v>
      </c>
      <c r="S1968">
        <v>2478</v>
      </c>
      <c r="T1968" t="s">
        <v>34</v>
      </c>
      <c r="U1968" t="str">
        <f t="shared" si="30"/>
        <v>Pass</v>
      </c>
    </row>
    <row r="1969" spans="1:21">
      <c r="A1969" t="s">
        <v>3343</v>
      </c>
      <c r="B1969" t="s">
        <v>326</v>
      </c>
      <c r="C1969" t="s">
        <v>22</v>
      </c>
      <c r="D1969">
        <v>7</v>
      </c>
      <c r="E1969" t="s">
        <v>31</v>
      </c>
      <c r="F1969">
        <v>12</v>
      </c>
      <c r="G1969" t="s">
        <v>54</v>
      </c>
      <c r="H1969" t="s">
        <v>3344</v>
      </c>
      <c r="I1969">
        <v>78</v>
      </c>
      <c r="J1969">
        <v>81</v>
      </c>
      <c r="K1969">
        <v>43</v>
      </c>
      <c r="L1969">
        <v>54</v>
      </c>
      <c r="M1969">
        <v>88</v>
      </c>
      <c r="N1969">
        <v>74</v>
      </c>
      <c r="O1969">
        <v>340</v>
      </c>
      <c r="P1969">
        <v>68</v>
      </c>
      <c r="Q1969" t="s">
        <v>26</v>
      </c>
      <c r="R1969" t="s">
        <v>27</v>
      </c>
      <c r="S1969">
        <v>1783</v>
      </c>
      <c r="T1969" t="s">
        <v>42</v>
      </c>
      <c r="U1969" t="str">
        <f t="shared" si="30"/>
        <v>Pass</v>
      </c>
    </row>
    <row r="1970" spans="1:21">
      <c r="A1970" t="s">
        <v>3345</v>
      </c>
      <c r="B1970" t="s">
        <v>96</v>
      </c>
      <c r="C1970" t="s">
        <v>22</v>
      </c>
      <c r="D1970">
        <v>8</v>
      </c>
      <c r="E1970" t="s">
        <v>26</v>
      </c>
      <c r="F1970">
        <v>12</v>
      </c>
      <c r="G1970" t="s">
        <v>64</v>
      </c>
      <c r="H1970" t="s">
        <v>3346</v>
      </c>
      <c r="I1970">
        <v>79</v>
      </c>
      <c r="J1970">
        <v>45</v>
      </c>
      <c r="K1970">
        <v>99</v>
      </c>
      <c r="L1970">
        <v>54</v>
      </c>
      <c r="M1970">
        <v>53</v>
      </c>
      <c r="N1970">
        <v>44</v>
      </c>
      <c r="O1970">
        <v>295</v>
      </c>
      <c r="P1970">
        <v>59</v>
      </c>
      <c r="Q1970" t="s">
        <v>31</v>
      </c>
      <c r="R1970" t="s">
        <v>41</v>
      </c>
      <c r="S1970">
        <v>2016</v>
      </c>
      <c r="T1970" t="s">
        <v>66</v>
      </c>
      <c r="U1970" t="str">
        <f t="shared" si="30"/>
        <v>Pass</v>
      </c>
    </row>
    <row r="1971" spans="1:21">
      <c r="A1971" t="s">
        <v>3347</v>
      </c>
      <c r="B1971" t="s">
        <v>280</v>
      </c>
      <c r="C1971" t="s">
        <v>22</v>
      </c>
      <c r="D1971">
        <v>3</v>
      </c>
      <c r="E1971" t="s">
        <v>47</v>
      </c>
      <c r="F1971">
        <v>7</v>
      </c>
      <c r="G1971" t="s">
        <v>58</v>
      </c>
      <c r="H1971" t="s">
        <v>1111</v>
      </c>
      <c r="I1971">
        <v>72</v>
      </c>
      <c r="J1971">
        <v>35</v>
      </c>
      <c r="K1971">
        <v>63</v>
      </c>
      <c r="L1971">
        <v>58</v>
      </c>
      <c r="M1971">
        <v>91</v>
      </c>
      <c r="N1971">
        <v>42</v>
      </c>
      <c r="O1971">
        <v>289</v>
      </c>
      <c r="P1971">
        <v>57.8</v>
      </c>
      <c r="Q1971" t="s">
        <v>31</v>
      </c>
      <c r="R1971" t="s">
        <v>41</v>
      </c>
      <c r="S1971">
        <v>2748</v>
      </c>
      <c r="T1971" t="s">
        <v>42</v>
      </c>
      <c r="U1971" t="str">
        <f t="shared" si="30"/>
        <v>Pass</v>
      </c>
    </row>
    <row r="1972" spans="1:21">
      <c r="A1972" t="s">
        <v>3348</v>
      </c>
      <c r="B1972" t="s">
        <v>160</v>
      </c>
      <c r="C1972" t="s">
        <v>37</v>
      </c>
      <c r="D1972">
        <v>11</v>
      </c>
      <c r="E1972" t="s">
        <v>47</v>
      </c>
      <c r="F1972">
        <v>17</v>
      </c>
      <c r="G1972" t="s">
        <v>45</v>
      </c>
      <c r="H1972" t="s">
        <v>3349</v>
      </c>
      <c r="I1972">
        <v>62</v>
      </c>
      <c r="J1972">
        <v>68</v>
      </c>
      <c r="K1972">
        <v>77</v>
      </c>
      <c r="L1972">
        <v>46</v>
      </c>
      <c r="M1972">
        <v>71</v>
      </c>
      <c r="N1972">
        <v>77</v>
      </c>
      <c r="O1972">
        <v>339</v>
      </c>
      <c r="P1972">
        <v>67.8</v>
      </c>
      <c r="Q1972" t="s">
        <v>26</v>
      </c>
      <c r="R1972" t="s">
        <v>41</v>
      </c>
      <c r="S1972">
        <v>2917</v>
      </c>
      <c r="T1972" t="s">
        <v>42</v>
      </c>
      <c r="U1972" t="str">
        <f t="shared" si="30"/>
        <v>Pass</v>
      </c>
    </row>
    <row r="1973" spans="1:21">
      <c r="A1973" t="s">
        <v>3350</v>
      </c>
      <c r="B1973" t="s">
        <v>602</v>
      </c>
      <c r="C1973" t="s">
        <v>37</v>
      </c>
      <c r="D1973">
        <v>4</v>
      </c>
      <c r="E1973" t="s">
        <v>47</v>
      </c>
      <c r="F1973">
        <v>9</v>
      </c>
      <c r="G1973" t="s">
        <v>54</v>
      </c>
      <c r="H1973" t="s">
        <v>2470</v>
      </c>
      <c r="I1973">
        <v>97</v>
      </c>
      <c r="J1973">
        <v>58</v>
      </c>
      <c r="K1973">
        <v>59</v>
      </c>
      <c r="L1973">
        <v>65</v>
      </c>
      <c r="M1973">
        <v>96</v>
      </c>
      <c r="N1973">
        <v>47</v>
      </c>
      <c r="O1973">
        <v>325</v>
      </c>
      <c r="P1973">
        <v>65</v>
      </c>
      <c r="Q1973" t="s">
        <v>26</v>
      </c>
      <c r="R1973" t="s">
        <v>41</v>
      </c>
      <c r="S1973">
        <v>3771</v>
      </c>
      <c r="T1973" t="s">
        <v>42</v>
      </c>
      <c r="U1973" t="str">
        <f t="shared" si="30"/>
        <v>Pass</v>
      </c>
    </row>
    <row r="1974" spans="1:21">
      <c r="A1974" t="s">
        <v>3351</v>
      </c>
      <c r="B1974" t="s">
        <v>913</v>
      </c>
      <c r="C1974" t="s">
        <v>37</v>
      </c>
      <c r="D1974">
        <v>6</v>
      </c>
      <c r="E1974" t="s">
        <v>26</v>
      </c>
      <c r="F1974">
        <v>11</v>
      </c>
      <c r="G1974" t="s">
        <v>32</v>
      </c>
      <c r="H1974" t="s">
        <v>504</v>
      </c>
      <c r="I1974">
        <v>70</v>
      </c>
      <c r="J1974">
        <v>57</v>
      </c>
      <c r="K1974">
        <v>96</v>
      </c>
      <c r="L1974">
        <v>68</v>
      </c>
      <c r="M1974">
        <v>61</v>
      </c>
      <c r="N1974">
        <v>85</v>
      </c>
      <c r="O1974">
        <v>367</v>
      </c>
      <c r="P1974">
        <v>73.400000000000006</v>
      </c>
      <c r="Q1974" t="s">
        <v>40</v>
      </c>
      <c r="R1974" t="s">
        <v>41</v>
      </c>
      <c r="S1974">
        <v>1785</v>
      </c>
      <c r="T1974" t="s">
        <v>28</v>
      </c>
      <c r="U1974" t="str">
        <f t="shared" si="30"/>
        <v>Pass</v>
      </c>
    </row>
    <row r="1975" spans="1:21">
      <c r="A1975" t="s">
        <v>3352</v>
      </c>
      <c r="B1975" t="s">
        <v>832</v>
      </c>
      <c r="C1975" t="s">
        <v>22</v>
      </c>
      <c r="D1975">
        <v>11</v>
      </c>
      <c r="E1975" t="s">
        <v>47</v>
      </c>
      <c r="F1975">
        <v>17</v>
      </c>
      <c r="G1975" t="s">
        <v>64</v>
      </c>
      <c r="H1975" t="s">
        <v>3353</v>
      </c>
      <c r="I1975">
        <v>69</v>
      </c>
      <c r="J1975">
        <v>41</v>
      </c>
      <c r="K1975">
        <v>96</v>
      </c>
      <c r="L1975">
        <v>87</v>
      </c>
      <c r="M1975">
        <v>46</v>
      </c>
      <c r="N1975">
        <v>68</v>
      </c>
      <c r="O1975">
        <v>338</v>
      </c>
      <c r="P1975">
        <v>67.599999999999994</v>
      </c>
      <c r="Q1975" t="s">
        <v>26</v>
      </c>
      <c r="R1975" t="s">
        <v>41</v>
      </c>
      <c r="S1975">
        <v>3566</v>
      </c>
      <c r="T1975" t="s">
        <v>48</v>
      </c>
      <c r="U1975" t="str">
        <f t="shared" si="30"/>
        <v>Pass</v>
      </c>
    </row>
    <row r="1976" spans="1:21">
      <c r="A1976" t="s">
        <v>3354</v>
      </c>
      <c r="B1976" t="s">
        <v>322</v>
      </c>
      <c r="C1976" t="s">
        <v>22</v>
      </c>
      <c r="D1976">
        <v>2</v>
      </c>
      <c r="E1976" t="s">
        <v>23</v>
      </c>
      <c r="F1976">
        <v>6</v>
      </c>
      <c r="G1976" t="s">
        <v>54</v>
      </c>
      <c r="H1976" t="s">
        <v>3355</v>
      </c>
      <c r="I1976">
        <v>83</v>
      </c>
      <c r="J1976">
        <v>44</v>
      </c>
      <c r="K1976">
        <v>91</v>
      </c>
      <c r="L1976">
        <v>45</v>
      </c>
      <c r="M1976">
        <v>77</v>
      </c>
      <c r="N1976">
        <v>65</v>
      </c>
      <c r="O1976">
        <v>322</v>
      </c>
      <c r="P1976">
        <v>64.400000000000006</v>
      </c>
      <c r="Q1976" t="s">
        <v>26</v>
      </c>
      <c r="R1976" t="s">
        <v>41</v>
      </c>
      <c r="S1976">
        <v>4696</v>
      </c>
      <c r="T1976" t="s">
        <v>66</v>
      </c>
      <c r="U1976" t="str">
        <f t="shared" si="30"/>
        <v>Pass</v>
      </c>
    </row>
    <row r="1977" spans="1:21">
      <c r="A1977" t="s">
        <v>3356</v>
      </c>
      <c r="B1977" t="s">
        <v>231</v>
      </c>
      <c r="C1977" t="s">
        <v>22</v>
      </c>
      <c r="D1977">
        <v>9</v>
      </c>
      <c r="E1977" t="s">
        <v>47</v>
      </c>
      <c r="F1977">
        <v>15</v>
      </c>
      <c r="G1977" t="s">
        <v>45</v>
      </c>
      <c r="H1977" t="s">
        <v>3357</v>
      </c>
      <c r="I1977">
        <v>69</v>
      </c>
      <c r="J1977">
        <v>46</v>
      </c>
      <c r="K1977">
        <v>46</v>
      </c>
      <c r="L1977">
        <v>38</v>
      </c>
      <c r="M1977">
        <v>52</v>
      </c>
      <c r="N1977">
        <v>60</v>
      </c>
      <c r="O1977">
        <v>242</v>
      </c>
      <c r="P1977">
        <v>48.4</v>
      </c>
      <c r="Q1977" t="s">
        <v>23</v>
      </c>
      <c r="R1977" t="s">
        <v>41</v>
      </c>
      <c r="S1977">
        <v>3712</v>
      </c>
      <c r="T1977" t="s">
        <v>28</v>
      </c>
      <c r="U1977" t="str">
        <f t="shared" si="30"/>
        <v>Fail</v>
      </c>
    </row>
    <row r="1978" spans="1:21">
      <c r="A1978" t="s">
        <v>3358</v>
      </c>
      <c r="B1978" t="s">
        <v>137</v>
      </c>
      <c r="C1978" t="s">
        <v>22</v>
      </c>
      <c r="D1978">
        <v>7</v>
      </c>
      <c r="E1978" t="s">
        <v>23</v>
      </c>
      <c r="F1978">
        <v>11</v>
      </c>
      <c r="G1978" t="s">
        <v>38</v>
      </c>
      <c r="H1978" t="s">
        <v>909</v>
      </c>
      <c r="I1978">
        <v>92</v>
      </c>
      <c r="J1978">
        <v>76</v>
      </c>
      <c r="K1978">
        <v>66</v>
      </c>
      <c r="L1978">
        <v>70</v>
      </c>
      <c r="M1978">
        <v>81</v>
      </c>
      <c r="N1978">
        <v>85</v>
      </c>
      <c r="O1978">
        <v>378</v>
      </c>
      <c r="P1978">
        <v>75.599999999999994</v>
      </c>
      <c r="Q1978" t="s">
        <v>40</v>
      </c>
      <c r="R1978" t="s">
        <v>41</v>
      </c>
      <c r="S1978">
        <v>2950</v>
      </c>
      <c r="T1978" t="s">
        <v>34</v>
      </c>
      <c r="U1978" t="str">
        <f t="shared" si="30"/>
        <v>Pass</v>
      </c>
    </row>
    <row r="1979" spans="1:21">
      <c r="A1979" t="s">
        <v>3359</v>
      </c>
      <c r="B1979" t="s">
        <v>50</v>
      </c>
      <c r="C1979" t="s">
        <v>37</v>
      </c>
      <c r="D1979">
        <v>3</v>
      </c>
      <c r="E1979" t="s">
        <v>23</v>
      </c>
      <c r="F1979">
        <v>7</v>
      </c>
      <c r="G1979" t="s">
        <v>24</v>
      </c>
      <c r="H1979" t="s">
        <v>3318</v>
      </c>
      <c r="I1979">
        <v>81</v>
      </c>
      <c r="J1979">
        <v>96</v>
      </c>
      <c r="K1979">
        <v>40</v>
      </c>
      <c r="L1979">
        <v>41</v>
      </c>
      <c r="M1979">
        <v>52</v>
      </c>
      <c r="N1979">
        <v>82</v>
      </c>
      <c r="O1979">
        <v>311</v>
      </c>
      <c r="P1979">
        <v>62.2</v>
      </c>
      <c r="Q1979" t="s">
        <v>26</v>
      </c>
      <c r="R1979" t="s">
        <v>41</v>
      </c>
      <c r="S1979">
        <v>4685</v>
      </c>
      <c r="T1979" t="s">
        <v>48</v>
      </c>
      <c r="U1979" t="str">
        <f t="shared" si="30"/>
        <v>Pass</v>
      </c>
    </row>
    <row r="1980" spans="1:21">
      <c r="A1980" t="s">
        <v>3360</v>
      </c>
      <c r="B1980" t="s">
        <v>187</v>
      </c>
      <c r="C1980" t="s">
        <v>37</v>
      </c>
      <c r="D1980">
        <v>2</v>
      </c>
      <c r="E1980" t="s">
        <v>31</v>
      </c>
      <c r="F1980">
        <v>8</v>
      </c>
      <c r="G1980" t="s">
        <v>45</v>
      </c>
      <c r="H1980" t="s">
        <v>3287</v>
      </c>
      <c r="I1980">
        <v>94</v>
      </c>
      <c r="J1980">
        <v>96</v>
      </c>
      <c r="K1980">
        <v>42</v>
      </c>
      <c r="L1980">
        <v>87</v>
      </c>
      <c r="M1980">
        <v>48</v>
      </c>
      <c r="N1980">
        <v>82</v>
      </c>
      <c r="O1980">
        <v>355</v>
      </c>
      <c r="P1980">
        <v>71</v>
      </c>
      <c r="Q1980" t="s">
        <v>40</v>
      </c>
      <c r="R1980" t="s">
        <v>27</v>
      </c>
      <c r="S1980">
        <v>3896</v>
      </c>
      <c r="T1980" t="s">
        <v>28</v>
      </c>
      <c r="U1980" t="str">
        <f t="shared" si="30"/>
        <v>Pass</v>
      </c>
    </row>
    <row r="1981" spans="1:21">
      <c r="A1981" t="s">
        <v>3361</v>
      </c>
      <c r="B1981" t="s">
        <v>408</v>
      </c>
      <c r="C1981" t="s">
        <v>22</v>
      </c>
      <c r="D1981">
        <v>9</v>
      </c>
      <c r="E1981" t="s">
        <v>47</v>
      </c>
      <c r="F1981">
        <v>13</v>
      </c>
      <c r="G1981" t="s">
        <v>38</v>
      </c>
      <c r="H1981" t="s">
        <v>1268</v>
      </c>
      <c r="I1981">
        <v>62</v>
      </c>
      <c r="J1981">
        <v>44</v>
      </c>
      <c r="K1981">
        <v>71</v>
      </c>
      <c r="L1981">
        <v>81</v>
      </c>
      <c r="M1981">
        <v>98</v>
      </c>
      <c r="N1981">
        <v>54</v>
      </c>
      <c r="O1981">
        <v>348</v>
      </c>
      <c r="P1981">
        <v>69.599999999999994</v>
      </c>
      <c r="Q1981" t="s">
        <v>26</v>
      </c>
      <c r="R1981" t="s">
        <v>27</v>
      </c>
      <c r="S1981">
        <v>2352</v>
      </c>
      <c r="T1981" t="s">
        <v>34</v>
      </c>
      <c r="U1981" t="str">
        <f t="shared" si="30"/>
        <v>Pass</v>
      </c>
    </row>
    <row r="1982" spans="1:21">
      <c r="A1982" t="s">
        <v>3362</v>
      </c>
      <c r="B1982" t="s">
        <v>335</v>
      </c>
      <c r="C1982" t="s">
        <v>37</v>
      </c>
      <c r="D1982">
        <v>9</v>
      </c>
      <c r="E1982" t="s">
        <v>31</v>
      </c>
      <c r="F1982">
        <v>13</v>
      </c>
      <c r="G1982" t="s">
        <v>64</v>
      </c>
      <c r="H1982" t="s">
        <v>3041</v>
      </c>
      <c r="I1982">
        <v>64</v>
      </c>
      <c r="J1982">
        <v>71</v>
      </c>
      <c r="K1982">
        <v>49</v>
      </c>
      <c r="L1982">
        <v>91</v>
      </c>
      <c r="M1982">
        <v>60</v>
      </c>
      <c r="N1982">
        <v>38</v>
      </c>
      <c r="O1982">
        <v>309</v>
      </c>
      <c r="P1982">
        <v>61.8</v>
      </c>
      <c r="Q1982" t="s">
        <v>26</v>
      </c>
      <c r="R1982" t="s">
        <v>27</v>
      </c>
      <c r="S1982">
        <v>2644</v>
      </c>
      <c r="T1982" t="s">
        <v>34</v>
      </c>
      <c r="U1982" t="str">
        <f t="shared" si="30"/>
        <v>Pass</v>
      </c>
    </row>
    <row r="1983" spans="1:21">
      <c r="A1983" t="s">
        <v>3363</v>
      </c>
      <c r="B1983" t="s">
        <v>359</v>
      </c>
      <c r="C1983" t="s">
        <v>22</v>
      </c>
      <c r="D1983">
        <v>11</v>
      </c>
      <c r="E1983" t="s">
        <v>31</v>
      </c>
      <c r="F1983">
        <v>17</v>
      </c>
      <c r="G1983" t="s">
        <v>54</v>
      </c>
      <c r="H1983" t="s">
        <v>3364</v>
      </c>
      <c r="I1983">
        <v>78</v>
      </c>
      <c r="J1983">
        <v>57</v>
      </c>
      <c r="K1983">
        <v>77</v>
      </c>
      <c r="L1983">
        <v>99</v>
      </c>
      <c r="M1983">
        <v>61</v>
      </c>
      <c r="N1983">
        <v>99</v>
      </c>
      <c r="O1983">
        <v>393</v>
      </c>
      <c r="P1983">
        <v>78.599999999999994</v>
      </c>
      <c r="Q1983" t="s">
        <v>40</v>
      </c>
      <c r="R1983" t="s">
        <v>41</v>
      </c>
      <c r="S1983">
        <v>4531</v>
      </c>
      <c r="T1983" t="s">
        <v>34</v>
      </c>
      <c r="U1983" t="str">
        <f t="shared" si="30"/>
        <v>Pass</v>
      </c>
    </row>
    <row r="1984" spans="1:21">
      <c r="A1984" t="s">
        <v>3365</v>
      </c>
      <c r="B1984" t="s">
        <v>378</v>
      </c>
      <c r="C1984" t="s">
        <v>22</v>
      </c>
      <c r="D1984">
        <v>10</v>
      </c>
      <c r="E1984" t="s">
        <v>26</v>
      </c>
      <c r="F1984">
        <v>15</v>
      </c>
      <c r="G1984" t="s">
        <v>45</v>
      </c>
      <c r="H1984" t="s">
        <v>974</v>
      </c>
      <c r="I1984">
        <v>66</v>
      </c>
      <c r="J1984">
        <v>58</v>
      </c>
      <c r="K1984">
        <v>62</v>
      </c>
      <c r="L1984">
        <v>38</v>
      </c>
      <c r="M1984">
        <v>80</v>
      </c>
      <c r="N1984">
        <v>57</v>
      </c>
      <c r="O1984">
        <v>295</v>
      </c>
      <c r="P1984">
        <v>59</v>
      </c>
      <c r="Q1984" t="s">
        <v>31</v>
      </c>
      <c r="R1984" t="s">
        <v>41</v>
      </c>
      <c r="S1984">
        <v>4106</v>
      </c>
      <c r="T1984" t="s">
        <v>34</v>
      </c>
      <c r="U1984" t="str">
        <f t="shared" si="30"/>
        <v>Pass</v>
      </c>
    </row>
    <row r="1985" spans="1:21">
      <c r="A1985" t="s">
        <v>3366</v>
      </c>
      <c r="B1985" t="s">
        <v>591</v>
      </c>
      <c r="C1985" t="s">
        <v>22</v>
      </c>
      <c r="D1985">
        <v>6</v>
      </c>
      <c r="E1985" t="s">
        <v>26</v>
      </c>
      <c r="F1985">
        <v>11</v>
      </c>
      <c r="G1985" t="s">
        <v>45</v>
      </c>
      <c r="H1985" t="s">
        <v>3367</v>
      </c>
      <c r="I1985">
        <v>69</v>
      </c>
      <c r="J1985">
        <v>65</v>
      </c>
      <c r="K1985">
        <v>43</v>
      </c>
      <c r="L1985">
        <v>92</v>
      </c>
      <c r="M1985">
        <v>95</v>
      </c>
      <c r="N1985">
        <v>59</v>
      </c>
      <c r="O1985">
        <v>354</v>
      </c>
      <c r="P1985">
        <v>70.8</v>
      </c>
      <c r="Q1985" t="s">
        <v>40</v>
      </c>
      <c r="R1985" t="s">
        <v>41</v>
      </c>
      <c r="S1985">
        <v>2240</v>
      </c>
      <c r="T1985" t="s">
        <v>66</v>
      </c>
      <c r="U1985" t="str">
        <f t="shared" si="30"/>
        <v>Pass</v>
      </c>
    </row>
    <row r="1986" spans="1:21">
      <c r="A1986" t="s">
        <v>3368</v>
      </c>
      <c r="B1986" t="s">
        <v>280</v>
      </c>
      <c r="C1986" t="s">
        <v>37</v>
      </c>
      <c r="D1986">
        <v>1</v>
      </c>
      <c r="E1986" t="s">
        <v>23</v>
      </c>
      <c r="F1986">
        <v>7</v>
      </c>
      <c r="G1986" t="s">
        <v>38</v>
      </c>
      <c r="H1986" t="s">
        <v>357</v>
      </c>
      <c r="I1986">
        <v>98</v>
      </c>
      <c r="J1986">
        <v>98</v>
      </c>
      <c r="K1986">
        <v>76</v>
      </c>
      <c r="L1986">
        <v>91</v>
      </c>
      <c r="M1986">
        <v>56</v>
      </c>
      <c r="N1986">
        <v>90</v>
      </c>
      <c r="O1986">
        <v>411</v>
      </c>
      <c r="P1986">
        <v>82.2</v>
      </c>
      <c r="Q1986" t="s">
        <v>47</v>
      </c>
      <c r="R1986" t="s">
        <v>41</v>
      </c>
      <c r="S1986">
        <v>3876</v>
      </c>
      <c r="T1986" t="s">
        <v>34</v>
      </c>
      <c r="U1986" t="str">
        <f t="shared" si="30"/>
        <v>Pass</v>
      </c>
    </row>
    <row r="1987" spans="1:21">
      <c r="A1987" t="s">
        <v>3369</v>
      </c>
      <c r="B1987" t="s">
        <v>226</v>
      </c>
      <c r="C1987" t="s">
        <v>37</v>
      </c>
      <c r="D1987">
        <v>8</v>
      </c>
      <c r="E1987" t="s">
        <v>26</v>
      </c>
      <c r="F1987">
        <v>12</v>
      </c>
      <c r="G1987" t="s">
        <v>58</v>
      </c>
      <c r="H1987" t="s">
        <v>1872</v>
      </c>
      <c r="I1987">
        <v>66</v>
      </c>
      <c r="J1987">
        <v>76</v>
      </c>
      <c r="K1987">
        <v>71</v>
      </c>
      <c r="L1987">
        <v>35</v>
      </c>
      <c r="M1987">
        <v>92</v>
      </c>
      <c r="N1987">
        <v>56</v>
      </c>
      <c r="O1987">
        <v>330</v>
      </c>
      <c r="P1987">
        <v>66</v>
      </c>
      <c r="Q1987" t="s">
        <v>26</v>
      </c>
      <c r="R1987" t="s">
        <v>41</v>
      </c>
      <c r="S1987">
        <v>4487</v>
      </c>
      <c r="T1987" t="s">
        <v>34</v>
      </c>
      <c r="U1987" t="str">
        <f t="shared" ref="U1987:U2001" si="31">IF(P1987&gt;55,"Pass","Fail")</f>
        <v>Pass</v>
      </c>
    </row>
    <row r="1988" spans="1:21">
      <c r="A1988" t="s">
        <v>3370</v>
      </c>
      <c r="B1988" t="s">
        <v>651</v>
      </c>
      <c r="C1988" t="s">
        <v>37</v>
      </c>
      <c r="D1988">
        <v>7</v>
      </c>
      <c r="E1988" t="s">
        <v>26</v>
      </c>
      <c r="F1988">
        <v>13</v>
      </c>
      <c r="G1988" t="s">
        <v>64</v>
      </c>
      <c r="H1988" t="s">
        <v>3090</v>
      </c>
      <c r="I1988">
        <v>93</v>
      </c>
      <c r="J1988">
        <v>57</v>
      </c>
      <c r="K1988">
        <v>38</v>
      </c>
      <c r="L1988">
        <v>95</v>
      </c>
      <c r="M1988">
        <v>99</v>
      </c>
      <c r="N1988">
        <v>44</v>
      </c>
      <c r="O1988">
        <v>333</v>
      </c>
      <c r="P1988">
        <v>66.599999999999994</v>
      </c>
      <c r="Q1988" t="s">
        <v>26</v>
      </c>
      <c r="R1988" t="s">
        <v>27</v>
      </c>
      <c r="S1988">
        <v>4003</v>
      </c>
      <c r="T1988" t="s">
        <v>70</v>
      </c>
      <c r="U1988" t="str">
        <f t="shared" si="31"/>
        <v>Pass</v>
      </c>
    </row>
    <row r="1989" spans="1:21">
      <c r="A1989" t="s">
        <v>3371</v>
      </c>
      <c r="B1989" t="s">
        <v>84</v>
      </c>
      <c r="C1989" t="s">
        <v>22</v>
      </c>
      <c r="D1989">
        <v>11</v>
      </c>
      <c r="E1989" t="s">
        <v>31</v>
      </c>
      <c r="F1989">
        <v>16</v>
      </c>
      <c r="G1989" t="s">
        <v>64</v>
      </c>
      <c r="H1989" t="s">
        <v>498</v>
      </c>
      <c r="I1989">
        <v>76</v>
      </c>
      <c r="J1989">
        <v>97</v>
      </c>
      <c r="K1989">
        <v>99</v>
      </c>
      <c r="L1989">
        <v>48</v>
      </c>
      <c r="M1989">
        <v>75</v>
      </c>
      <c r="N1989">
        <v>69</v>
      </c>
      <c r="O1989">
        <v>388</v>
      </c>
      <c r="P1989">
        <v>77.599999999999994</v>
      </c>
      <c r="Q1989" t="s">
        <v>40</v>
      </c>
      <c r="R1989" t="s">
        <v>27</v>
      </c>
      <c r="S1989">
        <v>4317</v>
      </c>
      <c r="T1989" t="s">
        <v>42</v>
      </c>
      <c r="U1989" t="str">
        <f t="shared" si="31"/>
        <v>Pass</v>
      </c>
    </row>
    <row r="1990" spans="1:21">
      <c r="A1990" t="s">
        <v>3372</v>
      </c>
      <c r="B1990" t="s">
        <v>44</v>
      </c>
      <c r="C1990" t="s">
        <v>22</v>
      </c>
      <c r="D1990">
        <v>7</v>
      </c>
      <c r="E1990" t="s">
        <v>47</v>
      </c>
      <c r="F1990">
        <v>11</v>
      </c>
      <c r="G1990" t="s">
        <v>32</v>
      </c>
      <c r="H1990" t="s">
        <v>1449</v>
      </c>
      <c r="I1990">
        <v>66</v>
      </c>
      <c r="J1990">
        <v>37</v>
      </c>
      <c r="K1990">
        <v>77</v>
      </c>
      <c r="L1990">
        <v>44</v>
      </c>
      <c r="M1990">
        <v>40</v>
      </c>
      <c r="N1990">
        <v>35</v>
      </c>
      <c r="O1990">
        <v>233</v>
      </c>
      <c r="P1990">
        <v>46.6</v>
      </c>
      <c r="Q1990" t="s">
        <v>23</v>
      </c>
      <c r="R1990" t="s">
        <v>27</v>
      </c>
      <c r="S1990">
        <v>4381</v>
      </c>
      <c r="T1990" t="s">
        <v>48</v>
      </c>
      <c r="U1990" t="str">
        <f t="shared" si="31"/>
        <v>Fail</v>
      </c>
    </row>
    <row r="1991" spans="1:21">
      <c r="A1991" t="s">
        <v>3373</v>
      </c>
      <c r="B1991" t="s">
        <v>190</v>
      </c>
      <c r="C1991" t="s">
        <v>22</v>
      </c>
      <c r="D1991">
        <v>7</v>
      </c>
      <c r="E1991" t="s">
        <v>31</v>
      </c>
      <c r="F1991">
        <v>11</v>
      </c>
      <c r="G1991" t="s">
        <v>24</v>
      </c>
      <c r="H1991" t="s">
        <v>979</v>
      </c>
      <c r="I1991">
        <v>87</v>
      </c>
      <c r="J1991">
        <v>67</v>
      </c>
      <c r="K1991">
        <v>69</v>
      </c>
      <c r="L1991">
        <v>83</v>
      </c>
      <c r="M1991">
        <v>75</v>
      </c>
      <c r="N1991">
        <v>96</v>
      </c>
      <c r="O1991">
        <v>390</v>
      </c>
      <c r="P1991">
        <v>78</v>
      </c>
      <c r="Q1991" t="s">
        <v>40</v>
      </c>
      <c r="R1991" t="s">
        <v>27</v>
      </c>
      <c r="S1991">
        <v>3995</v>
      </c>
      <c r="T1991" t="s">
        <v>66</v>
      </c>
      <c r="U1991" t="str">
        <f t="shared" si="31"/>
        <v>Pass</v>
      </c>
    </row>
    <row r="1992" spans="1:21">
      <c r="A1992" t="s">
        <v>3374</v>
      </c>
      <c r="B1992" t="s">
        <v>30</v>
      </c>
      <c r="C1992" t="s">
        <v>22</v>
      </c>
      <c r="D1992">
        <v>6</v>
      </c>
      <c r="E1992" t="s">
        <v>31</v>
      </c>
      <c r="F1992">
        <v>12</v>
      </c>
      <c r="G1992" t="s">
        <v>45</v>
      </c>
      <c r="H1992" t="s">
        <v>1327</v>
      </c>
      <c r="I1992">
        <v>85</v>
      </c>
      <c r="J1992">
        <v>94</v>
      </c>
      <c r="K1992">
        <v>44</v>
      </c>
      <c r="L1992">
        <v>46</v>
      </c>
      <c r="M1992">
        <v>50</v>
      </c>
      <c r="N1992">
        <v>54</v>
      </c>
      <c r="O1992">
        <v>288</v>
      </c>
      <c r="P1992">
        <v>57.6</v>
      </c>
      <c r="Q1992" t="s">
        <v>31</v>
      </c>
      <c r="R1992" t="s">
        <v>27</v>
      </c>
      <c r="S1992">
        <v>4324</v>
      </c>
      <c r="T1992" t="s">
        <v>28</v>
      </c>
      <c r="U1992" t="str">
        <f t="shared" si="31"/>
        <v>Pass</v>
      </c>
    </row>
    <row r="1993" spans="1:21">
      <c r="A1993" t="s">
        <v>3375</v>
      </c>
      <c r="B1993" t="s">
        <v>178</v>
      </c>
      <c r="C1993" t="s">
        <v>22</v>
      </c>
      <c r="D1993">
        <v>11</v>
      </c>
      <c r="E1993" t="s">
        <v>23</v>
      </c>
      <c r="F1993">
        <v>16</v>
      </c>
      <c r="G1993" t="s">
        <v>58</v>
      </c>
      <c r="H1993" t="s">
        <v>2972</v>
      </c>
      <c r="I1993">
        <v>80</v>
      </c>
      <c r="J1993">
        <v>48</v>
      </c>
      <c r="K1993">
        <v>61</v>
      </c>
      <c r="L1993">
        <v>61</v>
      </c>
      <c r="M1993">
        <v>78</v>
      </c>
      <c r="N1993">
        <v>68</v>
      </c>
      <c r="O1993">
        <v>316</v>
      </c>
      <c r="P1993">
        <v>63.2</v>
      </c>
      <c r="Q1993" t="s">
        <v>26</v>
      </c>
      <c r="R1993" t="s">
        <v>27</v>
      </c>
      <c r="S1993">
        <v>3267</v>
      </c>
      <c r="T1993" t="s">
        <v>66</v>
      </c>
      <c r="U1993" t="str">
        <f t="shared" si="31"/>
        <v>Pass</v>
      </c>
    </row>
    <row r="1994" spans="1:21">
      <c r="A1994" t="s">
        <v>3376</v>
      </c>
      <c r="B1994" t="s">
        <v>110</v>
      </c>
      <c r="C1994" t="s">
        <v>37</v>
      </c>
      <c r="D1994">
        <v>5</v>
      </c>
      <c r="E1994" t="s">
        <v>26</v>
      </c>
      <c r="F1994">
        <v>9</v>
      </c>
      <c r="G1994" t="s">
        <v>32</v>
      </c>
      <c r="H1994" t="s">
        <v>840</v>
      </c>
      <c r="I1994">
        <v>77</v>
      </c>
      <c r="J1994">
        <v>49</v>
      </c>
      <c r="K1994">
        <v>38</v>
      </c>
      <c r="L1994">
        <v>69</v>
      </c>
      <c r="M1994">
        <v>61</v>
      </c>
      <c r="N1994">
        <v>65</v>
      </c>
      <c r="O1994">
        <v>282</v>
      </c>
      <c r="P1994">
        <v>56.4</v>
      </c>
      <c r="Q1994" t="s">
        <v>31</v>
      </c>
      <c r="R1994" t="s">
        <v>41</v>
      </c>
      <c r="S1994">
        <v>2789</v>
      </c>
      <c r="T1994" t="s">
        <v>48</v>
      </c>
      <c r="U1994" t="str">
        <f t="shared" si="31"/>
        <v>Pass</v>
      </c>
    </row>
    <row r="1995" spans="1:21">
      <c r="A1995" t="s">
        <v>3377</v>
      </c>
      <c r="B1995" t="s">
        <v>36</v>
      </c>
      <c r="C1995" t="s">
        <v>37</v>
      </c>
      <c r="D1995">
        <v>11</v>
      </c>
      <c r="E1995" t="s">
        <v>31</v>
      </c>
      <c r="F1995">
        <v>15</v>
      </c>
      <c r="G1995" t="s">
        <v>58</v>
      </c>
      <c r="H1995" t="s">
        <v>2622</v>
      </c>
      <c r="I1995">
        <v>99</v>
      </c>
      <c r="J1995">
        <v>84</v>
      </c>
      <c r="K1995">
        <v>91</v>
      </c>
      <c r="L1995">
        <v>89</v>
      </c>
      <c r="M1995">
        <v>83</v>
      </c>
      <c r="N1995">
        <v>43</v>
      </c>
      <c r="O1995">
        <v>390</v>
      </c>
      <c r="P1995">
        <v>78</v>
      </c>
      <c r="Q1995" t="s">
        <v>40</v>
      </c>
      <c r="R1995" t="s">
        <v>41</v>
      </c>
      <c r="S1995">
        <v>3547</v>
      </c>
      <c r="T1995" t="s">
        <v>66</v>
      </c>
      <c r="U1995" t="str">
        <f t="shared" si="31"/>
        <v>Pass</v>
      </c>
    </row>
    <row r="1996" spans="1:21">
      <c r="A1996" t="s">
        <v>3378</v>
      </c>
      <c r="B1996" t="s">
        <v>110</v>
      </c>
      <c r="C1996" t="s">
        <v>37</v>
      </c>
      <c r="D1996">
        <v>9</v>
      </c>
      <c r="E1996" t="s">
        <v>23</v>
      </c>
      <c r="F1996">
        <v>14</v>
      </c>
      <c r="G1996" t="s">
        <v>24</v>
      </c>
      <c r="H1996" t="s">
        <v>3379</v>
      </c>
      <c r="I1996">
        <v>96</v>
      </c>
      <c r="J1996">
        <v>88</v>
      </c>
      <c r="K1996">
        <v>37</v>
      </c>
      <c r="L1996">
        <v>77</v>
      </c>
      <c r="M1996">
        <v>90</v>
      </c>
      <c r="N1996">
        <v>74</v>
      </c>
      <c r="O1996">
        <v>366</v>
      </c>
      <c r="P1996">
        <v>73.2</v>
      </c>
      <c r="Q1996" t="s">
        <v>40</v>
      </c>
      <c r="R1996" t="s">
        <v>41</v>
      </c>
      <c r="S1996">
        <v>2914</v>
      </c>
      <c r="T1996" t="s">
        <v>28</v>
      </c>
      <c r="U1996" t="str">
        <f t="shared" si="31"/>
        <v>Pass</v>
      </c>
    </row>
    <row r="1997" spans="1:21">
      <c r="A1997" t="s">
        <v>3380</v>
      </c>
      <c r="B1997" t="s">
        <v>1417</v>
      </c>
      <c r="C1997" t="s">
        <v>37</v>
      </c>
      <c r="D1997">
        <v>6</v>
      </c>
      <c r="E1997" t="s">
        <v>31</v>
      </c>
      <c r="F1997">
        <v>10</v>
      </c>
      <c r="G1997" t="s">
        <v>24</v>
      </c>
      <c r="H1997" t="s">
        <v>3381</v>
      </c>
      <c r="I1997">
        <v>62</v>
      </c>
      <c r="J1997">
        <v>40</v>
      </c>
      <c r="K1997">
        <v>39</v>
      </c>
      <c r="L1997">
        <v>87</v>
      </c>
      <c r="M1997">
        <v>100</v>
      </c>
      <c r="N1997">
        <v>75</v>
      </c>
      <c r="O1997">
        <v>341</v>
      </c>
      <c r="P1997">
        <v>68.2</v>
      </c>
      <c r="Q1997" t="s">
        <v>26</v>
      </c>
      <c r="R1997" t="s">
        <v>41</v>
      </c>
      <c r="S1997">
        <v>3909</v>
      </c>
      <c r="T1997" t="s">
        <v>70</v>
      </c>
      <c r="U1997" t="str">
        <f t="shared" si="31"/>
        <v>Pass</v>
      </c>
    </row>
    <row r="1998" spans="1:21">
      <c r="A1998" t="s">
        <v>3382</v>
      </c>
      <c r="B1998" t="s">
        <v>289</v>
      </c>
      <c r="C1998" t="s">
        <v>37</v>
      </c>
      <c r="D1998">
        <v>6</v>
      </c>
      <c r="E1998" t="s">
        <v>23</v>
      </c>
      <c r="F1998">
        <v>12</v>
      </c>
      <c r="G1998" t="s">
        <v>24</v>
      </c>
      <c r="H1998" t="s">
        <v>968</v>
      </c>
      <c r="I1998">
        <v>63</v>
      </c>
      <c r="J1998">
        <v>89</v>
      </c>
      <c r="K1998">
        <v>96</v>
      </c>
      <c r="L1998">
        <v>51</v>
      </c>
      <c r="M1998">
        <v>44</v>
      </c>
      <c r="N1998">
        <v>89</v>
      </c>
      <c r="O1998">
        <v>369</v>
      </c>
      <c r="P1998">
        <v>73.8</v>
      </c>
      <c r="Q1998" t="s">
        <v>40</v>
      </c>
      <c r="R1998" t="s">
        <v>27</v>
      </c>
      <c r="S1998">
        <v>3571</v>
      </c>
      <c r="T1998" t="s">
        <v>28</v>
      </c>
      <c r="U1998" t="str">
        <f t="shared" si="31"/>
        <v>Pass</v>
      </c>
    </row>
    <row r="1999" spans="1:21">
      <c r="A1999" t="s">
        <v>3383</v>
      </c>
      <c r="B1999" t="s">
        <v>131</v>
      </c>
      <c r="C1999" t="s">
        <v>37</v>
      </c>
      <c r="D1999">
        <v>8</v>
      </c>
      <c r="E1999" t="s">
        <v>31</v>
      </c>
      <c r="F1999">
        <v>13</v>
      </c>
      <c r="G1999" t="s">
        <v>54</v>
      </c>
      <c r="H1999" t="s">
        <v>1568</v>
      </c>
      <c r="I1999">
        <v>88</v>
      </c>
      <c r="J1999">
        <v>41</v>
      </c>
      <c r="K1999">
        <v>85</v>
      </c>
      <c r="L1999">
        <v>92</v>
      </c>
      <c r="M1999">
        <v>48</v>
      </c>
      <c r="N1999">
        <v>94</v>
      </c>
      <c r="O1999">
        <v>360</v>
      </c>
      <c r="P1999">
        <v>72</v>
      </c>
      <c r="Q1999" t="s">
        <v>40</v>
      </c>
      <c r="R1999" t="s">
        <v>27</v>
      </c>
      <c r="S1999">
        <v>4876</v>
      </c>
      <c r="T1999" t="s">
        <v>42</v>
      </c>
      <c r="U1999" t="str">
        <f t="shared" si="31"/>
        <v>Pass</v>
      </c>
    </row>
    <row r="2000" spans="1:21">
      <c r="A2000" t="s">
        <v>3384</v>
      </c>
      <c r="B2000" t="s">
        <v>439</v>
      </c>
      <c r="C2000" t="s">
        <v>22</v>
      </c>
      <c r="D2000">
        <v>12</v>
      </c>
      <c r="E2000" t="s">
        <v>26</v>
      </c>
      <c r="F2000">
        <v>18</v>
      </c>
      <c r="G2000" t="s">
        <v>45</v>
      </c>
      <c r="H2000" t="s">
        <v>3385</v>
      </c>
      <c r="I2000">
        <v>67</v>
      </c>
      <c r="J2000">
        <v>63</v>
      </c>
      <c r="K2000">
        <v>72</v>
      </c>
      <c r="L2000">
        <v>74</v>
      </c>
      <c r="M2000">
        <v>74</v>
      </c>
      <c r="N2000">
        <v>50</v>
      </c>
      <c r="O2000">
        <v>333</v>
      </c>
      <c r="P2000">
        <v>66.599999999999994</v>
      </c>
      <c r="Q2000" t="s">
        <v>26</v>
      </c>
      <c r="R2000" t="s">
        <v>41</v>
      </c>
      <c r="S2000">
        <v>2826</v>
      </c>
      <c r="T2000" t="s">
        <v>66</v>
      </c>
      <c r="U2000" t="str">
        <f t="shared" si="31"/>
        <v>Pass</v>
      </c>
    </row>
    <row r="2001" spans="1:21">
      <c r="A2001" t="s">
        <v>3386</v>
      </c>
      <c r="B2001" t="s">
        <v>896</v>
      </c>
      <c r="C2001" t="s">
        <v>37</v>
      </c>
      <c r="D2001">
        <v>8</v>
      </c>
      <c r="E2001" t="s">
        <v>31</v>
      </c>
      <c r="F2001">
        <v>13</v>
      </c>
      <c r="G2001" t="s">
        <v>24</v>
      </c>
      <c r="H2001" t="s">
        <v>1591</v>
      </c>
      <c r="I2001">
        <v>71</v>
      </c>
      <c r="J2001">
        <v>60</v>
      </c>
      <c r="K2001">
        <v>77</v>
      </c>
      <c r="L2001">
        <v>59</v>
      </c>
      <c r="M2001">
        <v>65</v>
      </c>
      <c r="N2001">
        <v>75</v>
      </c>
      <c r="O2001">
        <v>336</v>
      </c>
      <c r="P2001">
        <v>67.2</v>
      </c>
      <c r="Q2001" t="s">
        <v>26</v>
      </c>
      <c r="R2001" t="s">
        <v>41</v>
      </c>
      <c r="S2001">
        <v>3173</v>
      </c>
      <c r="T2001" t="s">
        <v>28</v>
      </c>
      <c r="U2001" t="str">
        <f t="shared" si="31"/>
        <v>Pass</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D29FB-9530-4DF7-8548-20F314E4856B}">
  <dimension ref="A3:AA23"/>
  <sheetViews>
    <sheetView topLeftCell="A8" zoomScale="61" workbookViewId="0">
      <selection activeCell="AG37" sqref="AG37"/>
    </sheetView>
  </sheetViews>
  <sheetFormatPr defaultRowHeight="14.4"/>
  <cols>
    <col min="1" max="1" width="16.5546875" bestFit="1" customWidth="1"/>
    <col min="2" max="2" width="25.44140625" bestFit="1" customWidth="1"/>
    <col min="4" max="4" width="16.5546875" bestFit="1" customWidth="1"/>
    <col min="5" max="5" width="25.44140625" bestFit="1" customWidth="1"/>
    <col min="7" max="7" width="16.5546875" bestFit="1" customWidth="1"/>
    <col min="8" max="8" width="20.109375" bestFit="1" customWidth="1"/>
    <col min="9" max="10" width="3" bestFit="1" customWidth="1"/>
    <col min="11" max="11" width="16.5546875" bestFit="1" customWidth="1"/>
    <col min="12" max="12" width="21.44140625" bestFit="1" customWidth="1"/>
    <col min="13" max="47" width="3" bestFit="1" customWidth="1"/>
    <col min="48" max="48" width="4" bestFit="1" customWidth="1"/>
    <col min="49" max="49" width="10.77734375" bestFit="1" customWidth="1"/>
  </cols>
  <sheetData>
    <row r="3" spans="1:12">
      <c r="A3" s="4" t="s">
        <v>3396</v>
      </c>
      <c r="B3" t="s">
        <v>3398</v>
      </c>
      <c r="D3" s="4" t="s">
        <v>3396</v>
      </c>
      <c r="E3" t="s">
        <v>3398</v>
      </c>
      <c r="G3" s="4" t="s">
        <v>3396</v>
      </c>
      <c r="H3" t="s">
        <v>3407</v>
      </c>
      <c r="K3" s="4" t="s">
        <v>3396</v>
      </c>
      <c r="L3" t="s">
        <v>3408</v>
      </c>
    </row>
    <row r="4" spans="1:12">
      <c r="A4" s="5">
        <v>1</v>
      </c>
      <c r="B4" s="3">
        <v>165</v>
      </c>
      <c r="D4" s="5" t="s">
        <v>22</v>
      </c>
      <c r="E4" s="3">
        <v>988</v>
      </c>
      <c r="G4" s="5">
        <v>1</v>
      </c>
      <c r="H4" s="9">
        <v>78.981818181818184</v>
      </c>
      <c r="K4" s="5" t="s">
        <v>27</v>
      </c>
      <c r="L4" s="3">
        <v>1016</v>
      </c>
    </row>
    <row r="5" spans="1:12">
      <c r="A5" s="5">
        <v>2</v>
      </c>
      <c r="B5" s="3">
        <v>170</v>
      </c>
      <c r="D5" s="5" t="s">
        <v>37</v>
      </c>
      <c r="E5" s="3">
        <v>1012</v>
      </c>
      <c r="G5" s="5">
        <v>2</v>
      </c>
      <c r="H5" s="9">
        <v>80.95882352941176</v>
      </c>
      <c r="K5" s="5" t="s">
        <v>41</v>
      </c>
      <c r="L5" s="3">
        <v>984</v>
      </c>
    </row>
    <row r="6" spans="1:12">
      <c r="A6" s="5">
        <v>3</v>
      </c>
      <c r="B6" s="3">
        <v>164</v>
      </c>
      <c r="D6" s="5" t="s">
        <v>3397</v>
      </c>
      <c r="E6" s="3">
        <v>2000</v>
      </c>
      <c r="G6" s="5">
        <v>3</v>
      </c>
      <c r="H6" s="9">
        <v>81.506097560975604</v>
      </c>
      <c r="K6" s="5" t="s">
        <v>3397</v>
      </c>
      <c r="L6" s="3">
        <v>2000</v>
      </c>
    </row>
    <row r="7" spans="1:12">
      <c r="A7" s="5">
        <v>4</v>
      </c>
      <c r="B7" s="3">
        <v>162</v>
      </c>
      <c r="G7" s="5">
        <v>4</v>
      </c>
      <c r="H7" s="9">
        <v>79.308641975308646</v>
      </c>
    </row>
    <row r="8" spans="1:12">
      <c r="A8" s="5">
        <v>5</v>
      </c>
      <c r="B8" s="3">
        <v>164</v>
      </c>
      <c r="D8" s="4" t="s">
        <v>3396</v>
      </c>
      <c r="E8" t="s">
        <v>3406</v>
      </c>
      <c r="G8" s="5">
        <v>5</v>
      </c>
      <c r="H8" s="9">
        <v>79.682926829268297</v>
      </c>
      <c r="K8" s="4" t="s">
        <v>3396</v>
      </c>
      <c r="L8" t="s">
        <v>3408</v>
      </c>
    </row>
    <row r="9" spans="1:12">
      <c r="A9" s="5">
        <v>6</v>
      </c>
      <c r="B9" s="3">
        <v>152</v>
      </c>
      <c r="D9" s="5" t="s">
        <v>3405</v>
      </c>
      <c r="E9" s="3">
        <v>67.790000000000006</v>
      </c>
      <c r="G9" s="5">
        <v>6</v>
      </c>
      <c r="H9" s="9">
        <v>78.671052631578945</v>
      </c>
      <c r="K9" s="5" t="s">
        <v>47</v>
      </c>
      <c r="L9" s="3">
        <v>158</v>
      </c>
    </row>
    <row r="10" spans="1:12">
      <c r="A10" s="5">
        <v>7</v>
      </c>
      <c r="B10" s="3">
        <v>173</v>
      </c>
      <c r="D10" s="5" t="s">
        <v>3403</v>
      </c>
      <c r="E10" s="3">
        <v>67.52</v>
      </c>
      <c r="G10" s="5">
        <v>7</v>
      </c>
      <c r="H10" s="9">
        <v>79.994219653179186</v>
      </c>
      <c r="K10" s="5" t="s">
        <v>760</v>
      </c>
      <c r="L10" s="3">
        <v>6</v>
      </c>
    </row>
    <row r="11" spans="1:12">
      <c r="A11" s="5">
        <v>8</v>
      </c>
      <c r="B11" s="3">
        <v>174</v>
      </c>
      <c r="D11" s="5" t="s">
        <v>3401</v>
      </c>
      <c r="E11" s="3">
        <v>67.62</v>
      </c>
      <c r="G11" s="5">
        <v>8</v>
      </c>
      <c r="H11" s="9">
        <v>80.511494252873561</v>
      </c>
      <c r="K11" s="5" t="s">
        <v>26</v>
      </c>
      <c r="L11" s="3">
        <v>760</v>
      </c>
    </row>
    <row r="12" spans="1:12">
      <c r="A12" s="5">
        <v>9</v>
      </c>
      <c r="B12" s="3">
        <v>159</v>
      </c>
      <c r="D12" s="5" t="s">
        <v>3402</v>
      </c>
      <c r="E12" s="3">
        <v>67.45</v>
      </c>
      <c r="G12" s="5">
        <v>9</v>
      </c>
      <c r="H12" s="9">
        <v>79.069182389937112</v>
      </c>
      <c r="K12" s="5" t="s">
        <v>40</v>
      </c>
      <c r="L12" s="3">
        <v>652</v>
      </c>
    </row>
    <row r="13" spans="1:12">
      <c r="A13" s="5">
        <v>10</v>
      </c>
      <c r="B13" s="3">
        <v>168</v>
      </c>
      <c r="D13" s="5" t="s">
        <v>3404</v>
      </c>
      <c r="E13" s="3">
        <v>67.739999999999995</v>
      </c>
      <c r="G13" s="5">
        <v>10</v>
      </c>
      <c r="H13" s="9">
        <v>80.720238095238102</v>
      </c>
      <c r="K13" s="5" t="s">
        <v>31</v>
      </c>
      <c r="L13" s="3">
        <v>382</v>
      </c>
    </row>
    <row r="14" spans="1:12">
      <c r="A14" s="5">
        <v>11</v>
      </c>
      <c r="B14" s="3">
        <v>173</v>
      </c>
      <c r="D14" s="5" t="s">
        <v>3397</v>
      </c>
      <c r="E14" s="3">
        <v>338.12</v>
      </c>
      <c r="G14" s="5">
        <v>11</v>
      </c>
      <c r="H14" s="9">
        <v>80.687861271676297</v>
      </c>
      <c r="K14" s="5" t="s">
        <v>23</v>
      </c>
      <c r="L14" s="3">
        <v>42</v>
      </c>
    </row>
    <row r="15" spans="1:12">
      <c r="A15" s="5">
        <v>12</v>
      </c>
      <c r="B15" s="3">
        <v>176</v>
      </c>
      <c r="G15" s="5">
        <v>12</v>
      </c>
      <c r="H15" s="9">
        <v>78.443181818181813</v>
      </c>
      <c r="K15" s="5" t="s">
        <v>3397</v>
      </c>
      <c r="L15" s="3">
        <v>2000</v>
      </c>
    </row>
    <row r="16" spans="1:12">
      <c r="A16" s="5" t="s">
        <v>3397</v>
      </c>
      <c r="B16" s="3">
        <v>2000</v>
      </c>
      <c r="G16" s="5" t="s">
        <v>3397</v>
      </c>
      <c r="H16" s="9">
        <v>79.891000000000005</v>
      </c>
    </row>
    <row r="23" spans="27:27">
      <c r="AA23" t="s">
        <v>3409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AAC24-5E29-4666-A4B5-FFC5CD55D701}">
  <dimension ref="A1"/>
  <sheetViews>
    <sheetView showGridLines="0" tabSelected="1" zoomScale="45" workbookViewId="0">
      <selection activeCell="AG21" sqref="AG21"/>
    </sheetView>
  </sheetViews>
  <sheetFormatPr defaultRowHeight="14.4"/>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School Dataset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MEHESH P</cp:lastModifiedBy>
  <dcterms:created xsi:type="dcterms:W3CDTF">2026-06-12T06:22:15Z</dcterms:created>
  <dcterms:modified xsi:type="dcterms:W3CDTF">2026-06-14T13:05:45Z</dcterms:modified>
</cp:coreProperties>
</file>